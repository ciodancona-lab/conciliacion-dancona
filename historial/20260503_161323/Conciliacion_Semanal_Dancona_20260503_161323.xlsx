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  <sheet name="Cierres QR V5.9.11" sheetId="13" state="visible" r:id="rId13"/>
  </sheets>
  <definedNames>
    <definedName name="_xlnm._FilterDatabase" localSheetId="2" hidden="1">'Flexxus no Banco'!$A$1:$L$4</definedName>
    <definedName name="_xlnm._FilterDatabase" localSheetId="3" hidden="1">'Banco ingresos no Flexxus'!$A$1:$R$56</definedName>
    <definedName name="_xlnm._FilterDatabase" localSheetId="4" hidden="1">'Banco egresos no Flexxus'!$A$1:$K$370</definedName>
    <definedName name="_xlnm._FilterDatabase" localSheetId="6" hidden="1">'Carga Flexxus'!$A$1:$I$18</definedName>
    <definedName name="_xlnm._FilterDatabase" localSheetId="7" hidden="1">'Auditoría QR PCT'!$A$1:$S$3</definedName>
    <definedName name="_xlnm._FilterDatabase" localSheetId="8" hidden="1">'Auditoría TRX Merchant'!$A$1:$H$30</definedName>
    <definedName name="_xlnm._FilterDatabase" localSheetId="9" hidden="1">'Resumen atraso por local'!$A$1:$I$439</definedName>
    <definedName name="_xlnm._FilterDatabase" localSheetId="10" hidden="1">'Control cobertura'!$A$1:$G$428</definedName>
    <definedName name="_xlnm._FilterDatabase" localSheetId="12" hidden="1">'Cierres QR V5.9.11'!$A$1:$J$8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27/04/2026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27/04/2026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3" t="inlineStr">
        <is>
          <t>Más: EGRESOS registrados en FLEXXUS que NO están en el Banco</t>
        </is>
      </c>
      <c r="E39" s="4">
        <f>B11</f>
        <v/>
      </c>
    </row>
    <row r="40">
      <c r="A40" s="3" t="inlineStr">
        <is>
          <t>Más: INGRESOS en el Banco pero NO registrados en FLEXXUS</t>
        </is>
      </c>
      <c r="E40" s="4">
        <f>B12</f>
        <v/>
      </c>
    </row>
    <row r="41">
      <c r="A41" s="8" t="inlineStr">
        <is>
          <t>Banco ingreso no Flexxus</t>
        </is>
      </c>
      <c r="B41" s="8" t="inlineStr"/>
      <c r="C41" s="8" t="inlineStr">
        <is>
          <t>Ajuste menor redondeo/extracto</t>
        </is>
      </c>
      <c r="D41" s="8" t="n">
        <v>1</v>
      </c>
      <c r="E41" s="9" t="n">
        <v>1.25</v>
      </c>
      <c r="F41" s="8" t="inlineStr">
        <is>
          <t>Detalle en hoja Banco ingresos no Flexxus</t>
        </is>
      </c>
    </row>
    <row r="42">
      <c r="A42" s="8" t="inlineStr">
        <is>
          <t>Banco ingreso no Flexxus</t>
        </is>
      </c>
      <c r="B42" s="8" t="inlineStr"/>
      <c r="C42" s="8" t="inlineStr">
        <is>
          <t>Ajuste menor redondeo/extracto</t>
        </is>
      </c>
      <c r="D42" s="8" t="n">
        <v>1</v>
      </c>
      <c r="E42" s="9" t="n">
        <v>3.62</v>
      </c>
      <c r="F42" s="8" t="inlineStr">
        <is>
          <t>Detalle en hoja Banco ingresos no Flexxus</t>
        </is>
      </c>
    </row>
    <row r="43">
      <c r="A43" s="8" t="inlineStr">
        <is>
          <t>Banco ingreso no Flexxus</t>
        </is>
      </c>
      <c r="B43" s="8" t="inlineStr"/>
      <c r="C43" s="8" t="inlineStr">
        <is>
          <t>Liquidación tarjeta</t>
        </is>
      </c>
      <c r="D43" s="8" t="n">
        <v>20</v>
      </c>
      <c r="E43" s="9" t="n">
        <v>3935337.7</v>
      </c>
      <c r="F43" s="8" t="inlineStr">
        <is>
          <t>Detalle en hoja Banco ingresos no Flexxus</t>
        </is>
      </c>
    </row>
    <row r="44">
      <c r="A44" s="8" t="inlineStr">
        <is>
          <t>Banco ingreso no Flexxus</t>
        </is>
      </c>
      <c r="B44" s="8" t="inlineStr"/>
      <c r="C44" s="8" t="inlineStr">
        <is>
          <t>QR / CR DEBIN SPOT</t>
        </is>
      </c>
      <c r="D44" s="8" t="n">
        <v>31</v>
      </c>
      <c r="E44" s="9" t="n">
        <v>645886.7199999999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Transferencia entrante</t>
        </is>
      </c>
      <c r="D45" s="8" t="n">
        <v>1</v>
      </c>
      <c r="E45" s="9" t="n">
        <v>33180.87</v>
      </c>
      <c r="F45" s="8" t="inlineStr">
        <is>
          <t>Detalle en hoja Banco ingresos no Flexxus</t>
        </is>
      </c>
    </row>
    <row r="46">
      <c r="A46" s="3" t="inlineStr">
        <is>
          <t>Menos: EGRESOS en el Banco pero NO registrados en FLEXXUS</t>
        </is>
      </c>
      <c r="E46" s="4">
        <f>B13</f>
        <v/>
      </c>
    </row>
    <row r="47">
      <c r="A47" s="8" t="inlineStr">
        <is>
          <t>Banco egreso no Flexxus</t>
        </is>
      </c>
      <c r="B47" s="8" t="inlineStr"/>
      <c r="C47" s="8" t="inlineStr">
        <is>
          <t>Ajuste menor redondeo/extracto</t>
        </is>
      </c>
      <c r="D47" s="8" t="n">
        <v>1</v>
      </c>
      <c r="E47" s="9" t="n">
        <v>3.6</v>
      </c>
      <c r="F47" s="8" t="inlineStr">
        <is>
          <t>Revisar según concepto antes de cargar</t>
        </is>
      </c>
    </row>
    <row r="48">
      <c r="A48" s="8" t="inlineStr">
        <is>
          <t>Banco egreso no Flexxus</t>
        </is>
      </c>
      <c r="B48" s="8" t="inlineStr"/>
      <c r="C48" s="8" t="inlineStr">
        <is>
          <t>Débito liquidación tarjeta</t>
        </is>
      </c>
      <c r="D48" s="8" t="n">
        <v>2</v>
      </c>
      <c r="E48" s="9" t="n">
        <v>170.61</v>
      </c>
      <c r="F48" s="8" t="inlineStr">
        <is>
          <t>Copiar en Flexxus: Tipo=MB-EXT | Movimiento=DEB LIQ MASTERCARD 24H | Monto=170,61</t>
        </is>
      </c>
    </row>
    <row r="49">
      <c r="A49" s="8" t="inlineStr">
        <is>
          <t>Banco egreso no Flexxus</t>
        </is>
      </c>
      <c r="B49" s="8" t="inlineStr"/>
      <c r="C49" s="8" t="inlineStr">
        <is>
          <t>Débito pago directo</t>
        </is>
      </c>
      <c r="D49" s="8" t="n">
        <v>1</v>
      </c>
      <c r="E49" s="9" t="n">
        <v>1734593.38</v>
      </c>
      <c r="F49" s="8" t="inlineStr">
        <is>
          <t>Copiar en Flexxus: Tipo=MB-EXT | Movimiento=DEBITO PAGO DIRECTO | Monto=1.734.593,38</t>
        </is>
      </c>
    </row>
    <row r="50">
      <c r="A50" s="8" t="inlineStr">
        <is>
          <t>Banco egreso no Flexxus</t>
        </is>
      </c>
      <c r="B50" s="8" t="inlineStr"/>
      <c r="C50" s="8" t="inlineStr">
        <is>
          <t>Gasto bancario / comisión</t>
        </is>
      </c>
      <c r="D50" s="8" t="n">
        <v>1</v>
      </c>
      <c r="E50" s="9" t="n">
        <v>956</v>
      </c>
      <c r="F50" s="8" t="inlineStr">
        <is>
          <t>Copiar en Flexxus: Tipo=MB-EXT | Movimiento=COM TRANSFE ELECTRONICA | Monto=956,00</t>
        </is>
      </c>
    </row>
    <row r="51">
      <c r="A51" s="8" t="inlineStr">
        <is>
          <t>Banco egreso no Flexxus</t>
        </is>
      </c>
      <c r="B51" s="8" t="inlineStr"/>
      <c r="C51" s="8" t="inlineStr">
        <is>
          <t>Anticipo Ganancias Ley 25.413 créditos</t>
        </is>
      </c>
      <c r="D51" s="8" t="n">
        <v>119</v>
      </c>
      <c r="E51" s="9" t="n">
        <v>63056.83999999999</v>
      </c>
      <c r="F51" s="8" t="inlineStr">
        <is>
          <t>Copiar en Flexxus: Tipo=MB-EXT | Movimiento=GRAVAMEN LEY 25.413 S/CRED | Monto=63.056,84</t>
        </is>
      </c>
    </row>
    <row r="52">
      <c r="A52" s="8" t="inlineStr">
        <is>
          <t>Banco egreso no Flexxus</t>
        </is>
      </c>
      <c r="B52" s="8" t="inlineStr"/>
      <c r="C52" s="8" t="inlineStr">
        <is>
          <t>Anticipo Ganancias Ley 25.413 débitos</t>
        </is>
      </c>
      <c r="D52" s="8" t="n">
        <v>122</v>
      </c>
      <c r="E52" s="9" t="n">
        <v>14805.99</v>
      </c>
      <c r="F52" s="8" t="inlineStr">
        <is>
          <t>Copiar en Flexxus: Tipo=MB-EXT | Movimiento=GRAVAMEN LEY 25.413 S/DEB | Monto=14.805,99</t>
        </is>
      </c>
    </row>
    <row r="53">
      <c r="A53" s="8" t="inlineStr">
        <is>
          <t>Banco egreso no Flexxus</t>
        </is>
      </c>
      <c r="B53" s="8" t="inlineStr"/>
      <c r="C53" s="8" t="inlineStr">
        <is>
          <t>IVA base / IVA sobre gastos</t>
        </is>
      </c>
      <c r="D53" s="8" t="n">
        <v>1</v>
      </c>
      <c r="E53" s="9" t="n">
        <v>200.76</v>
      </c>
      <c r="F53" s="8" t="inlineStr">
        <is>
          <t>Copiar en Flexxus: Tipo=MB-EXT | Movimiento=I.V.A. BASE | Monto=200,76</t>
        </is>
      </c>
    </row>
    <row r="54">
      <c r="A54" s="8" t="inlineStr">
        <is>
          <t>Banco egreso no Flexxus</t>
        </is>
      </c>
      <c r="B54" s="8" t="inlineStr"/>
      <c r="C54" s="8" t="inlineStr">
        <is>
          <t>Otro</t>
        </is>
      </c>
      <c r="D54" s="8" t="n">
        <v>2</v>
      </c>
      <c r="E54" s="9" t="n">
        <v>0.25</v>
      </c>
      <c r="F54" s="8" t="inlineStr">
        <is>
          <t>Revisar según concepto antes de cargar</t>
        </is>
      </c>
    </row>
    <row r="55">
      <c r="A55" s="8" t="inlineStr">
        <is>
          <t>Banco egreso no Flexxus</t>
        </is>
      </c>
      <c r="B55" s="8" t="inlineStr"/>
      <c r="C55" s="8" t="inlineStr">
        <is>
          <t>Retención Ingresos Brutos Mendoza</t>
        </is>
      </c>
      <c r="D55" s="8" t="n">
        <v>119</v>
      </c>
      <c r="E55" s="9" t="n">
        <v>105094.69</v>
      </c>
      <c r="F55" s="8" t="inlineStr">
        <is>
          <t>Copiar en Flexxus: Tipo=MB-EXT | Movimiento=INGRESOS BRUTOS MENDOZA | Monto=105.094,69</t>
        </is>
      </c>
    </row>
    <row r="56">
      <c r="A56" s="3" t="inlineStr">
        <is>
          <t>Pendientes anteriores</t>
        </is>
      </c>
      <c r="E56" s="4">
        <f>B14</f>
        <v/>
      </c>
    </row>
    <row r="57">
      <c r="A57" s="8" t="inlineStr">
        <is>
          <t>Info</t>
        </is>
      </c>
      <c r="B57" s="8" t="inlineStr"/>
      <c r="C57" s="8" t="inlineStr">
        <is>
          <t>Los pendientes anteriores abiertos están dentro de Flexxus no Banco, Banco ingresos no Flexxus o Banco egresos no Flexxus. No se usa residual.</t>
        </is>
      </c>
      <c r="D57" s="8" t="inlineStr"/>
      <c r="E57" s="9" t="n">
        <v>0</v>
      </c>
      <c r="F57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Diferencia técnica menor de continuidad/extracto bancario</t>
        </is>
      </c>
      <c r="B3" s="8" t="inlineStr">
        <is>
          <t>Ajuste menor redondeo/extracto</t>
        </is>
      </c>
      <c r="C3" s="8" t="inlineStr">
        <is>
          <t>Revisar según concepto</t>
        </is>
      </c>
      <c r="D3" s="8" t="n">
        <v>1</v>
      </c>
      <c r="E3" s="9" t="n">
        <v>3.6</v>
      </c>
      <c r="F3" s="8" t="inlineStr">
        <is>
          <t>Banco egreso no Flexxus</t>
        </is>
      </c>
    </row>
    <row r="4">
      <c r="A4" s="8" t="inlineStr">
        <is>
          <t>DEB LIQ MASTERCARD 24H</t>
        </is>
      </c>
      <c r="B4" s="8" t="inlineStr">
        <is>
          <t>Débito liquidación tarjeta</t>
        </is>
      </c>
      <c r="C4" s="8" t="inlineStr">
        <is>
          <t>Copiar en Flexxus: Tipo=MB-EXT | Movimiento=DEB LIQ MASTERCARD 24H | Monto=170,61</t>
        </is>
      </c>
      <c r="D4" s="8" t="n">
        <v>2</v>
      </c>
      <c r="E4" s="9" t="n">
        <v>170.61</v>
      </c>
      <c r="F4" s="8" t="inlineStr">
        <is>
          <t>Banco egreso no Flexxus</t>
        </is>
      </c>
    </row>
    <row r="5">
      <c r="A5" s="8" t="inlineStr">
        <is>
          <t>DEBITO PAGO DIRECTO</t>
        </is>
      </c>
      <c r="B5" s="8" t="inlineStr">
        <is>
          <t>Débito pago directo</t>
        </is>
      </c>
      <c r="C5" s="8" t="inlineStr">
        <is>
          <t>Copiar en Flexxus: Tipo=MB-EXT | Movimiento=DEBITO PAGO DIRECTO | Monto=1.734.593,38</t>
        </is>
      </c>
      <c r="D5" s="8" t="n">
        <v>1</v>
      </c>
      <c r="E5" s="9" t="n">
        <v>1734593.38</v>
      </c>
      <c r="F5" s="8" t="inlineStr">
        <is>
          <t>Banco egreso no Flexxus</t>
        </is>
      </c>
    </row>
    <row r="6">
      <c r="A6" s="8" t="inlineStr">
        <is>
          <t>COM TRANSFE ELECTRONICA</t>
        </is>
      </c>
      <c r="B6" s="8" t="inlineStr">
        <is>
          <t>Gasto bancario / comisión</t>
        </is>
      </c>
      <c r="C6" s="8" t="inlineStr">
        <is>
          <t>Copiar en Flexxus: Tipo=MB-EXT | Movimiento=COM TRANSFE ELECTRONICA | Monto=956,00</t>
        </is>
      </c>
      <c r="D6" s="8" t="n">
        <v>1</v>
      </c>
      <c r="E6" s="9" t="n">
        <v>956</v>
      </c>
      <c r="F6" s="8" t="inlineStr">
        <is>
          <t>Banco egreso no Flexxus</t>
        </is>
      </c>
    </row>
    <row r="7">
      <c r="A7" s="8" t="inlineStr">
        <is>
          <t>GRAVAMEN LEY 25413 S/CRED</t>
        </is>
      </c>
      <c r="B7" s="8" t="inlineStr">
        <is>
          <t>Anticipo Ganancias Ley 25.413 créditos</t>
        </is>
      </c>
      <c r="C7" s="8" t="inlineStr">
        <is>
          <t>Copiar en Flexxus: Tipo=MB-EXT | Movimiento=GRAVAMEN LEY 25.413 S/CRED | Monto=63.056,84</t>
        </is>
      </c>
      <c r="D7" s="8" t="n">
        <v>119</v>
      </c>
      <c r="E7" s="9" t="n">
        <v>63056.83999999999</v>
      </c>
      <c r="F7" s="8" t="inlineStr">
        <is>
          <t>Banco egreso no Flexxus</t>
        </is>
      </c>
    </row>
    <row r="8">
      <c r="A8" s="8" t="inlineStr">
        <is>
          <t>GRAVAMEN LEY 25413 S/DEB</t>
        </is>
      </c>
      <c r="B8" s="8" t="inlineStr">
        <is>
          <t>Anticipo Ganancias Ley 25.413 débitos</t>
        </is>
      </c>
      <c r="C8" s="8" t="inlineStr">
        <is>
          <t>Copiar en Flexxus: Tipo=MB-EXT | Movimiento=GRAVAMEN LEY 25.413 S/DEB | Monto=14.805,99</t>
        </is>
      </c>
      <c r="D8" s="8" t="n">
        <v>122</v>
      </c>
      <c r="E8" s="9" t="n">
        <v>14805.99</v>
      </c>
      <c r="F8" s="8" t="inlineStr">
        <is>
          <t>Banco egreso no Flexxus</t>
        </is>
      </c>
    </row>
    <row r="9">
      <c r="A9" s="8" t="inlineStr">
        <is>
          <t>I.V.A. BASE</t>
        </is>
      </c>
      <c r="B9" s="8" t="inlineStr">
        <is>
          <t>IVA base / IVA sobre gastos</t>
        </is>
      </c>
      <c r="C9" s="8" t="inlineStr">
        <is>
          <t>Copiar en Flexxus: Tipo=MB-EXT | Movimiento=I.V.A. BASE | Monto=200,76</t>
        </is>
      </c>
      <c r="D9" s="8" t="n">
        <v>1</v>
      </c>
      <c r="E9" s="9" t="n">
        <v>200.76</v>
      </c>
      <c r="F9" s="8" t="inlineStr">
        <is>
          <t>Banco egreso no Flexxus</t>
        </is>
      </c>
    </row>
    <row r="10">
      <c r="A10" s="8" t="inlineStr">
        <is>
          <t>Diferencia técnica menor por cierre QR doble punta</t>
        </is>
      </c>
      <c r="B10" s="8" t="inlineStr">
        <is>
          <t>Otro</t>
        </is>
      </c>
      <c r="C10" s="8" t="inlineStr">
        <is>
          <t>Revisar según concepto</t>
        </is>
      </c>
      <c r="D10" s="8" t="n">
        <v>2</v>
      </c>
      <c r="E10" s="9" t="n">
        <v>0.25</v>
      </c>
      <c r="F10" s="8" t="inlineStr">
        <is>
          <t>Banco egreso no Flexxus</t>
        </is>
      </c>
    </row>
    <row r="11">
      <c r="A11" s="8" t="inlineStr">
        <is>
          <t>INGRESOS BRUTOS MENDOZA</t>
        </is>
      </c>
      <c r="B11" s="8" t="inlineStr">
        <is>
          <t>Retención Ingresos Brutos Mendoza</t>
        </is>
      </c>
      <c r="C11" s="8" t="inlineStr">
        <is>
          <t>Copiar en Flexxus: Tipo=MB-EXT | Movimiento=INGRESOS BRUTOS MENDOZA | Monto=105.094,69</t>
        </is>
      </c>
      <c r="D11" s="8" t="n">
        <v>119</v>
      </c>
      <c r="E11" s="9" t="n">
        <v>105094.69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1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PEND-261C0F4C8AB8-A001</t>
        </is>
      </c>
      <c r="B3" s="8" t="inlineStr">
        <is>
          <t>ABIERTO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2300013968</t>
        </is>
      </c>
      <c r="F3" s="8" t="inlineStr">
        <is>
          <t>PAGO TARJETA CREDITO</t>
        </is>
      </c>
      <c r="G3" s="9" t="n">
        <v>68461.47</v>
      </c>
      <c r="H3" s="8" t="inlineStr">
        <is>
          <t>Local 5</t>
        </is>
      </c>
      <c r="I3" s="8" t="inlineStr"/>
      <c r="J3" s="8" t="inlineStr">
        <is>
          <t>342996</t>
        </is>
      </c>
      <c r="K3" s="9" t="n">
        <v>68866.69</v>
      </c>
      <c r="L3" s="9" t="n">
        <v>-405.22</v>
      </c>
    </row>
    <row r="4">
      <c r="A4" s="8" t="inlineStr">
        <is>
          <t>PEND-D3BF838B474C-A001</t>
        </is>
      </c>
      <c r="B4" s="8" t="inlineStr">
        <is>
          <t>ABIERTO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1800042763</t>
        </is>
      </c>
      <c r="F4" s="8" t="inlineStr">
        <is>
          <t>PAGO TARJETA CREDITO</t>
        </is>
      </c>
      <c r="G4" s="9" t="n">
        <v>38886.97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3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PEND-625F67D41C37-A001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Banco ingresos no Flexxus anterior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Origen/local no identificado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PEND-F9AE05CE9EE8-A001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CTRL-CONTINUIDAD</t>
        </is>
      </c>
      <c r="F4" s="8" t="inlineStr">
        <is>
          <t>Diferencia técnica menor de continuidad/extracto bancario</t>
        </is>
      </c>
      <c r="G4" s="8" t="inlineStr">
        <is>
          <t>Ajuste menor redondeo/extracto</t>
        </is>
      </c>
      <c r="H4" s="9" t="n">
        <v>3.62</v>
      </c>
      <c r="I4" s="9" t="inlineStr"/>
      <c r="J4" s="8" t="inlineStr">
        <is>
          <t>Ajuste menor redondeo/extracto</t>
        </is>
      </c>
      <c r="K4" s="8" t="inlineStr">
        <is>
          <t>Banco ingresos no Flexxus anterior</t>
        </is>
      </c>
      <c r="L4" s="8" t="inlineStr">
        <is>
          <t>No identificado</t>
        </is>
      </c>
      <c r="M4" s="8" t="inlineStr"/>
      <c r="N4" s="8" t="inlineStr"/>
      <c r="O4" s="9" t="inlineStr">
        <is>
          <t>—</t>
        </is>
      </c>
      <c r="P4" s="9" t="inlineStr"/>
      <c r="Q4" s="8" t="inlineStr">
        <is>
          <t>Origen/local no identificado</t>
        </is>
      </c>
      <c r="R4" s="8" t="inlineStr">
        <is>
          <t>URGENTE: identificar local/origen antes de cerrar rutina administrativa</t>
        </is>
      </c>
    </row>
    <row r="5">
      <c r="A5" s="8" t="inlineStr">
        <is>
          <t>PEND-46CB22F05D1C-A001</t>
        </is>
      </c>
      <c r="B5" s="8" t="inlineStr">
        <is>
          <t>ABIERTO_NUEVO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647618.6899999999</v>
      </c>
      <c r="I5" s="9" t="inlineStr"/>
      <c r="J5" s="8" t="inlineStr">
        <is>
          <t>Liquidación tarjeta</t>
        </is>
      </c>
      <c r="K5" s="8" t="inlineStr">
        <is>
          <t>Corriente actual | TRX Merchant</t>
        </is>
      </c>
      <c r="L5" s="8" t="inlineStr">
        <is>
          <t>Local 8</t>
        </is>
      </c>
      <c r="M5" s="8" t="inlineStr"/>
      <c r="N5" s="8" t="inlineStr">
        <is>
          <t>342960</t>
        </is>
      </c>
      <c r="O5" s="9" t="n">
        <v>647618.6899999999</v>
      </c>
      <c r="P5" s="9" t="n">
        <v>0</v>
      </c>
      <c r="Q5" s="8" t="inlineStr">
        <is>
          <t>Identificado por TRX / liquidación tarjeta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PEND-3AE47BAFAAA2-A001</t>
        </is>
      </c>
      <c r="B6" s="8" t="inlineStr">
        <is>
          <t>ABIERTO_NUEVO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31995644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359684.79</v>
      </c>
      <c r="I6" s="9" t="inlineStr"/>
      <c r="J6" s="8" t="inlineStr">
        <is>
          <t>Liquidación tarjeta</t>
        </is>
      </c>
      <c r="K6" s="8" t="inlineStr">
        <is>
          <t>Corriente actual | TRX Merchant</t>
        </is>
      </c>
      <c r="L6" s="8" t="inlineStr">
        <is>
          <t>Local 7</t>
        </is>
      </c>
      <c r="M6" s="8" t="inlineStr"/>
      <c r="N6" s="8" t="inlineStr">
        <is>
          <t>342959</t>
        </is>
      </c>
      <c r="O6" s="9" t="n">
        <v>359684.79</v>
      </c>
      <c r="P6" s="9" t="n">
        <v>0</v>
      </c>
      <c r="Q6" s="8" t="inlineStr">
        <is>
          <t>Identificado por TRX / liquidación tarjeta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PEND-B1BBC61CEFA1-A001</t>
        </is>
      </c>
      <c r="B7" s="8" t="inlineStr">
        <is>
          <t>ABIERTO_NUEVO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29841670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116078.25</v>
      </c>
      <c r="I7" s="9" t="inlineStr"/>
      <c r="J7" s="8" t="inlineStr">
        <is>
          <t>Liquidación tarjeta</t>
        </is>
      </c>
      <c r="K7" s="8" t="inlineStr">
        <is>
          <t>Corriente actual | TRX Merchant</t>
        </is>
      </c>
      <c r="L7" s="8" t="inlineStr">
        <is>
          <t>Local 5</t>
        </is>
      </c>
      <c r="M7" s="8" t="inlineStr"/>
      <c r="N7" s="8" t="inlineStr">
        <is>
          <t>342949</t>
        </is>
      </c>
      <c r="O7" s="9" t="n">
        <v>116078.25</v>
      </c>
      <c r="P7" s="9" t="n">
        <v>0</v>
      </c>
      <c r="Q7" s="8" t="inlineStr">
        <is>
          <t>Identificado por TRX / liquidación tarjeta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PEND-8D38073875F5-A001</t>
        </is>
      </c>
      <c r="B8" s="8" t="inlineStr">
        <is>
          <t>ABIERTO_NUEVO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29841627</t>
        </is>
      </c>
      <c r="F8" s="8" t="inlineStr">
        <is>
          <t>CR LIQ MASTER DEB 24H</t>
        </is>
      </c>
      <c r="G8" s="8" t="inlineStr">
        <is>
          <t>Liquidación tarjeta</t>
        </is>
      </c>
      <c r="H8" s="9" t="n">
        <v>13336.65</v>
      </c>
      <c r="I8" s="9" t="inlineStr"/>
      <c r="J8" s="8" t="inlineStr">
        <is>
          <t>Liquidación tarjeta</t>
        </is>
      </c>
      <c r="K8" s="8" t="inlineStr">
        <is>
          <t>Corriente actual | TRX Merchant</t>
        </is>
      </c>
      <c r="L8" s="8" t="inlineStr">
        <is>
          <t>Local 2</t>
        </is>
      </c>
      <c r="M8" s="8" t="inlineStr"/>
      <c r="N8" s="8" t="inlineStr">
        <is>
          <t>342947</t>
        </is>
      </c>
      <c r="O8" s="9" t="n">
        <v>13336.65</v>
      </c>
      <c r="P8" s="9" t="n">
        <v>0</v>
      </c>
      <c r="Q8" s="8" t="inlineStr">
        <is>
          <t>Identificado por TRX / liquidación tarjeta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PEND-DD1B760F71C9-A001</t>
        </is>
      </c>
      <c r="B9" s="8" t="inlineStr">
        <is>
          <t>ABIERTO_NUEVO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191553.81</v>
      </c>
      <c r="I9" s="9" t="inlineStr"/>
      <c r="J9" s="8" t="inlineStr">
        <is>
          <t>Liquidación tarjeta</t>
        </is>
      </c>
      <c r="K9" s="8" t="inlineStr">
        <is>
          <t>Corriente actual | TRX Merchant</t>
        </is>
      </c>
      <c r="L9" s="8" t="inlineStr">
        <is>
          <t>Local 8</t>
        </is>
      </c>
      <c r="M9" s="8" t="inlineStr"/>
      <c r="N9" s="8" t="inlineStr">
        <is>
          <t>342937</t>
        </is>
      </c>
      <c r="O9" s="9" t="n">
        <v>191553.81</v>
      </c>
      <c r="P9" s="9" t="n">
        <v>0</v>
      </c>
      <c r="Q9" s="8" t="inlineStr">
        <is>
          <t>Identificado por TRX / liquidación tarjeta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PEND-E688C4F024D5-A001</t>
        </is>
      </c>
      <c r="B10" s="8" t="inlineStr">
        <is>
          <t>ABIERTO_NUEVO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29841683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85354.56</v>
      </c>
      <c r="I10" s="9" t="inlineStr"/>
      <c r="J10" s="8" t="inlineStr">
        <is>
          <t>Liquidación tarjeta</t>
        </is>
      </c>
      <c r="K10" s="8" t="inlineStr">
        <is>
          <t>Corriente actual | TRX Merchant</t>
        </is>
      </c>
      <c r="L10" s="8" t="inlineStr">
        <is>
          <t>Local 3</t>
        </is>
      </c>
      <c r="M10" s="8" t="inlineStr"/>
      <c r="N10" s="8" t="inlineStr">
        <is>
          <t>342926</t>
        </is>
      </c>
      <c r="O10" s="9" t="n">
        <v>85354.56</v>
      </c>
      <c r="P10" s="9" t="n">
        <v>0</v>
      </c>
      <c r="Q10" s="8" t="inlineStr">
        <is>
          <t>Identificado por TRX / liquidación tarjeta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PEND-02C2F8D74288-A001</t>
        </is>
      </c>
      <c r="B11" s="8" t="inlineStr">
        <is>
          <t>ABIERTO_NUEVO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29841627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9879</v>
      </c>
      <c r="I11" s="9" t="inlineStr"/>
      <c r="J11" s="8" t="inlineStr">
        <is>
          <t>Liquidación tarjeta</t>
        </is>
      </c>
      <c r="K11" s="8" t="inlineStr">
        <is>
          <t>Corriente actual | TRX Merchant</t>
        </is>
      </c>
      <c r="L11" s="8" t="inlineStr">
        <is>
          <t>Local 2</t>
        </is>
      </c>
      <c r="M11" s="8" t="inlineStr"/>
      <c r="N11" s="8" t="inlineStr">
        <is>
          <t>342925</t>
        </is>
      </c>
      <c r="O11" s="9" t="n">
        <v>9879</v>
      </c>
      <c r="P11" s="9" t="n">
        <v>0</v>
      </c>
      <c r="Q11" s="8" t="inlineStr">
        <is>
          <t>Identificado por TRX / liquidación tarjeta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PEND-CB230DED9F26-A001</t>
        </is>
      </c>
      <c r="B12" s="8" t="inlineStr">
        <is>
          <t>ABIERTO_NUEVO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29841670</t>
        </is>
      </c>
      <c r="F12" s="8" t="inlineStr">
        <is>
          <t>CR LIQ MASTER DEB 24H</t>
        </is>
      </c>
      <c r="G12" s="8" t="inlineStr">
        <is>
          <t>Liquidación tarjeta</t>
        </is>
      </c>
      <c r="H12" s="9" t="n">
        <v>68866.69</v>
      </c>
      <c r="I12" s="9" t="inlineStr"/>
      <c r="J12" s="8" t="inlineStr">
        <is>
          <t>Liquidación tarjeta</t>
        </is>
      </c>
      <c r="K12" s="8" t="inlineStr">
        <is>
          <t>Corriente actual | TRX Merchant</t>
        </is>
      </c>
      <c r="L12" s="8" t="inlineStr">
        <is>
          <t>Local 5</t>
        </is>
      </c>
      <c r="M12" s="8" t="inlineStr"/>
      <c r="N12" s="8" t="inlineStr">
        <is>
          <t>342996</t>
        </is>
      </c>
      <c r="O12" s="9" t="n">
        <v>68866.69</v>
      </c>
      <c r="P12" s="9" t="n">
        <v>0</v>
      </c>
      <c r="Q12" s="8" t="inlineStr">
        <is>
          <t>Identificado por TRX / liquidación tarjeta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PEND-5CCC08F0E511-A001</t>
        </is>
      </c>
      <c r="B13" s="8" t="inlineStr">
        <is>
          <t>ABIERTO_NUEVO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31995644</t>
        </is>
      </c>
      <c r="F13" s="8" t="inlineStr">
        <is>
          <t>CR LIQ MASTERCARD 24H</t>
        </is>
      </c>
      <c r="G13" s="8" t="inlineStr">
        <is>
          <t>Liquidación tarjeta</t>
        </is>
      </c>
      <c r="H13" s="9" t="n">
        <v>98800.22</v>
      </c>
      <c r="I13" s="9" t="inlineStr"/>
      <c r="J13" s="8" t="inlineStr">
        <is>
          <t>Liquidación tarjeta</t>
        </is>
      </c>
      <c r="K13" s="8" t="inlineStr">
        <is>
          <t>Corriente actual | TRX Merchant</t>
        </is>
      </c>
      <c r="L13" s="8" t="inlineStr">
        <is>
          <t>Local 7</t>
        </is>
      </c>
      <c r="M13" s="8" t="inlineStr"/>
      <c r="N13" s="8" t="inlineStr">
        <is>
          <t>342976</t>
        </is>
      </c>
      <c r="O13" s="9" t="n">
        <v>98800.22</v>
      </c>
      <c r="P13" s="9" t="n">
        <v>0</v>
      </c>
      <c r="Q13" s="8" t="inlineStr">
        <is>
          <t>Identificado por TRX / liquidación tarjeta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PEND-E678394E034C-A001</t>
        </is>
      </c>
      <c r="B14" s="8" t="inlineStr">
        <is>
          <t>ABIERTO_NUEVO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29841683</t>
        </is>
      </c>
      <c r="F14" s="8" t="inlineStr">
        <is>
          <t>CR LIQ MASTERCARD 24H</t>
        </is>
      </c>
      <c r="G14" s="8" t="inlineStr">
        <is>
          <t>Liquidación tarjeta</t>
        </is>
      </c>
      <c r="H14" s="9" t="n">
        <v>23477.28</v>
      </c>
      <c r="I14" s="9" t="inlineStr"/>
      <c r="J14" s="8" t="inlineStr">
        <is>
          <t>Liquidación tarjeta</t>
        </is>
      </c>
      <c r="K14" s="8" t="inlineStr">
        <is>
          <t>Corriente actual | TRX Merchant</t>
        </is>
      </c>
      <c r="L14" s="8" t="inlineStr">
        <is>
          <t>Local 3</t>
        </is>
      </c>
      <c r="M14" s="8" t="inlineStr"/>
      <c r="N14" s="8" t="inlineStr">
        <is>
          <t>342966</t>
        </is>
      </c>
      <c r="O14" s="9" t="n">
        <v>23477.28</v>
      </c>
      <c r="P14" s="9" t="n">
        <v>0</v>
      </c>
      <c r="Q14" s="8" t="inlineStr">
        <is>
          <t>Identificado por TRX / liquidación tarjeta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PEND-DD24F52B1233-A001</t>
        </is>
      </c>
      <c r="B15" s="8" t="inlineStr">
        <is>
          <t>ABIERTO_NUEVO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CR LIQ AMEX/MADQ FIS 24H</t>
        </is>
      </c>
      <c r="G15" s="8" t="inlineStr">
        <is>
          <t>Liquidación tarjeta</t>
        </is>
      </c>
      <c r="H15" s="9" t="n">
        <v>125533.95</v>
      </c>
      <c r="I15" s="9" t="inlineStr"/>
      <c r="J15" s="8" t="inlineStr">
        <is>
          <t>Liquidación tarjeta</t>
        </is>
      </c>
      <c r="K15" s="8" t="inlineStr">
        <is>
          <t>Corriente actual | TRX Merchant</t>
        </is>
      </c>
      <c r="L15" s="8" t="inlineStr">
        <is>
          <t>Local 8</t>
        </is>
      </c>
      <c r="M15" s="8" t="inlineStr"/>
      <c r="N15" s="8" t="inlineStr">
        <is>
          <t>342401</t>
        </is>
      </c>
      <c r="O15" s="9" t="n">
        <v>125533.95</v>
      </c>
      <c r="P15" s="9" t="n">
        <v>0</v>
      </c>
      <c r="Q15" s="8" t="inlineStr">
        <is>
          <t>Identificado por TRX / liquidación tarjeta</t>
        </is>
      </c>
      <c r="R15" s="8" t="inlineStr">
        <is>
          <t>Cargar/regularizar en Flexxus como PAV o identificar cliente/local</t>
        </is>
      </c>
    </row>
    <row r="16">
      <c r="A16" s="8" t="inlineStr">
        <is>
          <t>PEND-F6483EDE5CE0-A001</t>
        </is>
      </c>
      <c r="B16" s="8" t="inlineStr">
        <is>
          <t>ABIERTO_NUEVO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CR LIQ AMEX/MADQ FIS 24H</t>
        </is>
      </c>
      <c r="G16" s="8" t="inlineStr">
        <is>
          <t>Liquidación tarjeta</t>
        </is>
      </c>
      <c r="H16" s="9" t="n">
        <v>54306</v>
      </c>
      <c r="I16" s="9" t="inlineStr"/>
      <c r="J16" s="8" t="inlineStr">
        <is>
          <t>Liquidación tarjeta</t>
        </is>
      </c>
      <c r="K16" s="8" t="inlineStr">
        <is>
          <t>Corriente actual | TRX Merchant</t>
        </is>
      </c>
      <c r="L16" s="8" t="inlineStr">
        <is>
          <t>Local 7</t>
        </is>
      </c>
      <c r="M16" s="8" t="inlineStr"/>
      <c r="N16" s="8" t="inlineStr">
        <is>
          <t>342400</t>
        </is>
      </c>
      <c r="O16" s="9" t="n">
        <v>54306</v>
      </c>
      <c r="P16" s="9" t="n">
        <v>0</v>
      </c>
      <c r="Q16" s="8" t="inlineStr">
        <is>
          <t>Identificado por TRX / liquidación tarjeta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PEND-2CA0CD70AE1B-A001</t>
        </is>
      </c>
      <c r="B17" s="8" t="inlineStr">
        <is>
          <t>ABIERTO_NUEVO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32032899</t>
        </is>
      </c>
      <c r="F17" s="8" t="inlineStr">
        <is>
          <t>CR LIQ MASTER DEB 24H</t>
        </is>
      </c>
      <c r="G17" s="8" t="inlineStr">
        <is>
          <t>Liquidación tarjeta</t>
        </is>
      </c>
      <c r="H17" s="9" t="n">
        <v>471926.13</v>
      </c>
      <c r="I17" s="9" t="inlineStr"/>
      <c r="J17" s="8" t="inlineStr">
        <is>
          <t>Liquidación tarjeta</t>
        </is>
      </c>
      <c r="K17" s="8" t="inlineStr">
        <is>
          <t>Corriente actual | TRX Merchant</t>
        </is>
      </c>
      <c r="L17" s="8" t="inlineStr">
        <is>
          <t>Local 8</t>
        </is>
      </c>
      <c r="M17" s="8" t="inlineStr"/>
      <c r="N17" s="8" t="inlineStr">
        <is>
          <t>342391</t>
        </is>
      </c>
      <c r="O17" s="9" t="n">
        <v>471926.13</v>
      </c>
      <c r="P17" s="9" t="n">
        <v>0</v>
      </c>
      <c r="Q17" s="8" t="inlineStr">
        <is>
          <t>Identificado por TRX / liquidación tarjeta</t>
        </is>
      </c>
      <c r="R17" s="8" t="inlineStr">
        <is>
          <t>Cargar/regularizar en Flexxus como PAV o identificar cliente/local</t>
        </is>
      </c>
    </row>
    <row r="18">
      <c r="A18" s="8" t="inlineStr">
        <is>
          <t>PEND-3B8E04F149A1-A001</t>
        </is>
      </c>
      <c r="B18" s="8" t="inlineStr">
        <is>
          <t>ABIERTO_NUEVO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CR LIQ MASTER DEB 24H</t>
        </is>
      </c>
      <c r="G18" s="8" t="inlineStr">
        <is>
          <t>Liquidación tarjeta</t>
        </is>
      </c>
      <c r="H18" s="9" t="n">
        <v>295259.37</v>
      </c>
      <c r="I18" s="9" t="inlineStr"/>
      <c r="J18" s="8" t="inlineStr">
        <is>
          <t>Liquidación tarjeta</t>
        </is>
      </c>
      <c r="K18" s="8" t="inlineStr">
        <is>
          <t>Corriente actual | TRX Merchant</t>
        </is>
      </c>
      <c r="L18" s="8" t="inlineStr">
        <is>
          <t>Local 8</t>
        </is>
      </c>
      <c r="M18" s="8" t="inlineStr"/>
      <c r="N18" s="8" t="inlineStr">
        <is>
          <t>341143</t>
        </is>
      </c>
      <c r="O18" s="9" t="n">
        <v>295259.37</v>
      </c>
      <c r="P18" s="9" t="n">
        <v>0</v>
      </c>
      <c r="Q18" s="8" t="inlineStr">
        <is>
          <t>Identificado por TRX / liquidación tarjeta</t>
        </is>
      </c>
      <c r="R18" s="8" t="inlineStr">
        <is>
          <t>Cargar/regularizar en Flexxus como PAV o identificar cliente/local</t>
        </is>
      </c>
    </row>
    <row r="19">
      <c r="A19" s="8" t="inlineStr">
        <is>
          <t>PEND-AE5E4B5C64CB-A001</t>
        </is>
      </c>
      <c r="B19" s="8" t="inlineStr">
        <is>
          <t>ABIERTO_NUEVO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31995644</t>
        </is>
      </c>
      <c r="F19" s="8" t="inlineStr">
        <is>
          <t>CR LIQ MASTER DEB 24H</t>
        </is>
      </c>
      <c r="G19" s="8" t="inlineStr">
        <is>
          <t>Liquidación tarjeta</t>
        </is>
      </c>
      <c r="H19" s="9" t="n">
        <v>453447.98</v>
      </c>
      <c r="I19" s="9" t="inlineStr"/>
      <c r="J19" s="8" t="inlineStr">
        <is>
          <t>Liquidación tarjeta</t>
        </is>
      </c>
      <c r="K19" s="8" t="inlineStr">
        <is>
          <t>Corriente actual | TRX Merchant</t>
        </is>
      </c>
      <c r="L19" s="8" t="inlineStr">
        <is>
          <t>Local 7</t>
        </is>
      </c>
      <c r="M19" s="8" t="inlineStr"/>
      <c r="N19" s="8" t="inlineStr">
        <is>
          <t>342390</t>
        </is>
      </c>
      <c r="O19" s="9" t="n">
        <v>453447.98</v>
      </c>
      <c r="P19" s="9" t="n">
        <v>0</v>
      </c>
      <c r="Q19" s="8" t="inlineStr">
        <is>
          <t>Identificado por TRX / liquidación tarjeta</t>
        </is>
      </c>
      <c r="R19" s="8" t="inlineStr">
        <is>
          <t>Cargar/regularizar en Flexxus como PAV o identificar cliente/local</t>
        </is>
      </c>
    </row>
    <row r="20">
      <c r="A20" s="8" t="inlineStr">
        <is>
          <t>PEND-64BAAE3942CB-A001</t>
        </is>
      </c>
      <c r="B20" s="8" t="inlineStr">
        <is>
          <t>ABIERTO_NUEVO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CR LIQ MASTER DEB 24H</t>
        </is>
      </c>
      <c r="G20" s="8" t="inlineStr">
        <is>
          <t>Liquidación tarjeta</t>
        </is>
      </c>
      <c r="H20" s="9" t="n">
        <v>475282.85</v>
      </c>
      <c r="I20" s="9" t="inlineStr"/>
      <c r="J20" s="8" t="inlineStr">
        <is>
          <t>Liquidación tarjeta</t>
        </is>
      </c>
      <c r="K20" s="8" t="inlineStr">
        <is>
          <t>Corriente actual | TRX Merchant</t>
        </is>
      </c>
      <c r="L20" s="8" t="inlineStr">
        <is>
          <t>Local 7</t>
        </is>
      </c>
      <c r="M20" s="8" t="inlineStr"/>
      <c r="N20" s="8" t="inlineStr">
        <is>
          <t>341142</t>
        </is>
      </c>
      <c r="O20" s="9" t="n">
        <v>475282.85</v>
      </c>
      <c r="P20" s="9" t="n">
        <v>0</v>
      </c>
      <c r="Q20" s="8" t="inlineStr">
        <is>
          <t>Identificado por TRX / liquidación tarjeta</t>
        </is>
      </c>
      <c r="R20" s="8" t="inlineStr">
        <is>
          <t>Cargar/regularizar en Flexxus como PAV o identificar cliente/local</t>
        </is>
      </c>
    </row>
    <row r="21">
      <c r="A21" s="8" t="inlineStr">
        <is>
          <t>PEND-A667EE9894A7-A001</t>
        </is>
      </c>
      <c r="B21" s="8" t="inlineStr">
        <is>
          <t>ABIERTO_NUEVO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29841670</t>
        </is>
      </c>
      <c r="F21" s="8" t="inlineStr">
        <is>
          <t>CR LIQ MASTER DEB 24H</t>
        </is>
      </c>
      <c r="G21" s="8" t="inlineStr">
        <is>
          <t>Liquidación tarjeta</t>
        </is>
      </c>
      <c r="H21" s="9" t="n">
        <v>39715.73</v>
      </c>
      <c r="I21" s="9" t="inlineStr"/>
      <c r="J21" s="8" t="inlineStr">
        <is>
          <t>Liquidación tarjeta</t>
        </is>
      </c>
      <c r="K21" s="8" t="inlineStr">
        <is>
          <t>Corriente actual | TRX Merchant</t>
        </is>
      </c>
      <c r="L21" s="8" t="inlineStr">
        <is>
          <t>Local 5</t>
        </is>
      </c>
      <c r="M21" s="8" t="inlineStr"/>
      <c r="N21" s="8" t="inlineStr">
        <is>
          <t>342384</t>
        </is>
      </c>
      <c r="O21" s="9" t="n">
        <v>39715.73</v>
      </c>
      <c r="P21" s="9" t="n">
        <v>0</v>
      </c>
      <c r="Q21" s="8" t="inlineStr">
        <is>
          <t>Identificado por TRX / liquidación tarjeta</t>
        </is>
      </c>
      <c r="R21" s="8" t="inlineStr">
        <is>
          <t>Cargar/regularizar en Flexxus como PAV o identificar cliente/local</t>
        </is>
      </c>
    </row>
    <row r="22">
      <c r="A22" s="8" t="inlineStr">
        <is>
          <t>PEND-3A6FC7065AA2-A001</t>
        </is>
      </c>
      <c r="B22" s="8" t="inlineStr">
        <is>
          <t>ABIERTO_NUEVO</t>
        </is>
      </c>
      <c r="C22" s="8" t="inlineStr">
        <is>
          <t>Banco ingreso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CR LIQ MASTERCARD 24H</t>
        </is>
      </c>
      <c r="G22" s="8" t="inlineStr">
        <is>
          <t>Liquidación tarjeta</t>
        </is>
      </c>
      <c r="H22" s="9" t="n">
        <v>140199.31</v>
      </c>
      <c r="I22" s="9" t="inlineStr"/>
      <c r="J22" s="8" t="inlineStr">
        <is>
          <t>Liquidación tarjeta</t>
        </is>
      </c>
      <c r="K22" s="8" t="inlineStr">
        <is>
          <t>Corriente actual | TRX Merchant</t>
        </is>
      </c>
      <c r="L22" s="8" t="inlineStr">
        <is>
          <t>Local 8</t>
        </is>
      </c>
      <c r="M22" s="8" t="inlineStr"/>
      <c r="N22" s="8" t="inlineStr">
        <is>
          <t>342377</t>
        </is>
      </c>
      <c r="O22" s="9" t="n">
        <v>140199.31</v>
      </c>
      <c r="P22" s="9" t="n">
        <v>0</v>
      </c>
      <c r="Q22" s="8" t="inlineStr">
        <is>
          <t>Identificado por TRX / liquidación tarjeta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PEND-E8F4FADDDAF8-A001</t>
        </is>
      </c>
      <c r="B23" s="8" t="inlineStr">
        <is>
          <t>ABIERTO_NUEVO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31995644</t>
        </is>
      </c>
      <c r="F23" s="8" t="inlineStr">
        <is>
          <t>CR LIQ MASTERCARD 24H</t>
        </is>
      </c>
      <c r="G23" s="8" t="inlineStr">
        <is>
          <t>Liquidación tarjeta</t>
        </is>
      </c>
      <c r="H23" s="9" t="n">
        <v>154962.27</v>
      </c>
      <c r="I23" s="9" t="inlineStr"/>
      <c r="J23" s="8" t="inlineStr">
        <is>
          <t>Liquidación tarjeta</t>
        </is>
      </c>
      <c r="K23" s="8" t="inlineStr">
        <is>
          <t>Corriente actual | TRX Merchant</t>
        </is>
      </c>
      <c r="L23" s="8" t="inlineStr">
        <is>
          <t>Local 7</t>
        </is>
      </c>
      <c r="M23" s="8" t="inlineStr"/>
      <c r="N23" s="8" t="inlineStr">
        <is>
          <t>342376</t>
        </is>
      </c>
      <c r="O23" s="9" t="n">
        <v>154962.27</v>
      </c>
      <c r="P23" s="9" t="n">
        <v>0</v>
      </c>
      <c r="Q23" s="8" t="inlineStr">
        <is>
          <t>Identificado por TRX / liquidación tarjeta</t>
        </is>
      </c>
      <c r="R23" s="8" t="inlineStr">
        <is>
          <t>Cargar/regularizar en Flexxus como PAV o identificar cliente/local</t>
        </is>
      </c>
    </row>
    <row r="24">
      <c r="A24" s="8" t="inlineStr">
        <is>
          <t>PEND-B1DA13BFBEB0-A001</t>
        </is>
      </c>
      <c r="B24" s="8" t="inlineStr">
        <is>
          <t>ABIERTO_NUEVO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CR LIQ MASTERCARD 24H</t>
        </is>
      </c>
      <c r="G24" s="8" t="inlineStr">
        <is>
          <t>Liquidación tarjeta</t>
        </is>
      </c>
      <c r="H24" s="9" t="n">
        <v>110054.17</v>
      </c>
      <c r="I24" s="9" t="inlineStr"/>
      <c r="J24" s="8" t="inlineStr">
        <is>
          <t>Liquidación tarjeta</t>
        </is>
      </c>
      <c r="K24" s="8" t="inlineStr">
        <is>
          <t>Corriente actual | TRX Merchant</t>
        </is>
      </c>
      <c r="L24" s="8" t="inlineStr">
        <is>
          <t>Local 7</t>
        </is>
      </c>
      <c r="M24" s="8" t="inlineStr"/>
      <c r="N24" s="8" t="inlineStr">
        <is>
          <t>341121</t>
        </is>
      </c>
      <c r="O24" s="9" t="n">
        <v>110054.17</v>
      </c>
      <c r="P24" s="9" t="n">
        <v>0</v>
      </c>
      <c r="Q24" s="8" t="inlineStr">
        <is>
          <t>Identificado por TRX / liquidación tarjeta</t>
        </is>
      </c>
      <c r="R24" s="8" t="inlineStr">
        <is>
          <t>Cargar/regularizar en Flexxus como PAV o identificar cliente/local</t>
        </is>
      </c>
    </row>
    <row r="25">
      <c r="A25" s="8" t="inlineStr">
        <is>
          <t>PEND-1D0645231BD7-A001</t>
        </is>
      </c>
      <c r="B25" s="8" t="inlineStr">
        <is>
          <t>ABIERTO_NUEVO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108847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24758</v>
      </c>
      <c r="I25" s="9" t="inlineStr"/>
      <c r="J25" s="8" t="inlineStr">
        <is>
          <t>QR / CR DEBIN SPOT</t>
        </is>
      </c>
      <c r="K25" s="8" t="inlineStr">
        <is>
          <t>Corriente actual | QR PCT</t>
        </is>
      </c>
      <c r="L25" s="8" t="inlineStr">
        <is>
          <t>Local 5</t>
        </is>
      </c>
      <c r="M25" s="8" t="inlineStr">
        <is>
          <t>399</t>
        </is>
      </c>
      <c r="N25" s="8" t="inlineStr"/>
      <c r="O25" s="9" t="n">
        <v>24758</v>
      </c>
      <c r="P25" s="9" t="n">
        <v>0</v>
      </c>
      <c r="Q25" s="8" t="inlineStr">
        <is>
          <t>Identificado por Transacciones QR</t>
        </is>
      </c>
      <c r="R25" s="8" t="inlineStr">
        <is>
          <t>Cargar/regularizar en Flexxus como PAV o identificar cliente/local</t>
        </is>
      </c>
    </row>
    <row r="26">
      <c r="A26" s="8" t="inlineStr">
        <is>
          <t>PEND-4829146B3C15-A001</t>
        </is>
      </c>
      <c r="B26" s="8" t="inlineStr">
        <is>
          <t>ABIERTO_NUEVO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108843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11388.68</v>
      </c>
      <c r="I26" s="9" t="inlineStr"/>
      <c r="J26" s="8" t="inlineStr">
        <is>
          <t>QR / CR DEBIN SPOT</t>
        </is>
      </c>
      <c r="K26" s="8" t="inlineStr">
        <is>
          <t>Corriente actual | Banco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PEND-79B3ECEBD041-A001</t>
        </is>
      </c>
      <c r="B27" s="8" t="inlineStr">
        <is>
          <t>ABIERTO_NUEVO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108835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26738.64</v>
      </c>
      <c r="I27" s="9" t="inlineStr"/>
      <c r="J27" s="8" t="inlineStr">
        <is>
          <t>QR / CR DEBIN SPOT</t>
        </is>
      </c>
      <c r="K27" s="8" t="inlineStr">
        <is>
          <t>Corriente actual | Banco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PEND-E396283C15E0-A001</t>
        </is>
      </c>
      <c r="B28" s="8" t="inlineStr">
        <is>
          <t>ABIERTO_NUEVO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108829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27629.93</v>
      </c>
      <c r="I28" s="9" t="inlineStr"/>
      <c r="J28" s="8" t="inlineStr">
        <is>
          <t>QR / CR DEBIN SPOT</t>
        </is>
      </c>
      <c r="K28" s="8" t="inlineStr">
        <is>
          <t>Corriente actual | Banco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PEND-C9ECA9A001DF-A001</t>
        </is>
      </c>
      <c r="B29" s="8" t="inlineStr">
        <is>
          <t>ABIERTO_NUEVO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108826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22876.39</v>
      </c>
      <c r="I29" s="9" t="inlineStr"/>
      <c r="J29" s="8" t="inlineStr">
        <is>
          <t>QR / CR DEBIN SPOT</t>
        </is>
      </c>
      <c r="K29" s="8" t="inlineStr">
        <is>
          <t>Corriente actual | Banco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PEND-77A6A0BE4C91-A001</t>
        </is>
      </c>
      <c r="B30" s="8" t="inlineStr">
        <is>
          <t>ABIERTO_NUEVO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108824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34166.04</v>
      </c>
      <c r="I30" s="9" t="inlineStr"/>
      <c r="J30" s="8" t="inlineStr">
        <is>
          <t>QR / CR DEBIN SPOT</t>
        </is>
      </c>
      <c r="K30" s="8" t="inlineStr">
        <is>
          <t>Corriente actual | Banco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PEND-B6C937586AE9-A001</t>
        </is>
      </c>
      <c r="B31" s="8" t="inlineStr">
        <is>
          <t>ABIERTO_NUEVO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108823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24758</v>
      </c>
      <c r="I31" s="9" t="inlineStr"/>
      <c r="J31" s="8" t="inlineStr">
        <is>
          <t>QR / CR DEBIN SPOT</t>
        </is>
      </c>
      <c r="K31" s="8" t="inlineStr">
        <is>
          <t>Corriente actual | QR PCT</t>
        </is>
      </c>
      <c r="L31" s="8" t="inlineStr">
        <is>
          <t>Local 5</t>
        </is>
      </c>
      <c r="M31" s="8" t="inlineStr">
        <is>
          <t>399</t>
        </is>
      </c>
      <c r="N31" s="8" t="inlineStr"/>
      <c r="O31" s="9" t="n">
        <v>24758</v>
      </c>
      <c r="P31" s="9" t="n">
        <v>0</v>
      </c>
      <c r="Q31" s="8" t="inlineStr">
        <is>
          <t>Identificado por Transacciones QR</t>
        </is>
      </c>
      <c r="R31" s="8" t="inlineStr">
        <is>
          <t>Cargar/regularizar en Flexxus como PAV o identificar cliente/local</t>
        </is>
      </c>
    </row>
    <row r="32">
      <c r="A32" s="8" t="inlineStr">
        <is>
          <t>PEND-8A47BCF4C9E4-A001</t>
        </is>
      </c>
      <c r="B32" s="8" t="inlineStr">
        <is>
          <t>ABIERTO_NUEVO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108822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11388.68</v>
      </c>
      <c r="I32" s="9" t="inlineStr"/>
      <c r="J32" s="8" t="inlineStr">
        <is>
          <t>QR / CR DEBIN SPOT</t>
        </is>
      </c>
      <c r="K32" s="8" t="inlineStr">
        <is>
          <t>Corriente actual | Banco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PEND-06CEBE503499-A001</t>
        </is>
      </c>
      <c r="B33" s="8" t="inlineStr">
        <is>
          <t>ABIERTO_NUEVO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108820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23767.68</v>
      </c>
      <c r="I33" s="9" t="inlineStr"/>
      <c r="J33" s="8" t="inlineStr">
        <is>
          <t>QR / CR DEBIN SPOT</t>
        </is>
      </c>
      <c r="K33" s="8" t="inlineStr">
        <is>
          <t>Corriente actual | Banco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PEND-80CC2370B831-A001</t>
        </is>
      </c>
      <c r="B34" s="8" t="inlineStr">
        <is>
          <t>ABIERTO_NUEVO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108816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13369.32</v>
      </c>
      <c r="I34" s="9" t="inlineStr"/>
      <c r="J34" s="8" t="inlineStr">
        <is>
          <t>QR / CR DEBIN SPOT</t>
        </is>
      </c>
      <c r="K34" s="8" t="inlineStr">
        <is>
          <t>Corriente actual | Banco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PEND-6A047A2FDCFB-A001</t>
        </is>
      </c>
      <c r="B35" s="8" t="inlineStr">
        <is>
          <t>ABIERTO_NUEVO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108814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22777.36</v>
      </c>
      <c r="I35" s="9" t="inlineStr"/>
      <c r="J35" s="8" t="inlineStr">
        <is>
          <t>QR / CR DEBIN SPOT</t>
        </is>
      </c>
      <c r="K35" s="8" t="inlineStr">
        <is>
          <t>Corriente actual | Banco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PEND-81EAB40F97D4-A001</t>
        </is>
      </c>
      <c r="B36" s="8" t="inlineStr">
        <is>
          <t>ABIERTO_NUEVO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108813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26738.64</v>
      </c>
      <c r="I36" s="9" t="inlineStr"/>
      <c r="J36" s="8" t="inlineStr">
        <is>
          <t>QR / CR DEBIN SPOT</t>
        </is>
      </c>
      <c r="K36" s="8" t="inlineStr">
        <is>
          <t>Corriente actual | Banco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PEND-19264E6F48AD-A001</t>
        </is>
      </c>
      <c r="B37" s="8" t="inlineStr">
        <is>
          <t>ABIERTO_NUEVO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108808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14854.8</v>
      </c>
      <c r="I37" s="9" t="inlineStr"/>
      <c r="J37" s="8" t="inlineStr">
        <is>
          <t>QR / CR DEBIN SPOT</t>
        </is>
      </c>
      <c r="K37" s="8" t="inlineStr">
        <is>
          <t>Corriente actual | Banco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PEND-2F87F0D49D8A-A001</t>
        </is>
      </c>
      <c r="B38" s="8" t="inlineStr">
        <is>
          <t>ABIERTO_NUEVO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108805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26738.64</v>
      </c>
      <c r="I38" s="9" t="inlineStr"/>
      <c r="J38" s="8" t="inlineStr">
        <is>
          <t>QR / CR DEBIN SPOT</t>
        </is>
      </c>
      <c r="K38" s="8" t="inlineStr">
        <is>
          <t>Corriente actual | Banco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PEND-A037C70A6566-A001</t>
        </is>
      </c>
      <c r="B39" s="8" t="inlineStr">
        <is>
          <t>ABIERTO_NUEVO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108802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38127.32</v>
      </c>
      <c r="I39" s="9" t="inlineStr"/>
      <c r="J39" s="8" t="inlineStr">
        <is>
          <t>QR / CR DEBIN SPOT</t>
        </is>
      </c>
      <c r="K39" s="8" t="inlineStr">
        <is>
          <t>Corriente actual | Banco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PEND-5F262F57DBBD-A001</t>
        </is>
      </c>
      <c r="B40" s="8" t="inlineStr">
        <is>
          <t>ABIERTO_NUEVO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108801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8912.879999999999</v>
      </c>
      <c r="I40" s="9" t="inlineStr"/>
      <c r="J40" s="8" t="inlineStr">
        <is>
          <t>QR / CR DEBIN SPOT</t>
        </is>
      </c>
      <c r="K40" s="8" t="inlineStr">
        <is>
          <t>Corriente actual | Banco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PEND-EFE590E0B770-A001</t>
        </is>
      </c>
      <c r="B41" s="8" t="inlineStr">
        <is>
          <t>ABIERTO_NUEVO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108792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18915.11</v>
      </c>
      <c r="I41" s="9" t="inlineStr"/>
      <c r="J41" s="8" t="inlineStr">
        <is>
          <t>QR / CR DEBIN SPOT</t>
        </is>
      </c>
      <c r="K41" s="8" t="inlineStr">
        <is>
          <t>Corriente actual | Banco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PEND-A8C1B59F4F8F-A001</t>
        </is>
      </c>
      <c r="B42" s="8" t="inlineStr">
        <is>
          <t>ABIERTO_NUEVO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108791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34166.04</v>
      </c>
      <c r="I42" s="9" t="inlineStr"/>
      <c r="J42" s="8" t="inlineStr">
        <is>
          <t>QR / CR DEBIN SPOT</t>
        </is>
      </c>
      <c r="K42" s="8" t="inlineStr">
        <is>
          <t>Corriente actual | Banco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PEND-43E7B901D13E-A001</t>
        </is>
      </c>
      <c r="B43" s="8" t="inlineStr">
        <is>
          <t>ABIERTO_NUEVO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108787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45455.69</v>
      </c>
      <c r="I43" s="9" t="inlineStr"/>
      <c r="J43" s="8" t="inlineStr">
        <is>
          <t>QR / CR DEBIN SPOT</t>
        </is>
      </c>
      <c r="K43" s="8" t="inlineStr">
        <is>
          <t>Corriente actual | Banco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PEND-99EA7A14C4E0-A001</t>
        </is>
      </c>
      <c r="B44" s="8" t="inlineStr">
        <is>
          <t>ABIERTO_NUEVO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108786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11388.68</v>
      </c>
      <c r="I44" s="9" t="inlineStr"/>
      <c r="J44" s="8" t="inlineStr">
        <is>
          <t>QR / CR DEBIN SPOT</t>
        </is>
      </c>
      <c r="K44" s="8" t="inlineStr">
        <is>
          <t>Corriente actual | Banco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PEND-62BB5CF9EC32-A001</t>
        </is>
      </c>
      <c r="B45" s="8" t="inlineStr">
        <is>
          <t>ABIERTO_NUEVO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108778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33175.72</v>
      </c>
      <c r="I45" s="9" t="inlineStr"/>
      <c r="J45" s="8" t="inlineStr">
        <is>
          <t>QR / CR DEBIN SPOT</t>
        </is>
      </c>
      <c r="K45" s="8" t="inlineStr">
        <is>
          <t>Corriente actual | Banco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PEND-99BF58D2D8AF-A001</t>
        </is>
      </c>
      <c r="B46" s="8" t="inlineStr">
        <is>
          <t>ABIERTO_NUEVO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108773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8417.719999999999</v>
      </c>
      <c r="I46" s="9" t="inlineStr"/>
      <c r="J46" s="8" t="inlineStr">
        <is>
          <t>QR / CR DEBIN SPOT</t>
        </is>
      </c>
      <c r="K46" s="8" t="inlineStr">
        <is>
          <t>Corriente actual | Banco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PEND-03DD9F4382AD-A001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108772</t>
        </is>
      </c>
      <c r="F47" s="8" t="inlineStr">
        <is>
          <t>CR DEBIN SPOT - CUIT/CUIL: 30711424179</t>
        </is>
      </c>
      <c r="G47" s="8" t="inlineStr">
        <is>
          <t>QR / CR DEBIN SPOT</t>
        </is>
      </c>
      <c r="H47" s="9" t="n">
        <v>4456.44</v>
      </c>
      <c r="I47" s="9" t="inlineStr"/>
      <c r="J47" s="8" t="inlineStr">
        <is>
          <t>QR / CR DEBIN SPOT</t>
        </is>
      </c>
      <c r="K47" s="8" t="inlineStr">
        <is>
          <t>Corriente actual | Banco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PEND-133D1050B0A2-A001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108769</t>
        </is>
      </c>
      <c r="F48" s="8" t="inlineStr">
        <is>
          <t>CR DEBIN SPOT - CUIT/CUIL: 30711424179</t>
        </is>
      </c>
      <c r="G48" s="8" t="inlineStr">
        <is>
          <t>QR / CR DEBIN SPOT</t>
        </is>
      </c>
      <c r="H48" s="9" t="n">
        <v>7724.5</v>
      </c>
      <c r="I48" s="9" t="inlineStr"/>
      <c r="J48" s="8" t="inlineStr">
        <is>
          <t>QR / CR DEBIN SPOT</t>
        </is>
      </c>
      <c r="K48" s="8" t="inlineStr">
        <is>
          <t>Corriente actual | Banco</t>
        </is>
      </c>
      <c r="L48" s="8" t="inlineStr">
        <is>
          <t>No identificado</t>
        </is>
      </c>
      <c r="M48" s="8" t="inlineStr">
        <is>
          <t>No encontrado en QR</t>
        </is>
      </c>
      <c r="N48" s="8" t="inlineStr"/>
      <c r="O48" s="9" t="inlineStr">
        <is>
          <t>—</t>
        </is>
      </c>
      <c r="P48" s="9" t="inlineStr"/>
      <c r="Q48" s="8" t="inlineStr">
        <is>
          <t>QR bancario sin match QR PCT/local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PEND-A29C7302FE45-A001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108767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13369.32</v>
      </c>
      <c r="I49" s="9" t="inlineStr"/>
      <c r="J49" s="8" t="inlineStr">
        <is>
          <t>QR / CR DEBIN SPOT</t>
        </is>
      </c>
      <c r="K49" s="8" t="inlineStr">
        <is>
          <t>Corriente actual | Banco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PEND-09B699E9913E-A001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27/04/2026</t>
        </is>
      </c>
      <c r="E50" s="8" t="inlineStr">
        <is>
          <t>108766</t>
        </is>
      </c>
      <c r="F50" s="8" t="inlineStr">
        <is>
          <t>CR DEBIN SPOT - CUIT/CUIL: 30711424179</t>
        </is>
      </c>
      <c r="G50" s="8" t="inlineStr">
        <is>
          <t>QR / CR DEBIN SPOT</t>
        </is>
      </c>
      <c r="H50" s="9" t="n">
        <v>22777.36</v>
      </c>
      <c r="I50" s="9" t="inlineStr"/>
      <c r="J50" s="8" t="inlineStr">
        <is>
          <t>QR / CR DEBIN SPOT</t>
        </is>
      </c>
      <c r="K50" s="8" t="inlineStr">
        <is>
          <t>Corriente actual | Banco</t>
        </is>
      </c>
      <c r="L50" s="8" t="inlineStr">
        <is>
          <t>No identificado</t>
        </is>
      </c>
      <c r="M50" s="8" t="inlineStr">
        <is>
          <t>No encontrado en QR</t>
        </is>
      </c>
      <c r="N50" s="8" t="inlineStr"/>
      <c r="O50" s="9" t="inlineStr">
        <is>
          <t>—</t>
        </is>
      </c>
      <c r="P50" s="9" t="inlineStr"/>
      <c r="Q50" s="8" t="inlineStr">
        <is>
          <t>QR bancario sin match QR PCT/local</t>
        </is>
      </c>
      <c r="R50" s="8" t="inlineStr">
        <is>
          <t>URGENTE: identificar local/origen antes de cerrar rutina administrativa</t>
        </is>
      </c>
    </row>
    <row r="51">
      <c r="A51" s="8" t="inlineStr">
        <is>
          <t>PEND-82E0E61DF329-A001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27/04/2026</t>
        </is>
      </c>
      <c r="E51" s="8" t="inlineStr">
        <is>
          <t>108765</t>
        </is>
      </c>
      <c r="F51" s="8" t="inlineStr">
        <is>
          <t>CR DEBIN SPOT - CUIT/CUIL: 30711424179</t>
        </is>
      </c>
      <c r="G51" s="8" t="inlineStr">
        <is>
          <t>QR / CR DEBIN SPOT</t>
        </is>
      </c>
      <c r="H51" s="9" t="n">
        <v>26738.64</v>
      </c>
      <c r="I51" s="9" t="inlineStr"/>
      <c r="J51" s="8" t="inlineStr">
        <is>
          <t>QR / CR DEBIN SPOT</t>
        </is>
      </c>
      <c r="K51" s="8" t="inlineStr">
        <is>
          <t>Corriente actual | Banco</t>
        </is>
      </c>
      <c r="L51" s="8" t="inlineStr">
        <is>
          <t>No identificado</t>
        </is>
      </c>
      <c r="M51" s="8" t="inlineStr">
        <is>
          <t>No encontrado en QR</t>
        </is>
      </c>
      <c r="N51" s="8" t="inlineStr"/>
      <c r="O51" s="9" t="inlineStr">
        <is>
          <t>—</t>
        </is>
      </c>
      <c r="P51" s="9" t="inlineStr"/>
      <c r="Q51" s="8" t="inlineStr">
        <is>
          <t>QR bancario sin match QR PCT/local</t>
        </is>
      </c>
      <c r="R51" s="8" t="inlineStr">
        <is>
          <t>URGENTE: identificar local/origen antes de cerrar rutina administrativa</t>
        </is>
      </c>
    </row>
    <row r="52">
      <c r="A52" s="8" t="inlineStr">
        <is>
          <t>PEND-F31CC40D0C2A-A001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27/04/2026</t>
        </is>
      </c>
      <c r="E52" s="8" t="inlineStr">
        <is>
          <t>108764</t>
        </is>
      </c>
      <c r="F52" s="8" t="inlineStr">
        <is>
          <t>CR DEBIN SPOT - CUIT/CUIL: 30711424179</t>
        </is>
      </c>
      <c r="G52" s="8" t="inlineStr">
        <is>
          <t>QR / CR DEBIN SPOT</t>
        </is>
      </c>
      <c r="H52" s="9" t="n">
        <v>13369.32</v>
      </c>
      <c r="I52" s="9" t="inlineStr"/>
      <c r="J52" s="8" t="inlineStr">
        <is>
          <t>QR / CR DEBIN SPOT</t>
        </is>
      </c>
      <c r="K52" s="8" t="inlineStr">
        <is>
          <t>Corriente actual | Banco</t>
        </is>
      </c>
      <c r="L52" s="8" t="inlineStr">
        <is>
          <t>No identificado</t>
        </is>
      </c>
      <c r="M52" s="8" t="inlineStr">
        <is>
          <t>No encontrado en QR</t>
        </is>
      </c>
      <c r="N52" s="8" t="inlineStr"/>
      <c r="O52" s="9" t="inlineStr">
        <is>
          <t>—</t>
        </is>
      </c>
      <c r="P52" s="9" t="inlineStr"/>
      <c r="Q52" s="8" t="inlineStr">
        <is>
          <t>QR bancario sin match QR PCT/local</t>
        </is>
      </c>
      <c r="R52" s="8" t="inlineStr">
        <is>
          <t>URGENTE: identificar local/origen antes de cerrar rutina administrativa</t>
        </is>
      </c>
    </row>
    <row r="53">
      <c r="A53" s="8" t="inlineStr">
        <is>
          <t>PEND-751748EA7ECF-A001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27/04/2026</t>
        </is>
      </c>
      <c r="E53" s="8" t="inlineStr">
        <is>
          <t>108761</t>
        </is>
      </c>
      <c r="F53" s="8" t="inlineStr">
        <is>
          <t>CR DEBIN SPOT - CUIT/CUIL: 30711424179</t>
        </is>
      </c>
      <c r="G53" s="8" t="inlineStr">
        <is>
          <t>QR / CR DEBIN SPOT</t>
        </is>
      </c>
      <c r="H53" s="9" t="n">
        <v>40107.96</v>
      </c>
      <c r="I53" s="9" t="inlineStr"/>
      <c r="J53" s="8" t="inlineStr">
        <is>
          <t>QR / CR DEBIN SPOT</t>
        </is>
      </c>
      <c r="K53" s="8" t="inlineStr">
        <is>
          <t>Corriente actual | Banco</t>
        </is>
      </c>
      <c r="L53" s="8" t="inlineStr">
        <is>
          <t>No identificado</t>
        </is>
      </c>
      <c r="M53" s="8" t="inlineStr">
        <is>
          <t>No encontrado en QR</t>
        </is>
      </c>
      <c r="N53" s="8" t="inlineStr"/>
      <c r="O53" s="9" t="inlineStr">
        <is>
          <t>—</t>
        </is>
      </c>
      <c r="P53" s="9" t="inlineStr"/>
      <c r="Q53" s="8" t="inlineStr">
        <is>
          <t>QR bancario sin match QR PCT/local</t>
        </is>
      </c>
      <c r="R53" s="8" t="inlineStr">
        <is>
          <t>URGENTE: identificar local/origen antes de cerrar rutina administrativa</t>
        </is>
      </c>
    </row>
    <row r="54">
      <c r="A54" s="8" t="inlineStr">
        <is>
          <t>PEND-6C8CA6456CE6-A001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27/04/2026</t>
        </is>
      </c>
      <c r="E54" s="8" t="inlineStr">
        <is>
          <t>108758</t>
        </is>
      </c>
      <c r="F54" s="8" t="inlineStr">
        <is>
          <t>CR DEBIN SPOT - CUIT/CUIL: 30711424179</t>
        </is>
      </c>
      <c r="G54" s="8" t="inlineStr">
        <is>
          <t>QR / CR DEBIN SPOT</t>
        </is>
      </c>
      <c r="H54" s="9" t="n">
        <v>0.01</v>
      </c>
      <c r="I54" s="9" t="inlineStr"/>
      <c r="J54" s="8" t="inlineStr">
        <is>
          <t>QR / CR DEBIN SPOT</t>
        </is>
      </c>
      <c r="K54" s="8" t="inlineStr">
        <is>
          <t>Corriente actual | Banco</t>
        </is>
      </c>
      <c r="L54" s="8" t="inlineStr">
        <is>
          <t>No identificado</t>
        </is>
      </c>
      <c r="M54" s="8" t="inlineStr">
        <is>
          <t>No encontrado en QR</t>
        </is>
      </c>
      <c r="N54" s="8" t="inlineStr"/>
      <c r="O54" s="9" t="inlineStr">
        <is>
          <t>—</t>
        </is>
      </c>
      <c r="P54" s="9" t="inlineStr"/>
      <c r="Q54" s="8" t="inlineStr">
        <is>
          <t>QR bancario sin match QR PCT/local</t>
        </is>
      </c>
      <c r="R54" s="8" t="inlineStr">
        <is>
          <t>URGENTE: identificar local/origen antes de cerrar rutina administrativa</t>
        </is>
      </c>
    </row>
    <row r="55">
      <c r="A55" s="8" t="inlineStr">
        <is>
          <t>PEND-0B767978C5AA-A001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27/04/2026</t>
        </is>
      </c>
      <c r="E55" s="8" t="inlineStr">
        <is>
          <t>108755</t>
        </is>
      </c>
      <c r="F55" s="8" t="inlineStr">
        <is>
          <t>CR DEBIN SPOT - CUIT/CUIL: 30711424179</t>
        </is>
      </c>
      <c r="G55" s="8" t="inlineStr">
        <is>
          <t>QR / CR DEBIN SPOT</t>
        </is>
      </c>
      <c r="H55" s="9" t="n">
        <v>6833.21</v>
      </c>
      <c r="I55" s="9" t="inlineStr"/>
      <c r="J55" s="8" t="inlineStr">
        <is>
          <t>QR / CR DEBIN SPOT</t>
        </is>
      </c>
      <c r="K55" s="8" t="inlineStr">
        <is>
          <t>Corriente actual | Banco</t>
        </is>
      </c>
      <c r="L55" s="8" t="inlineStr">
        <is>
          <t>No identificado</t>
        </is>
      </c>
      <c r="M55" s="8" t="inlineStr">
        <is>
          <t>No encontrado en QR</t>
        </is>
      </c>
      <c r="N55" s="8" t="inlineStr"/>
      <c r="O55" s="9" t="inlineStr">
        <is>
          <t>—</t>
        </is>
      </c>
      <c r="P55" s="9" t="inlineStr"/>
      <c r="Q55" s="8" t="inlineStr">
        <is>
          <t>QR bancario sin match QR PCT/local</t>
        </is>
      </c>
      <c r="R55" s="8" t="inlineStr">
        <is>
          <t>URGENTE: identificar local/origen antes de cerrar rutina administrativa</t>
        </is>
      </c>
    </row>
    <row r="56">
      <c r="A56" s="8" t="inlineStr">
        <is>
          <t>PEND-AD0303815F02-A001</t>
        </is>
      </c>
      <c r="B56" s="8" t="inlineStr">
        <is>
          <t>CONTROL_V5911_QR_MENOR</t>
        </is>
      </c>
      <c r="C56" s="8" t="inlineStr">
        <is>
          <t>Banco ingreso no Flexxus</t>
        </is>
      </c>
      <c r="D56" s="8" t="inlineStr">
        <is>
          <t>27/04/2026</t>
        </is>
      </c>
      <c r="E56" s="8" t="inlineStr">
        <is>
          <t>CTRL-V5911-QR</t>
        </is>
      </c>
      <c r="F56" s="8" t="inlineStr">
        <is>
          <t>Diferencia técnica menor por cierre QR doble punta</t>
        </is>
      </c>
      <c r="G56" s="8" t="inlineStr">
        <is>
          <t>Ajuste menor redondeo/extracto</t>
        </is>
      </c>
      <c r="H56" s="9" t="n">
        <v>1.25</v>
      </c>
      <c r="I56" s="9" t="inlineStr"/>
      <c r="J56" s="8" t="inlineStr">
        <is>
          <t>Ajuste menor redondeo/extracto</t>
        </is>
      </c>
      <c r="K56" s="8" t="inlineStr">
        <is>
          <t>Control visible V5.9.11 | Banco</t>
        </is>
      </c>
      <c r="L56" s="8" t="inlineStr">
        <is>
          <t>No identificado</t>
        </is>
      </c>
      <c r="M56" s="8" t="inlineStr">
        <is>
          <t>No encontrado en QR</t>
        </is>
      </c>
      <c r="N56" s="8" t="inlineStr"/>
      <c r="O56" s="9" t="inlineStr">
        <is>
          <t>—</t>
        </is>
      </c>
      <c r="P56" s="9" t="inlineStr"/>
      <c r="Q56" s="8" t="inlineStr">
        <is>
          <t>QR bancario sin match QR PCT/local</t>
        </is>
      </c>
      <c r="R56" s="8" t="inlineStr">
        <is>
          <t>URGENTE: identificar local/origen antes de cerrar rutina administrativa</t>
        </is>
      </c>
    </row>
  </sheetData>
  <autoFilter ref="A1:R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PEND-F8AD7724E7F3-A001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CTRL-V5911-QR</t>
        </is>
      </c>
      <c r="F4" s="8" t="inlineStr">
        <is>
          <t>Diferencia técnica menor por cierre QR doble punta</t>
        </is>
      </c>
      <c r="G4" s="8" t="inlineStr">
        <is>
          <t>Otro</t>
        </is>
      </c>
      <c r="H4" s="8" t="inlineStr">
        <is>
          <t>Revisar según concepto</t>
        </is>
      </c>
      <c r="I4" s="9" t="n">
        <v>0.24</v>
      </c>
      <c r="J4" s="9" t="inlineStr"/>
      <c r="K4" s="8" t="inlineStr">
        <is>
          <t>Registrar asiento / revisar según concepto</t>
        </is>
      </c>
    </row>
    <row r="5">
      <c r="A5" s="8" t="inlineStr">
        <is>
          <t>PEND-14F2FB92B317-A001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108878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0.27</v>
      </c>
      <c r="J5" s="9" t="inlineStr"/>
      <c r="K5" s="8" t="inlineStr">
        <is>
          <t>Copiar en Flexxus: Tipo=MB-EXT | Movimiento=GRAVAMEN LEY 25.413 S/DEB | Monto=0,27 | Fecha: 27/04/2026</t>
        </is>
      </c>
    </row>
    <row r="6">
      <c r="A6" s="8" t="inlineStr">
        <is>
          <t>PEND-72FE66238BE6-A001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38.86</v>
      </c>
      <c r="J6" s="9" t="inlineStr"/>
      <c r="K6" s="8" t="inlineStr">
        <is>
          <t>Copiar en Flexxus: Tipo=MB-EXT | Movimiento=GRAVAMEN LEY 25.413 S/DEB | Monto=38,86 | Fecha: 27/04/2026</t>
        </is>
      </c>
    </row>
    <row r="7">
      <c r="A7" s="8" t="inlineStr">
        <is>
          <t>PEND-190C0B7692B7-A001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31995644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21.58</v>
      </c>
      <c r="J7" s="9" t="inlineStr"/>
      <c r="K7" s="8" t="inlineStr">
        <is>
          <t>Copiar en Flexxus: Tipo=MB-EXT | Movimiento=GRAVAMEN LEY 25.413 S/DEB | Monto=21,58 | Fecha: 27/04/2026</t>
        </is>
      </c>
    </row>
    <row r="8">
      <c r="A8" s="8" t="inlineStr">
        <is>
          <t>PEND-327D35AD2908-A001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29841705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1.96</v>
      </c>
      <c r="J8" s="9" t="inlineStr"/>
      <c r="K8" s="8" t="inlineStr">
        <is>
          <t>Copiar en Flexxus: Tipo=MB-EXT | Movimiento=GRAVAMEN LEY 25.413 S/DEB | Monto=1,96 | Fecha: 27/04/2026</t>
        </is>
      </c>
    </row>
    <row r="9">
      <c r="A9" s="8" t="inlineStr">
        <is>
          <t>PEND-28DF37991AF2-A001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6.96</v>
      </c>
      <c r="J9" s="9" t="inlineStr"/>
      <c r="K9" s="8" t="inlineStr">
        <is>
          <t>Copiar en Flexxus: Tipo=MB-EXT | Movimiento=GRAVAMEN LEY 25.413 S/DEB | Monto=6,96 | Fecha: 27/04/2026</t>
        </is>
      </c>
    </row>
    <row r="10">
      <c r="A10" s="8" t="inlineStr">
        <is>
          <t>PEND-24E98CA91E0B-A001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29841642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8</v>
      </c>
      <c r="J10" s="9" t="inlineStr"/>
      <c r="K10" s="8" t="inlineStr">
        <is>
          <t>Copiar en Flexxus: Tipo=MB-EXT | Movimiento=GRAVAMEN LEY 25.413 S/DEB | Monto=8,00 | Fecha: 27/04/2026</t>
        </is>
      </c>
    </row>
    <row r="11">
      <c r="A11" s="8" t="inlineStr">
        <is>
          <t>PEND-EF2DD414F03F-A001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29841627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0.8</v>
      </c>
      <c r="J11" s="9" t="inlineStr"/>
      <c r="K11" s="8" t="inlineStr">
        <is>
          <t>Copiar en Flexxus: Tipo=MB-EXT | Movimiento=GRAVAMEN LEY 25.413 S/DEB | Monto=0,80 | Fecha: 27/04/2026</t>
        </is>
      </c>
    </row>
    <row r="12">
      <c r="A12" s="8" t="inlineStr">
        <is>
          <t>PEND-9E6173E8AA2C-A001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32032899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11.49</v>
      </c>
      <c r="J12" s="9" t="inlineStr"/>
      <c r="K12" s="8" t="inlineStr">
        <is>
          <t>Copiar en Flexxus: Tipo=MB-EXT | Movimiento=GRAVAMEN LEY 25.413 S/DEB | Monto=11,49 | Fecha: 27/04/2026</t>
        </is>
      </c>
    </row>
    <row r="13">
      <c r="A13" s="8" t="inlineStr">
        <is>
          <t>PEND-9A29AA5EB5BE-A001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29841705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0.39</v>
      </c>
      <c r="J13" s="9" t="inlineStr"/>
      <c r="K13" s="8" t="inlineStr">
        <is>
          <t>Copiar en Flexxus: Tipo=MB-EXT | Movimiento=GRAVAMEN LEY 25.413 S/DEB | Monto=0,39 | Fecha: 27/04/2026</t>
        </is>
      </c>
    </row>
    <row r="14">
      <c r="A14" s="8" t="inlineStr">
        <is>
          <t>PEND-7223F5FF3CFE-A001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29841683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5.12</v>
      </c>
      <c r="J14" s="9" t="inlineStr"/>
      <c r="K14" s="8" t="inlineStr">
        <is>
          <t>Copiar en Flexxus: Tipo=MB-EXT | Movimiento=GRAVAMEN LEY 25.413 S/DEB | Monto=5,12 | Fecha: 27/04/2026</t>
        </is>
      </c>
    </row>
    <row r="15">
      <c r="A15" s="8" t="inlineStr">
        <is>
          <t>PEND-F3773844AEAB-A001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29841627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0.59</v>
      </c>
      <c r="J15" s="9" t="inlineStr"/>
      <c r="K15" s="8" t="inlineStr">
        <is>
          <t>Copiar en Flexxus: Tipo=MB-EXT | Movimiento=GRAVAMEN LEY 25.413 S/DEB | Monto=0,59 | Fecha: 27/04/2026</t>
        </is>
      </c>
    </row>
    <row r="16">
      <c r="A16" s="8" t="inlineStr">
        <is>
          <t>PEND-92B1E2F3C954-A001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29841670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4.13</v>
      </c>
      <c r="J16" s="9" t="inlineStr"/>
      <c r="K16" s="8" t="inlineStr">
        <is>
          <t>Copiar en Flexxus: Tipo=MB-EXT | Movimiento=GRAVAMEN LEY 25.413 S/DEB | Monto=4,13 | Fecha: 27/04/2026</t>
        </is>
      </c>
    </row>
    <row r="17">
      <c r="A17" s="8" t="inlineStr">
        <is>
          <t>PEND-2BAD96E3853D-A001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5.93</v>
      </c>
      <c r="J17" s="9" t="inlineStr"/>
      <c r="K17" s="8" t="inlineStr">
        <is>
          <t>Copiar en Flexxus: Tipo=MB-EXT | Movimiento=GRAVAMEN LEY 25.413 S/DEB | Monto=5,93 | Fecha: 27/04/2026</t>
        </is>
      </c>
    </row>
    <row r="18">
      <c r="A18" s="8" t="inlineStr">
        <is>
          <t>PEND-505CC8311E06-A001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29841683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1.41</v>
      </c>
      <c r="J18" s="9" t="inlineStr"/>
      <c r="K18" s="8" t="inlineStr">
        <is>
          <t>Copiar en Flexxus: Tipo=MB-EXT | Movimiento=GRAVAMEN LEY 25.413 S/DEB | Monto=1,41 | Fecha: 27/04/2026</t>
        </is>
      </c>
    </row>
    <row r="19">
      <c r="A19" s="8" t="inlineStr">
        <is>
          <t>PEND-08A90A0F02DD-A001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7.53</v>
      </c>
      <c r="J19" s="9" t="inlineStr"/>
      <c r="K19" s="8" t="inlineStr">
        <is>
          <t>Copiar en Flexxus: Tipo=MB-EXT | Movimiento=GRAVAMEN LEY 25.413 S/DEB | Monto=7,53 | Fecha: 27/04/2026</t>
        </is>
      </c>
    </row>
    <row r="20">
      <c r="A20" s="8" t="inlineStr">
        <is>
          <t>PEND-8ACA1B4AC846-A001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3.26</v>
      </c>
      <c r="J20" s="9" t="inlineStr"/>
      <c r="K20" s="8" t="inlineStr">
        <is>
          <t>Copiar en Flexxus: Tipo=MB-EXT | Movimiento=GRAVAMEN LEY 25.413 S/DEB | Monto=3,26 | Fecha: 27/04/2026</t>
        </is>
      </c>
    </row>
    <row r="21">
      <c r="A21" s="8" t="inlineStr">
        <is>
          <t>PEND-FF88AF5B115D-A001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28.32</v>
      </c>
      <c r="J21" s="9" t="inlineStr"/>
      <c r="K21" s="8" t="inlineStr">
        <is>
          <t>Copiar en Flexxus: Tipo=MB-EXT | Movimiento=GRAVAMEN LEY 25.413 S/DEB | Monto=28,32 | Fecha: 27/04/2026</t>
        </is>
      </c>
    </row>
    <row r="22">
      <c r="A22" s="8" t="inlineStr">
        <is>
          <t>PEND-1017AFE9574A-A001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17.72</v>
      </c>
      <c r="J22" s="9" t="inlineStr"/>
      <c r="K22" s="8" t="inlineStr">
        <is>
          <t>Copiar en Flexxus: Tipo=MB-EXT | Movimiento=GRAVAMEN LEY 25.413 S/DEB | Monto=17,72 | Fecha: 27/04/2026</t>
        </is>
      </c>
    </row>
    <row r="23">
      <c r="A23" s="8" t="inlineStr">
        <is>
          <t>PEND-41E76E9C49C3-A001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31995644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27.21</v>
      </c>
      <c r="J23" s="9" t="inlineStr"/>
      <c r="K23" s="8" t="inlineStr">
        <is>
          <t>Copiar en Flexxus: Tipo=MB-EXT | Movimiento=GRAVAMEN LEY 25.413 S/DEB | Monto=27,21 | Fecha: 27/04/2026</t>
        </is>
      </c>
    </row>
    <row r="24">
      <c r="A24" s="8" t="inlineStr">
        <is>
          <t>PEND-4569F6ED9857-A001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28.52</v>
      </c>
      <c r="J24" s="9" t="inlineStr"/>
      <c r="K24" s="8" t="inlineStr">
        <is>
          <t>Copiar en Flexxus: Tipo=MB-EXT | Movimiento=GRAVAMEN LEY 25.413 S/DEB | Monto=28,52 | Fecha: 27/04/2026</t>
        </is>
      </c>
    </row>
    <row r="25">
      <c r="A25" s="8" t="inlineStr">
        <is>
          <t>PEND-67166EB67871-A001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29841705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1.8</v>
      </c>
      <c r="J25" s="9" t="inlineStr"/>
      <c r="K25" s="8" t="inlineStr">
        <is>
          <t>Copiar en Flexxus: Tipo=MB-EXT | Movimiento=GRAVAMEN LEY 25.413 S/DEB | Monto=1,80 | Fecha: 27/04/2026</t>
        </is>
      </c>
    </row>
    <row r="26">
      <c r="A26" s="8" t="inlineStr">
        <is>
          <t>PEND-1B8F216E423D-A001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2.38</v>
      </c>
      <c r="J26" s="9" t="inlineStr"/>
      <c r="K26" s="8" t="inlineStr">
        <is>
          <t>Copiar en Flexxus: Tipo=MB-EXT | Movimiento=GRAVAMEN LEY 25.413 S/DEB | Monto=2,38 | Fecha: 27/04/2026</t>
        </is>
      </c>
    </row>
    <row r="27">
      <c r="A27" s="8" t="inlineStr">
        <is>
          <t>PEND-CC4164B1D088-A001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29841642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1.13</v>
      </c>
      <c r="J27" s="9" t="inlineStr"/>
      <c r="K27" s="8" t="inlineStr">
        <is>
          <t>Copiar en Flexxus: Tipo=MB-EXT | Movimiento=GRAVAMEN LEY 25.413 S/DEB | Monto=1,13 | Fecha: 27/04/2026</t>
        </is>
      </c>
    </row>
    <row r="28">
      <c r="A28" s="8" t="inlineStr">
        <is>
          <t>PEND-1A293D9614E9-A001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8.41</v>
      </c>
      <c r="J28" s="9" t="inlineStr"/>
      <c r="K28" s="8" t="inlineStr">
        <is>
          <t>Copiar en Flexxus: Tipo=MB-EXT | Movimiento=GRAVAMEN LEY 25.413 S/DEB | Monto=8,41 | Fecha: 27/04/2026</t>
        </is>
      </c>
    </row>
    <row r="29">
      <c r="A29" s="8" t="inlineStr">
        <is>
          <t>PEND-B0EF71BB92B9-A001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9.300000000000001</v>
      </c>
      <c r="J29" s="9" t="inlineStr"/>
      <c r="K29" s="8" t="inlineStr">
        <is>
          <t>Copiar en Flexxus: Tipo=MB-EXT | Movimiento=GRAVAMEN LEY 25.413 S/DEB | Monto=9,30 | Fecha: 27/04/2026</t>
        </is>
      </c>
    </row>
    <row r="30">
      <c r="A30" s="8" t="inlineStr">
        <is>
          <t>PEND-A9996165D96F-A001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6.6</v>
      </c>
      <c r="J30" s="9" t="inlineStr"/>
      <c r="K30" s="8" t="inlineStr">
        <is>
          <t>Copiar en Flexxus: Tipo=MB-EXT | Movimiento=GRAVAMEN LEY 25.413 S/DEB | Monto=6,60 | Fecha: 27/04/2026</t>
        </is>
      </c>
    </row>
    <row r="31">
      <c r="A31" s="8" t="inlineStr">
        <is>
          <t>PEND-97A150BC6F94-A001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29841705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0.55</v>
      </c>
      <c r="J31" s="9" t="inlineStr"/>
      <c r="K31" s="8" t="inlineStr">
        <is>
          <t>Copiar en Flexxus: Tipo=MB-EXT | Movimiento=GRAVAMEN LEY 25.413 S/DEB | Monto=0,55 | Fecha: 27/04/2026</t>
        </is>
      </c>
    </row>
    <row r="32">
      <c r="A32" s="8" t="inlineStr">
        <is>
          <t>PEND-D12AF6A58094-A001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4062494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170.11</v>
      </c>
      <c r="J32" s="9" t="inlineStr"/>
      <c r="K32" s="8" t="inlineStr">
        <is>
          <t>Copiar en Flexxus: Tipo=MB-EXT | Movimiento=GRAVAMEN LEY 25.413 S/DEB | Monto=170,11 | Fecha: 27/04/2026</t>
        </is>
      </c>
    </row>
    <row r="33">
      <c r="A33" s="8" t="inlineStr">
        <is>
          <t>PEND-4644FC147B49-A001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108847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1.49</v>
      </c>
      <c r="J33" s="9" t="inlineStr"/>
      <c r="K33" s="8" t="inlineStr">
        <is>
          <t>Copiar en Flexxus: Tipo=MB-EXT | Movimiento=GRAVAMEN LEY 25.413 S/DEB | Monto=1,49 | Fecha: 27/04/2026</t>
        </is>
      </c>
    </row>
    <row r="34">
      <c r="A34" s="8" t="inlineStr">
        <is>
          <t>PEND-0DA0678BE408-A001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108846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1.95</v>
      </c>
      <c r="J34" s="9" t="inlineStr"/>
      <c r="K34" s="8" t="inlineStr">
        <is>
          <t>Copiar en Flexxus: Tipo=MB-EXT | Movimiento=GRAVAMEN LEY 25.413 S/DEB | Monto=1,95 | Fecha: 27/04/2026</t>
        </is>
      </c>
    </row>
    <row r="35">
      <c r="A35" s="8" t="inlineStr">
        <is>
          <t>PEND-4B656B1FE11D-A001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108844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1.46</v>
      </c>
      <c r="J35" s="9" t="inlineStr"/>
      <c r="K35" s="8" t="inlineStr">
        <is>
          <t>Copiar en Flexxus: Tipo=MB-EXT | Movimiento=GRAVAMEN LEY 25.413 S/DEB | Monto=1,46 | Fecha: 27/04/2026</t>
        </is>
      </c>
    </row>
    <row r="36">
      <c r="A36" s="8" t="inlineStr">
        <is>
          <t>PEND-32F9D3D00CE7-A001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108843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0.68</v>
      </c>
      <c r="J36" s="9" t="inlineStr"/>
      <c r="K36" s="8" t="inlineStr">
        <is>
          <t>Copiar en Flexxus: Tipo=MB-EXT | Movimiento=GRAVAMEN LEY 25.413 S/DEB | Monto=0,68 | Fecha: 27/04/2026</t>
        </is>
      </c>
    </row>
    <row r="37">
      <c r="A37" s="8" t="inlineStr">
        <is>
          <t>PEND-E21C0350576A-A001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108841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3.46</v>
      </c>
      <c r="J37" s="9" t="inlineStr"/>
      <c r="K37" s="8" t="inlineStr">
        <is>
          <t>Copiar en Flexxus: Tipo=MB-EXT | Movimiento=GRAVAMEN LEY 25.413 S/DEB | Monto=3,46 | Fecha: 27/04/2026</t>
        </is>
      </c>
    </row>
    <row r="38">
      <c r="A38" s="8" t="inlineStr">
        <is>
          <t>PEND-D17ABBB14D31-A001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108840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4.02</v>
      </c>
      <c r="J38" s="9" t="inlineStr"/>
      <c r="K38" s="8" t="inlineStr">
        <is>
          <t>Copiar en Flexxus: Tipo=MB-EXT | Movimiento=GRAVAMEN LEY 25.413 S/DEB | Monto=4,02 | Fecha: 27/04/2026</t>
        </is>
      </c>
    </row>
    <row r="39">
      <c r="A39" s="8" t="inlineStr">
        <is>
          <t>PEND-F88F466F6F06-A001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108839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0.46</v>
      </c>
      <c r="J39" s="9" t="inlineStr"/>
      <c r="K39" s="8" t="inlineStr">
        <is>
          <t>Copiar en Flexxus: Tipo=MB-EXT | Movimiento=GRAVAMEN LEY 25.413 S/DEB | Monto=0,46 | Fecha: 27/04/2026</t>
        </is>
      </c>
    </row>
    <row r="40">
      <c r="A40" s="8" t="inlineStr">
        <is>
          <t>PEND-1EED461B6236-A001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108838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4.17</v>
      </c>
      <c r="J40" s="9" t="inlineStr"/>
      <c r="K40" s="8" t="inlineStr">
        <is>
          <t>Copiar en Flexxus: Tipo=MB-EXT | Movimiento=GRAVAMEN LEY 25.413 S/DEB | Monto=4,17 | Fecha: 27/04/2026</t>
        </is>
      </c>
    </row>
    <row r="41">
      <c r="A41" s="8" t="inlineStr">
        <is>
          <t>PEND-0397FEA5C609-A001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108837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3.87</v>
      </c>
      <c r="J41" s="9" t="inlineStr"/>
      <c r="K41" s="8" t="inlineStr">
        <is>
          <t>Copiar en Flexxus: Tipo=MB-EXT | Movimiento=GRAVAMEN LEY 25.413 S/DEB | Monto=3,87 | Fecha: 27/04/2026</t>
        </is>
      </c>
    </row>
    <row r="42">
      <c r="A42" s="8" t="inlineStr">
        <is>
          <t>PEND-D07226935C9A-A001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108836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2.07</v>
      </c>
      <c r="J42" s="9" t="inlineStr"/>
      <c r="K42" s="8" t="inlineStr">
        <is>
          <t>Copiar en Flexxus: Tipo=MB-EXT | Movimiento=GRAVAMEN LEY 25.413 S/DEB | Monto=2,07 | Fecha: 27/04/2026</t>
        </is>
      </c>
    </row>
    <row r="43">
      <c r="A43" s="8" t="inlineStr">
        <is>
          <t>PEND-4F481E5F8D38-A001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108835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1.6</v>
      </c>
      <c r="J43" s="9" t="inlineStr"/>
      <c r="K43" s="8" t="inlineStr">
        <is>
          <t>Copiar en Flexxus: Tipo=MB-EXT | Movimiento=GRAVAMEN LEY 25.413 S/DEB | Monto=1,60 | Fecha: 27/04/2026</t>
        </is>
      </c>
    </row>
    <row r="44">
      <c r="A44" s="8" t="inlineStr">
        <is>
          <t>PEND-66C080961A8A-A001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108834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1.61</v>
      </c>
      <c r="J44" s="9" t="inlineStr"/>
      <c r="K44" s="8" t="inlineStr">
        <is>
          <t>Copiar en Flexxus: Tipo=MB-EXT | Movimiento=GRAVAMEN LEY 25.413 S/DEB | Monto=1,61 | Fecha: 27/04/2026</t>
        </is>
      </c>
    </row>
    <row r="45">
      <c r="A45" s="8" t="inlineStr">
        <is>
          <t>PEND-0CDD63618F7A-A001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108833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2.32</v>
      </c>
      <c r="J45" s="9" t="inlineStr"/>
      <c r="K45" s="8" t="inlineStr">
        <is>
          <t>Copiar en Flexxus: Tipo=MB-EXT | Movimiento=GRAVAMEN LEY 25.413 S/DEB | Monto=2,32 | Fecha: 27/04/2026</t>
        </is>
      </c>
    </row>
    <row r="46">
      <c r="A46" s="8" t="inlineStr">
        <is>
          <t>PEND-015B825C674F-A001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108832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0.7</v>
      </c>
      <c r="J46" s="9" t="inlineStr"/>
      <c r="K46" s="8" t="inlineStr">
        <is>
          <t>Copiar en Flexxus: Tipo=MB-EXT | Movimiento=GRAVAMEN LEY 25.413 S/DEB | Monto=0,70 | Fecha: 27/04/2026</t>
        </is>
      </c>
    </row>
    <row r="47">
      <c r="A47" s="8" t="inlineStr">
        <is>
          <t>PEND-1D68A8F567D5-A001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108831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0.74</v>
      </c>
      <c r="J47" s="9" t="inlineStr"/>
      <c r="K47" s="8" t="inlineStr">
        <is>
          <t>Copiar en Flexxus: Tipo=MB-EXT | Movimiento=GRAVAMEN LEY 25.413 S/DEB | Monto=0,74 | Fecha: 27/04/2026</t>
        </is>
      </c>
    </row>
    <row r="48">
      <c r="A48" s="8" t="inlineStr">
        <is>
          <t>PEND-3C759E0B07B9-A001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108830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3.3</v>
      </c>
      <c r="J48" s="9" t="inlineStr"/>
      <c r="K48" s="8" t="inlineStr">
        <is>
          <t>Copiar en Flexxus: Tipo=MB-EXT | Movimiento=GRAVAMEN LEY 25.413 S/DEB | Monto=3,30 | Fecha: 27/04/2026</t>
        </is>
      </c>
    </row>
    <row r="49">
      <c r="A49" s="8" t="inlineStr">
        <is>
          <t>PEND-BEE642F364E8-A001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108829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1.66</v>
      </c>
      <c r="J49" s="9" t="inlineStr"/>
      <c r="K49" s="8" t="inlineStr">
        <is>
          <t>Copiar en Flexxus: Tipo=MB-EXT | Movimiento=GRAVAMEN LEY 25.413 S/DEB | Monto=1,66 | Fecha: 27/04/2026</t>
        </is>
      </c>
    </row>
    <row r="50">
      <c r="A50" s="8" t="inlineStr">
        <is>
          <t>PEND-1C0DB8A916EA-A001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108828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1.43</v>
      </c>
      <c r="J50" s="9" t="inlineStr"/>
      <c r="K50" s="8" t="inlineStr">
        <is>
          <t>Copiar en Flexxus: Tipo=MB-EXT | Movimiento=GRAVAMEN LEY 25.413 S/DEB | Monto=1,43 | Fecha: 27/04/2026</t>
        </is>
      </c>
    </row>
    <row r="51">
      <c r="A51" s="8" t="inlineStr">
        <is>
          <t>PEND-270AA6E3AFE7-A001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108827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4.2</v>
      </c>
      <c r="J51" s="9" t="inlineStr"/>
      <c r="K51" s="8" t="inlineStr">
        <is>
          <t>Copiar en Flexxus: Tipo=MB-EXT | Movimiento=GRAVAMEN LEY 25.413 S/DEB | Monto=4,20 | Fecha: 27/04/2026</t>
        </is>
      </c>
    </row>
    <row r="52">
      <c r="A52" s="8" t="inlineStr">
        <is>
          <t>PEND-92D84B85AEEE-A001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108826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1.37</v>
      </c>
      <c r="J52" s="9" t="inlineStr"/>
      <c r="K52" s="8" t="inlineStr">
        <is>
          <t>Copiar en Flexxus: Tipo=MB-EXT | Movimiento=GRAVAMEN LEY 25.413 S/DEB | Monto=1,37 | Fecha: 27/04/2026</t>
        </is>
      </c>
    </row>
    <row r="53">
      <c r="A53" s="8" t="inlineStr">
        <is>
          <t>PEND-2DAB7884162E-A001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108825</t>
        </is>
      </c>
      <c r="F53" s="8" t="inlineStr">
        <is>
          <t>GRAVAMEN LEY 25413 S/DEB</t>
        </is>
      </c>
      <c r="G53" s="8" t="inlineStr">
        <is>
          <t>Anticipo Ganancias Ley 25.413 débitos</t>
        </is>
      </c>
      <c r="H53" s="8" t="inlineStr">
        <is>
          <t>Anticipo Impuesto a las Ganancias</t>
        </is>
      </c>
      <c r="I53" s="9" t="n">
        <v>0.8</v>
      </c>
      <c r="J53" s="9" t="inlineStr"/>
      <c r="K53" s="8" t="inlineStr">
        <is>
          <t>Copiar en Flexxus: Tipo=MB-EXT | Movimiento=GRAVAMEN LEY 25.413 S/DEB | Monto=0,80 | Fecha: 27/04/2026</t>
        </is>
      </c>
    </row>
    <row r="54">
      <c r="A54" s="8" t="inlineStr">
        <is>
          <t>PEND-41D731B0E4E4-A001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108824</t>
        </is>
      </c>
      <c r="F54" s="8" t="inlineStr">
        <is>
          <t>GRAVAMEN LEY 25413 S/DEB</t>
        </is>
      </c>
      <c r="G54" s="8" t="inlineStr">
        <is>
          <t>Anticipo Ganancias Ley 25.413 débitos</t>
        </is>
      </c>
      <c r="H54" s="8" t="inlineStr">
        <is>
          <t>Anticipo Impuesto a las Ganancias</t>
        </is>
      </c>
      <c r="I54" s="9" t="n">
        <v>2.05</v>
      </c>
      <c r="J54" s="9" t="inlineStr"/>
      <c r="K54" s="8" t="inlineStr">
        <is>
          <t>Copiar en Flexxus: Tipo=MB-EXT | Movimiento=GRAVAMEN LEY 25.413 S/DEB | Monto=2,05 | Fecha: 27/04/2026</t>
        </is>
      </c>
    </row>
    <row r="55">
      <c r="A55" s="8" t="inlineStr">
        <is>
          <t>PEND-8606CA67D770-A001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108823</t>
        </is>
      </c>
      <c r="F55" s="8" t="inlineStr">
        <is>
          <t>GRAVAMEN LEY 25413 S/DEB</t>
        </is>
      </c>
      <c r="G55" s="8" t="inlineStr">
        <is>
          <t>Anticipo Ganancias Ley 25.413 débitos</t>
        </is>
      </c>
      <c r="H55" s="8" t="inlineStr">
        <is>
          <t>Anticipo Impuesto a las Ganancias</t>
        </is>
      </c>
      <c r="I55" s="9" t="n">
        <v>1.49</v>
      </c>
      <c r="J55" s="9" t="inlineStr"/>
      <c r="K55" s="8" t="inlineStr">
        <is>
          <t>Copiar en Flexxus: Tipo=MB-EXT | Movimiento=GRAVAMEN LEY 25.413 S/DEB | Monto=1,49 | Fecha: 27/04/2026</t>
        </is>
      </c>
    </row>
    <row r="56">
      <c r="A56" s="8" t="inlineStr">
        <is>
          <t>PEND-D9D5B62F25C7-A001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108822</t>
        </is>
      </c>
      <c r="F56" s="8" t="inlineStr">
        <is>
          <t>GRAVAMEN LEY 25413 S/DEB</t>
        </is>
      </c>
      <c r="G56" s="8" t="inlineStr">
        <is>
          <t>Anticipo Ganancias Ley 25.413 débitos</t>
        </is>
      </c>
      <c r="H56" s="8" t="inlineStr">
        <is>
          <t>Anticipo Impuesto a las Ganancias</t>
        </is>
      </c>
      <c r="I56" s="9" t="n">
        <v>0.68</v>
      </c>
      <c r="J56" s="9" t="inlineStr"/>
      <c r="K56" s="8" t="inlineStr">
        <is>
          <t>Copiar en Flexxus: Tipo=MB-EXT | Movimiento=GRAVAMEN LEY 25.413 S/DEB | Monto=0,68 | Fecha: 27/04/2026</t>
        </is>
      </c>
    </row>
    <row r="57">
      <c r="A57" s="8" t="inlineStr">
        <is>
          <t>PEND-0865D83298EE-A001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108821</t>
        </is>
      </c>
      <c r="F57" s="8" t="inlineStr">
        <is>
          <t>GRAVAMEN LEY 25413 S/DEB</t>
        </is>
      </c>
      <c r="G57" s="8" t="inlineStr">
        <is>
          <t>Anticipo Ganancias Ley 25.413 débitos</t>
        </is>
      </c>
      <c r="H57" s="8" t="inlineStr">
        <is>
          <t>Anticipo Impuesto a las Ganancias</t>
        </is>
      </c>
      <c r="I57" s="9" t="n">
        <v>4.78</v>
      </c>
      <c r="J57" s="9" t="inlineStr"/>
      <c r="K57" s="8" t="inlineStr">
        <is>
          <t>Copiar en Flexxus: Tipo=MB-EXT | Movimiento=GRAVAMEN LEY 25.413 S/DEB | Monto=4,78 | Fecha: 27/04/2026</t>
        </is>
      </c>
    </row>
    <row r="58">
      <c r="A58" s="8" t="inlineStr">
        <is>
          <t>PEND-4B88EB731C8F-A001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108820</t>
        </is>
      </c>
      <c r="F58" s="8" t="inlineStr">
        <is>
          <t>GRAVAMEN LEY 25413 S/DEB</t>
        </is>
      </c>
      <c r="G58" s="8" t="inlineStr">
        <is>
          <t>Anticipo Ganancias Ley 25.413 débitos</t>
        </is>
      </c>
      <c r="H58" s="8" t="inlineStr">
        <is>
          <t>Anticipo Impuesto a las Ganancias</t>
        </is>
      </c>
      <c r="I58" s="9" t="n">
        <v>1.43</v>
      </c>
      <c r="J58" s="9" t="inlineStr"/>
      <c r="K58" s="8" t="inlineStr">
        <is>
          <t>Copiar en Flexxus: Tipo=MB-EXT | Movimiento=GRAVAMEN LEY 25.413 S/DEB | Monto=1,43 | Fecha: 27/04/2026</t>
        </is>
      </c>
    </row>
    <row r="59">
      <c r="A59" s="8" t="inlineStr">
        <is>
          <t>PEND-84B62F6DE4D1-A001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108819</t>
        </is>
      </c>
      <c r="F59" s="8" t="inlineStr">
        <is>
          <t>GRAVAMEN LEY 25413 S/DEB</t>
        </is>
      </c>
      <c r="G59" s="8" t="inlineStr">
        <is>
          <t>Anticipo Ganancias Ley 25.413 débitos</t>
        </is>
      </c>
      <c r="H59" s="8" t="inlineStr">
        <is>
          <t>Anticipo Impuesto a las Ganancias</t>
        </is>
      </c>
      <c r="I59" s="9" t="n">
        <v>1</v>
      </c>
      <c r="J59" s="9" t="inlineStr"/>
      <c r="K59" s="8" t="inlineStr">
        <is>
          <t>Copiar en Flexxus: Tipo=MB-EXT | Movimiento=GRAVAMEN LEY 25.413 S/DEB | Monto=1,00 | Fecha: 27/04/2026</t>
        </is>
      </c>
    </row>
    <row r="60">
      <c r="A60" s="8" t="inlineStr">
        <is>
          <t>PEND-6BD2631C2B95-A001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108818</t>
        </is>
      </c>
      <c r="F60" s="8" t="inlineStr">
        <is>
          <t>GRAVAMEN LEY 25413 S/DEB</t>
        </is>
      </c>
      <c r="G60" s="8" t="inlineStr">
        <is>
          <t>Anticipo Ganancias Ley 25.413 débitos</t>
        </is>
      </c>
      <c r="H60" s="8" t="inlineStr">
        <is>
          <t>Anticipo Impuesto a las Ganancias</t>
        </is>
      </c>
      <c r="I60" s="9" t="n">
        <v>5.64</v>
      </c>
      <c r="J60" s="9" t="inlineStr"/>
      <c r="K60" s="8" t="inlineStr">
        <is>
          <t>Copiar en Flexxus: Tipo=MB-EXT | Movimiento=GRAVAMEN LEY 25.413 S/DEB | Monto=5,64 | Fecha: 27/04/2026</t>
        </is>
      </c>
    </row>
    <row r="61">
      <c r="A61" s="8" t="inlineStr">
        <is>
          <t>PEND-D52439331EA9-A001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108817</t>
        </is>
      </c>
      <c r="F61" s="8" t="inlineStr">
        <is>
          <t>GRAVAMEN LEY 25413 S/DEB</t>
        </is>
      </c>
      <c r="G61" s="8" t="inlineStr">
        <is>
          <t>Anticipo Ganancias Ley 25.413 débitos</t>
        </is>
      </c>
      <c r="H61" s="8" t="inlineStr">
        <is>
          <t>Anticipo Impuesto a las Ganancias</t>
        </is>
      </c>
      <c r="I61" s="9" t="n">
        <v>2.6</v>
      </c>
      <c r="J61" s="9" t="inlineStr"/>
      <c r="K61" s="8" t="inlineStr">
        <is>
          <t>Copiar en Flexxus: Tipo=MB-EXT | Movimiento=GRAVAMEN LEY 25.413 S/DEB | Monto=2,60 | Fecha: 27/04/2026</t>
        </is>
      </c>
    </row>
    <row r="62">
      <c r="A62" s="8" t="inlineStr">
        <is>
          <t>PEND-E4CE7A29E34D-A001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108816</t>
        </is>
      </c>
      <c r="F62" s="8" t="inlineStr">
        <is>
          <t>GRAVAMEN LEY 25413 S/DEB</t>
        </is>
      </c>
      <c r="G62" s="8" t="inlineStr">
        <is>
          <t>Anticipo Ganancias Ley 25.413 débitos</t>
        </is>
      </c>
      <c r="H62" s="8" t="inlineStr">
        <is>
          <t>Anticipo Impuesto a las Ganancias</t>
        </is>
      </c>
      <c r="I62" s="9" t="n">
        <v>0.8</v>
      </c>
      <c r="J62" s="9" t="inlineStr"/>
      <c r="K62" s="8" t="inlineStr">
        <is>
          <t>Copiar en Flexxus: Tipo=MB-EXT | Movimiento=GRAVAMEN LEY 25.413 S/DEB | Monto=0,80 | Fecha: 27/04/2026</t>
        </is>
      </c>
    </row>
    <row r="63">
      <c r="A63" s="8" t="inlineStr">
        <is>
          <t>PEND-4FB475A056D0-A001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108815</t>
        </is>
      </c>
      <c r="F63" s="8" t="inlineStr">
        <is>
          <t>GRAVAMEN LEY 25413 S/DEB</t>
        </is>
      </c>
      <c r="G63" s="8" t="inlineStr">
        <is>
          <t>Anticipo Ganancias Ley 25.413 débitos</t>
        </is>
      </c>
      <c r="H63" s="8" t="inlineStr">
        <is>
          <t>Anticipo Impuesto a las Ganancias</t>
        </is>
      </c>
      <c r="I63" s="9" t="n">
        <v>0.88</v>
      </c>
      <c r="J63" s="9" t="inlineStr"/>
      <c r="K63" s="8" t="inlineStr">
        <is>
          <t>Copiar en Flexxus: Tipo=MB-EXT | Movimiento=GRAVAMEN LEY 25.413 S/DEB | Monto=0,88 | Fecha: 27/04/2026</t>
        </is>
      </c>
    </row>
    <row r="64">
      <c r="A64" s="8" t="inlineStr">
        <is>
          <t>PEND-C255B42B26C5-A001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108814</t>
        </is>
      </c>
      <c r="F64" s="8" t="inlineStr">
        <is>
          <t>GRAVAMEN LEY 25413 S/DEB</t>
        </is>
      </c>
      <c r="G64" s="8" t="inlineStr">
        <is>
          <t>Anticipo Ganancias Ley 25.413 débitos</t>
        </is>
      </c>
      <c r="H64" s="8" t="inlineStr">
        <is>
          <t>Anticipo Impuesto a las Ganancias</t>
        </is>
      </c>
      <c r="I64" s="9" t="n">
        <v>1.37</v>
      </c>
      <c r="J64" s="9" t="inlineStr"/>
      <c r="K64" s="8" t="inlineStr">
        <is>
          <t>Copiar en Flexxus: Tipo=MB-EXT | Movimiento=GRAVAMEN LEY 25.413 S/DEB | Monto=1,37 | Fecha: 27/04/2026</t>
        </is>
      </c>
    </row>
    <row r="65">
      <c r="A65" s="8" t="inlineStr">
        <is>
          <t>PEND-370B99E70945-A001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108813</t>
        </is>
      </c>
      <c r="F65" s="8" t="inlineStr">
        <is>
          <t>GRAVAMEN LEY 25413 S/DEB</t>
        </is>
      </c>
      <c r="G65" s="8" t="inlineStr">
        <is>
          <t>Anticipo Ganancias Ley 25.413 débitos</t>
        </is>
      </c>
      <c r="H65" s="8" t="inlineStr">
        <is>
          <t>Anticipo Impuesto a las Ganancias</t>
        </is>
      </c>
      <c r="I65" s="9" t="n">
        <v>1.6</v>
      </c>
      <c r="J65" s="9" t="inlineStr"/>
      <c r="K65" s="8" t="inlineStr">
        <is>
          <t>Copiar en Flexxus: Tipo=MB-EXT | Movimiento=GRAVAMEN LEY 25.413 S/DEB | Monto=1,60 | Fecha: 27/04/2026</t>
        </is>
      </c>
    </row>
    <row r="66">
      <c r="A66" s="8" t="inlineStr">
        <is>
          <t>PEND-23252C46ACE5-A001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108812</t>
        </is>
      </c>
      <c r="F66" s="8" t="inlineStr">
        <is>
          <t>GRAVAMEN LEY 25413 S/DEB</t>
        </is>
      </c>
      <c r="G66" s="8" t="inlineStr">
        <is>
          <t>Anticipo Ganancias Ley 25.413 débitos</t>
        </is>
      </c>
      <c r="H66" s="8" t="inlineStr">
        <is>
          <t>Anticipo Impuesto a las Ganancias</t>
        </is>
      </c>
      <c r="I66" s="9" t="n">
        <v>2.97</v>
      </c>
      <c r="J66" s="9" t="inlineStr"/>
      <c r="K66" s="8" t="inlineStr">
        <is>
          <t>Copiar en Flexxus: Tipo=MB-EXT | Movimiento=GRAVAMEN LEY 25.413 S/DEB | Monto=2,97 | Fecha: 27/04/2026</t>
        </is>
      </c>
    </row>
    <row r="67">
      <c r="A67" s="8" t="inlineStr">
        <is>
          <t>PEND-FDDAE0D7AAB8-A001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108811</t>
        </is>
      </c>
      <c r="F67" s="8" t="inlineStr">
        <is>
          <t>GRAVAMEN LEY 25413 S/DEB</t>
        </is>
      </c>
      <c r="G67" s="8" t="inlineStr">
        <is>
          <t>Anticipo Ganancias Ley 25.413 débitos</t>
        </is>
      </c>
      <c r="H67" s="8" t="inlineStr">
        <is>
          <t>Anticipo Impuesto a las Ganancias</t>
        </is>
      </c>
      <c r="I67" s="9" t="n">
        <v>3.08</v>
      </c>
      <c r="J67" s="9" t="inlineStr"/>
      <c r="K67" s="8" t="inlineStr">
        <is>
          <t>Copiar en Flexxus: Tipo=MB-EXT | Movimiento=GRAVAMEN LEY 25.413 S/DEB | Monto=3,08 | Fecha: 27/04/2026</t>
        </is>
      </c>
    </row>
    <row r="68">
      <c r="A68" s="8" t="inlineStr">
        <is>
          <t>PEND-D1FC35B8AAA2-A001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108810</t>
        </is>
      </c>
      <c r="F68" s="8" t="inlineStr">
        <is>
          <t>GRAVAMEN LEY 25413 S/DEB</t>
        </is>
      </c>
      <c r="G68" s="8" t="inlineStr">
        <is>
          <t>Anticipo Ganancias Ley 25.413 débitos</t>
        </is>
      </c>
      <c r="H68" s="8" t="inlineStr">
        <is>
          <t>Anticipo Impuesto a las Ganancias</t>
        </is>
      </c>
      <c r="I68" s="9" t="n">
        <v>4.55</v>
      </c>
      <c r="J68" s="9" t="inlineStr"/>
      <c r="K68" s="8" t="inlineStr">
        <is>
          <t>Copiar en Flexxus: Tipo=MB-EXT | Movimiento=GRAVAMEN LEY 25.413 S/DEB | Monto=4,55 | Fecha: 27/04/2026</t>
        </is>
      </c>
    </row>
    <row r="69">
      <c r="A69" s="8" t="inlineStr">
        <is>
          <t>PEND-25F8990E9DC8-A001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108809</t>
        </is>
      </c>
      <c r="F69" s="8" t="inlineStr">
        <is>
          <t>GRAVAMEN LEY 25413 S/DEB</t>
        </is>
      </c>
      <c r="G69" s="8" t="inlineStr">
        <is>
          <t>Anticipo Ganancias Ley 25.413 débitos</t>
        </is>
      </c>
      <c r="H69" s="8" t="inlineStr">
        <is>
          <t>Anticipo Impuesto a las Ganancias</t>
        </is>
      </c>
      <c r="I69" s="9" t="n">
        <v>1.47</v>
      </c>
      <c r="J69" s="9" t="inlineStr"/>
      <c r="K69" s="8" t="inlineStr">
        <is>
          <t>Copiar en Flexxus: Tipo=MB-EXT | Movimiento=GRAVAMEN LEY 25.413 S/DEB | Monto=1,47 | Fecha: 27/04/2026</t>
        </is>
      </c>
    </row>
    <row r="70">
      <c r="A70" s="8" t="inlineStr">
        <is>
          <t>PEND-28413A593B7A-A001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108808</t>
        </is>
      </c>
      <c r="F70" s="8" t="inlineStr">
        <is>
          <t>GRAVAMEN LEY 25413 S/DEB</t>
        </is>
      </c>
      <c r="G70" s="8" t="inlineStr">
        <is>
          <t>Anticipo Ganancias Ley 25.413 débitos</t>
        </is>
      </c>
      <c r="H70" s="8" t="inlineStr">
        <is>
          <t>Anticipo Impuesto a las Ganancias</t>
        </is>
      </c>
      <c r="I70" s="9" t="n">
        <v>0.89</v>
      </c>
      <c r="J70" s="9" t="inlineStr"/>
      <c r="K70" s="8" t="inlineStr">
        <is>
          <t>Copiar en Flexxus: Tipo=MB-EXT | Movimiento=GRAVAMEN LEY 25.413 S/DEB | Monto=0,89 | Fecha: 27/04/2026</t>
        </is>
      </c>
    </row>
    <row r="71">
      <c r="A71" s="8" t="inlineStr">
        <is>
          <t>PEND-2B953E334FFB-A001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108807</t>
        </is>
      </c>
      <c r="F71" s="8" t="inlineStr">
        <is>
          <t>GRAVAMEN LEY 25413 S/DEB</t>
        </is>
      </c>
      <c r="G71" s="8" t="inlineStr">
        <is>
          <t>Anticipo Ganancias Ley 25.413 débitos</t>
        </is>
      </c>
      <c r="H71" s="8" t="inlineStr">
        <is>
          <t>Anticipo Impuesto a las Ganancias</t>
        </is>
      </c>
      <c r="I71" s="9" t="n">
        <v>3.65</v>
      </c>
      <c r="J71" s="9" t="inlineStr"/>
      <c r="K71" s="8" t="inlineStr">
        <is>
          <t>Copiar en Flexxus: Tipo=MB-EXT | Movimiento=GRAVAMEN LEY 25.413 S/DEB | Monto=3,65 | Fecha: 27/04/2026</t>
        </is>
      </c>
    </row>
    <row r="72">
      <c r="A72" s="8" t="inlineStr">
        <is>
          <t>PEND-63412E175E46-A001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108806</t>
        </is>
      </c>
      <c r="F72" s="8" t="inlineStr">
        <is>
          <t>GRAVAMEN LEY 25413 S/DEB</t>
        </is>
      </c>
      <c r="G72" s="8" t="inlineStr">
        <is>
          <t>Anticipo Ganancias Ley 25.413 débitos</t>
        </is>
      </c>
      <c r="H72" s="8" t="inlineStr">
        <is>
          <t>Anticipo Impuesto a las Ganancias</t>
        </is>
      </c>
      <c r="I72" s="9" t="n">
        <v>1.68</v>
      </c>
      <c r="J72" s="9" t="inlineStr"/>
      <c r="K72" s="8" t="inlineStr">
        <is>
          <t>Copiar en Flexxus: Tipo=MB-EXT | Movimiento=GRAVAMEN LEY 25.413 S/DEB | Monto=1,68 | Fecha: 27/04/2026</t>
        </is>
      </c>
    </row>
    <row r="73">
      <c r="A73" s="8" t="inlineStr">
        <is>
          <t>PEND-C720D6B916BE-A001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108805</t>
        </is>
      </c>
      <c r="F73" s="8" t="inlineStr">
        <is>
          <t>GRAVAMEN LEY 25413 S/DEB</t>
        </is>
      </c>
      <c r="G73" s="8" t="inlineStr">
        <is>
          <t>Anticipo Ganancias Ley 25.413 débitos</t>
        </is>
      </c>
      <c r="H73" s="8" t="inlineStr">
        <is>
          <t>Anticipo Impuesto a las Ganancias</t>
        </is>
      </c>
      <c r="I73" s="9" t="n">
        <v>1.6</v>
      </c>
      <c r="J73" s="9" t="inlineStr"/>
      <c r="K73" s="8" t="inlineStr">
        <is>
          <t>Copiar en Flexxus: Tipo=MB-EXT | Movimiento=GRAVAMEN LEY 25.413 S/DEB | Monto=1,60 | Fecha: 27/04/2026</t>
        </is>
      </c>
    </row>
    <row r="74">
      <c r="A74" s="8" t="inlineStr">
        <is>
          <t>PEND-694D7785EBB8-A001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108804</t>
        </is>
      </c>
      <c r="F74" s="8" t="inlineStr">
        <is>
          <t>GRAVAMEN LEY 25413 S/DEB</t>
        </is>
      </c>
      <c r="G74" s="8" t="inlineStr">
        <is>
          <t>Anticipo Ganancias Ley 25.413 débitos</t>
        </is>
      </c>
      <c r="H74" s="8" t="inlineStr">
        <is>
          <t>Anticipo Impuesto a las Ganancias</t>
        </is>
      </c>
      <c r="I74" s="9" t="n">
        <v>2.33</v>
      </c>
      <c r="J74" s="9" t="inlineStr"/>
      <c r="K74" s="8" t="inlineStr">
        <is>
          <t>Copiar en Flexxus: Tipo=MB-EXT | Movimiento=GRAVAMEN LEY 25.413 S/DEB | Monto=2,33 | Fecha: 27/04/2026</t>
        </is>
      </c>
    </row>
    <row r="75">
      <c r="A75" s="8" t="inlineStr">
        <is>
          <t>PEND-83DB16D4340C-A001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108803</t>
        </is>
      </c>
      <c r="F75" s="8" t="inlineStr">
        <is>
          <t>GRAVAMEN LEY 25413 S/DEB</t>
        </is>
      </c>
      <c r="G75" s="8" t="inlineStr">
        <is>
          <t>Anticipo Ganancias Ley 25.413 débitos</t>
        </is>
      </c>
      <c r="H75" s="8" t="inlineStr">
        <is>
          <t>Anticipo Impuesto a las Ganancias</t>
        </is>
      </c>
      <c r="I75" s="9" t="n">
        <v>1.46</v>
      </c>
      <c r="J75" s="9" t="inlineStr"/>
      <c r="K75" s="8" t="inlineStr">
        <is>
          <t>Copiar en Flexxus: Tipo=MB-EXT | Movimiento=GRAVAMEN LEY 25.413 S/DEB | Monto=1,46 | Fecha: 27/04/2026</t>
        </is>
      </c>
    </row>
    <row r="76">
      <c r="A76" s="8" t="inlineStr">
        <is>
          <t>PEND-27FAA25F707E-A001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108802</t>
        </is>
      </c>
      <c r="F76" s="8" t="inlineStr">
        <is>
          <t>GRAVAMEN LEY 25413 S/DEB</t>
        </is>
      </c>
      <c r="G76" s="8" t="inlineStr">
        <is>
          <t>Anticipo Ganancias Ley 25.413 débitos</t>
        </is>
      </c>
      <c r="H76" s="8" t="inlineStr">
        <is>
          <t>Anticipo Impuesto a las Ganancias</t>
        </is>
      </c>
      <c r="I76" s="9" t="n">
        <v>2.29</v>
      </c>
      <c r="J76" s="9" t="inlineStr"/>
      <c r="K76" s="8" t="inlineStr">
        <is>
          <t>Copiar en Flexxus: Tipo=MB-EXT | Movimiento=GRAVAMEN LEY 25.413 S/DEB | Monto=2,29 | Fecha: 27/04/2026</t>
        </is>
      </c>
    </row>
    <row r="77">
      <c r="A77" s="8" t="inlineStr">
        <is>
          <t>PEND-052BAE954830-A001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108801</t>
        </is>
      </c>
      <c r="F77" s="8" t="inlineStr">
        <is>
          <t>GRAVAMEN LEY 25413 S/DEB</t>
        </is>
      </c>
      <c r="G77" s="8" t="inlineStr">
        <is>
          <t>Anticipo Ganancias Ley 25.413 débitos</t>
        </is>
      </c>
      <c r="H77" s="8" t="inlineStr">
        <is>
          <t>Anticipo Impuesto a las Ganancias</t>
        </is>
      </c>
      <c r="I77" s="9" t="n">
        <v>0.53</v>
      </c>
      <c r="J77" s="9" t="inlineStr"/>
      <c r="K77" s="8" t="inlineStr">
        <is>
          <t>Copiar en Flexxus: Tipo=MB-EXT | Movimiento=GRAVAMEN LEY 25.413 S/DEB | Monto=0,53 | Fecha: 27/04/2026</t>
        </is>
      </c>
    </row>
    <row r="78">
      <c r="A78" s="8" t="inlineStr">
        <is>
          <t>PEND-93192FA01FE4-A001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108800</t>
        </is>
      </c>
      <c r="F78" s="8" t="inlineStr">
        <is>
          <t>GRAVAMEN LEY 25413 S/DEB</t>
        </is>
      </c>
      <c r="G78" s="8" t="inlineStr">
        <is>
          <t>Anticipo Ganancias Ley 25.413 débitos</t>
        </is>
      </c>
      <c r="H78" s="8" t="inlineStr">
        <is>
          <t>Anticipo Impuesto a las Ganancias</t>
        </is>
      </c>
      <c r="I78" s="9" t="n">
        <v>0.27</v>
      </c>
      <c r="J78" s="9" t="inlineStr"/>
      <c r="K78" s="8" t="inlineStr">
        <is>
          <t>Copiar en Flexxus: Tipo=MB-EXT | Movimiento=GRAVAMEN LEY 25.413 S/DEB | Monto=0,27 | Fecha: 27/04/2026</t>
        </is>
      </c>
    </row>
    <row r="79">
      <c r="A79" s="8" t="inlineStr">
        <is>
          <t>PEND-7FE9CE05C107-A001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108799</t>
        </is>
      </c>
      <c r="F79" s="8" t="inlineStr">
        <is>
          <t>GRAVAMEN LEY 25413 S/DEB</t>
        </is>
      </c>
      <c r="G79" s="8" t="inlineStr">
        <is>
          <t>Anticipo Ganancias Ley 25.413 débitos</t>
        </is>
      </c>
      <c r="H79" s="8" t="inlineStr">
        <is>
          <t>Anticipo Impuesto a las Ganancias</t>
        </is>
      </c>
      <c r="I79" s="9" t="n">
        <v>0.53</v>
      </c>
      <c r="J79" s="9" t="inlineStr"/>
      <c r="K79" s="8" t="inlineStr">
        <is>
          <t>Copiar en Flexxus: Tipo=MB-EXT | Movimiento=GRAVAMEN LEY 25.413 S/DEB | Monto=0,53 | Fecha: 27/04/2026</t>
        </is>
      </c>
    </row>
    <row r="80">
      <c r="A80" s="8" t="inlineStr">
        <is>
          <t>PEND-1BE32B42AC22-A001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108798</t>
        </is>
      </c>
      <c r="F80" s="8" t="inlineStr">
        <is>
          <t>GRAVAMEN LEY 25413 S/DEB</t>
        </is>
      </c>
      <c r="G80" s="8" t="inlineStr">
        <is>
          <t>Anticipo Ganancias Ley 25.413 débitos</t>
        </is>
      </c>
      <c r="H80" s="8" t="inlineStr">
        <is>
          <t>Anticipo Impuesto a las Ganancias</t>
        </is>
      </c>
      <c r="I80" s="9" t="n">
        <v>2.58</v>
      </c>
      <c r="J80" s="9" t="inlineStr"/>
      <c r="K80" s="8" t="inlineStr">
        <is>
          <t>Copiar en Flexxus: Tipo=MB-EXT | Movimiento=GRAVAMEN LEY 25.413 S/DEB | Monto=2,58 | Fecha: 27/04/2026</t>
        </is>
      </c>
    </row>
    <row r="81">
      <c r="A81" s="8" t="inlineStr">
        <is>
          <t>PEND-EE41D15AAB79-A001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108797</t>
        </is>
      </c>
      <c r="F81" s="8" t="inlineStr">
        <is>
          <t>GRAVAMEN LEY 25413 S/DEB</t>
        </is>
      </c>
      <c r="G81" s="8" t="inlineStr">
        <is>
          <t>Anticipo Ganancias Ley 25.413 débitos</t>
        </is>
      </c>
      <c r="H81" s="8" t="inlineStr">
        <is>
          <t>Anticipo Impuesto a las Ganancias</t>
        </is>
      </c>
      <c r="I81" s="9" t="n">
        <v>1.53</v>
      </c>
      <c r="J81" s="9" t="inlineStr"/>
      <c r="K81" s="8" t="inlineStr">
        <is>
          <t>Copiar en Flexxus: Tipo=MB-EXT | Movimiento=GRAVAMEN LEY 25.413 S/DEB | Monto=1,53 | Fecha: 27/04/2026</t>
        </is>
      </c>
    </row>
    <row r="82">
      <c r="A82" s="8" t="inlineStr">
        <is>
          <t>PEND-076CF8525A51-A001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108796</t>
        </is>
      </c>
      <c r="F82" s="8" t="inlineStr">
        <is>
          <t>GRAVAMEN LEY 25413 S/DEB</t>
        </is>
      </c>
      <c r="G82" s="8" t="inlineStr">
        <is>
          <t>Anticipo Ganancias Ley 25.413 débitos</t>
        </is>
      </c>
      <c r="H82" s="8" t="inlineStr">
        <is>
          <t>Anticipo Impuesto a las Ganancias</t>
        </is>
      </c>
      <c r="I82" s="9" t="n">
        <v>4.68</v>
      </c>
      <c r="J82" s="9" t="inlineStr"/>
      <c r="K82" s="8" t="inlineStr">
        <is>
          <t>Copiar en Flexxus: Tipo=MB-EXT | Movimiento=GRAVAMEN LEY 25.413 S/DEB | Monto=4,68 | Fecha: 27/04/2026</t>
        </is>
      </c>
    </row>
    <row r="83">
      <c r="A83" s="8" t="inlineStr">
        <is>
          <t>PEND-569819949030-A001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108795</t>
        </is>
      </c>
      <c r="F83" s="8" t="inlineStr">
        <is>
          <t>GRAVAMEN LEY 25413 S/DEB</t>
        </is>
      </c>
      <c r="G83" s="8" t="inlineStr">
        <is>
          <t>Anticipo Ganancias Ley 25.413 débitos</t>
        </is>
      </c>
      <c r="H83" s="8" t="inlineStr">
        <is>
          <t>Anticipo Impuesto a las Ganancias</t>
        </is>
      </c>
      <c r="I83" s="9" t="n">
        <v>5.06</v>
      </c>
      <c r="J83" s="9" t="inlineStr"/>
      <c r="K83" s="8" t="inlineStr">
        <is>
          <t>Copiar en Flexxus: Tipo=MB-EXT | Movimiento=GRAVAMEN LEY 25.413 S/DEB | Monto=5,06 | Fecha: 27/04/2026</t>
        </is>
      </c>
    </row>
    <row r="84">
      <c r="A84" s="8" t="inlineStr">
        <is>
          <t>PEND-1D71FFF604C4-A001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108794</t>
        </is>
      </c>
      <c r="F84" s="8" t="inlineStr">
        <is>
          <t>GRAVAMEN LEY 25413 S/DEB</t>
        </is>
      </c>
      <c r="G84" s="8" t="inlineStr">
        <is>
          <t>Anticipo Ganancias Ley 25.413 débitos</t>
        </is>
      </c>
      <c r="H84" s="8" t="inlineStr">
        <is>
          <t>Anticipo Impuesto a las Ganancias</t>
        </is>
      </c>
      <c r="I84" s="9" t="n">
        <v>0.75</v>
      </c>
      <c r="J84" s="9" t="inlineStr"/>
      <c r="K84" s="8" t="inlineStr">
        <is>
          <t>Copiar en Flexxus: Tipo=MB-EXT | Movimiento=GRAVAMEN LEY 25.413 S/DEB | Monto=0,75 | Fecha: 27/04/2026</t>
        </is>
      </c>
    </row>
    <row r="85">
      <c r="A85" s="8" t="inlineStr">
        <is>
          <t>PEND-662AC3F29073-A001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108793</t>
        </is>
      </c>
      <c r="F85" s="8" t="inlineStr">
        <is>
          <t>GRAVAMEN LEY 25413 S/DEB</t>
        </is>
      </c>
      <c r="G85" s="8" t="inlineStr">
        <is>
          <t>Anticipo Ganancias Ley 25.413 débitos</t>
        </is>
      </c>
      <c r="H85" s="8" t="inlineStr">
        <is>
          <t>Anticipo Impuesto a las Ganancias</t>
        </is>
      </c>
      <c r="I85" s="9" t="n">
        <v>7.28</v>
      </c>
      <c r="J85" s="9" t="inlineStr"/>
      <c r="K85" s="8" t="inlineStr">
        <is>
          <t>Copiar en Flexxus: Tipo=MB-EXT | Movimiento=GRAVAMEN LEY 25.413 S/DEB | Monto=7,28 | Fecha: 27/04/2026</t>
        </is>
      </c>
    </row>
    <row r="86">
      <c r="A86" s="8" t="inlineStr">
        <is>
          <t>PEND-E80BD4EE954C-A001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108792</t>
        </is>
      </c>
      <c r="F86" s="8" t="inlineStr">
        <is>
          <t>GRAVAMEN LEY 25413 S/DEB</t>
        </is>
      </c>
      <c r="G86" s="8" t="inlineStr">
        <is>
          <t>Anticipo Ganancias Ley 25.413 débitos</t>
        </is>
      </c>
      <c r="H86" s="8" t="inlineStr">
        <is>
          <t>Anticipo Impuesto a las Ganancias</t>
        </is>
      </c>
      <c r="I86" s="9" t="n">
        <v>1.13</v>
      </c>
      <c r="J86" s="9" t="inlineStr"/>
      <c r="K86" s="8" t="inlineStr">
        <is>
          <t>Copiar en Flexxus: Tipo=MB-EXT | Movimiento=GRAVAMEN LEY 25.413 S/DEB | Monto=1,13 | Fecha: 27/04/2026</t>
        </is>
      </c>
    </row>
    <row r="87">
      <c r="A87" s="8" t="inlineStr">
        <is>
          <t>PEND-1499BC13A861-A001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108791</t>
        </is>
      </c>
      <c r="F87" s="8" t="inlineStr">
        <is>
          <t>GRAVAMEN LEY 25413 S/DEB</t>
        </is>
      </c>
      <c r="G87" s="8" t="inlineStr">
        <is>
          <t>Anticipo Ganancias Ley 25.413 débitos</t>
        </is>
      </c>
      <c r="H87" s="8" t="inlineStr">
        <is>
          <t>Anticipo Impuesto a las Ganancias</t>
        </is>
      </c>
      <c r="I87" s="9" t="n">
        <v>2.05</v>
      </c>
      <c r="J87" s="9" t="inlineStr"/>
      <c r="K87" s="8" t="inlineStr">
        <is>
          <t>Copiar en Flexxus: Tipo=MB-EXT | Movimiento=GRAVAMEN LEY 25.413 S/DEB | Monto=2,05 | Fecha: 27/04/2026</t>
        </is>
      </c>
    </row>
    <row r="88">
      <c r="A88" s="8" t="inlineStr">
        <is>
          <t>PEND-D8DEA42204D8-A001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108790</t>
        </is>
      </c>
      <c r="F88" s="8" t="inlineStr">
        <is>
          <t>GRAVAMEN LEY 25413 S/DEB</t>
        </is>
      </c>
      <c r="G88" s="8" t="inlineStr">
        <is>
          <t>Anticipo Ganancias Ley 25.413 débitos</t>
        </is>
      </c>
      <c r="H88" s="8" t="inlineStr">
        <is>
          <t>Anticipo Impuesto a las Ganancias</t>
        </is>
      </c>
      <c r="I88" s="9" t="n">
        <v>0.59</v>
      </c>
      <c r="J88" s="9" t="inlineStr"/>
      <c r="K88" s="8" t="inlineStr">
        <is>
          <t>Copiar en Flexxus: Tipo=MB-EXT | Movimiento=GRAVAMEN LEY 25.413 S/DEB | Monto=0,59 | Fecha: 27/04/2026</t>
        </is>
      </c>
    </row>
    <row r="89">
      <c r="A89" s="8" t="inlineStr">
        <is>
          <t>PEND-AA4F5FA54512-A001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108789</t>
        </is>
      </c>
      <c r="F89" s="8" t="inlineStr">
        <is>
          <t>GRAVAMEN LEY 25413 S/DEB</t>
        </is>
      </c>
      <c r="G89" s="8" t="inlineStr">
        <is>
          <t>Anticipo Ganancias Ley 25.413 débitos</t>
        </is>
      </c>
      <c r="H89" s="8" t="inlineStr">
        <is>
          <t>Anticipo Impuesto a las Ganancias</t>
        </is>
      </c>
      <c r="I89" s="9" t="n">
        <v>1.49</v>
      </c>
      <c r="J89" s="9" t="inlineStr"/>
      <c r="K89" s="8" t="inlineStr">
        <is>
          <t>Copiar en Flexxus: Tipo=MB-EXT | Movimiento=GRAVAMEN LEY 25.413 S/DEB | Monto=1,49 | Fecha: 27/04/2026</t>
        </is>
      </c>
    </row>
    <row r="90">
      <c r="A90" s="8" t="inlineStr">
        <is>
          <t>PEND-5D3D06876C27-A001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108788</t>
        </is>
      </c>
      <c r="F90" s="8" t="inlineStr">
        <is>
          <t>GRAVAMEN LEY 25413 S/DEB</t>
        </is>
      </c>
      <c r="G90" s="8" t="inlineStr">
        <is>
          <t>Anticipo Ganancias Ley 25.413 débitos</t>
        </is>
      </c>
      <c r="H90" s="8" t="inlineStr">
        <is>
          <t>Anticipo Impuesto a las Ganancias</t>
        </is>
      </c>
      <c r="I90" s="9" t="n">
        <v>0.63</v>
      </c>
      <c r="J90" s="9" t="inlineStr"/>
      <c r="K90" s="8" t="inlineStr">
        <is>
          <t>Copiar en Flexxus: Tipo=MB-EXT | Movimiento=GRAVAMEN LEY 25.413 S/DEB | Monto=0,63 | Fecha: 27/04/2026</t>
        </is>
      </c>
    </row>
    <row r="91">
      <c r="A91" s="8" t="inlineStr">
        <is>
          <t>PEND-563AFB2E9D08-A001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108787</t>
        </is>
      </c>
      <c r="F91" s="8" t="inlineStr">
        <is>
          <t>GRAVAMEN LEY 25413 S/DEB</t>
        </is>
      </c>
      <c r="G91" s="8" t="inlineStr">
        <is>
          <t>Anticipo Ganancias Ley 25.413 débitos</t>
        </is>
      </c>
      <c r="H91" s="8" t="inlineStr">
        <is>
          <t>Anticipo Impuesto a las Ganancias</t>
        </is>
      </c>
      <c r="I91" s="9" t="n">
        <v>2.73</v>
      </c>
      <c r="J91" s="9" t="inlineStr"/>
      <c r="K91" s="8" t="inlineStr">
        <is>
          <t>Copiar en Flexxus: Tipo=MB-EXT | Movimiento=GRAVAMEN LEY 25.413 S/DEB | Monto=2,73 | Fecha: 27/04/2026</t>
        </is>
      </c>
    </row>
    <row r="92">
      <c r="A92" s="8" t="inlineStr">
        <is>
          <t>PEND-2F46C7EBE8B3-A001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108786</t>
        </is>
      </c>
      <c r="F92" s="8" t="inlineStr">
        <is>
          <t>GRAVAMEN LEY 25413 S/DEB</t>
        </is>
      </c>
      <c r="G92" s="8" t="inlineStr">
        <is>
          <t>Anticipo Ganancias Ley 25.413 débitos</t>
        </is>
      </c>
      <c r="H92" s="8" t="inlineStr">
        <is>
          <t>Anticipo Impuesto a las Ganancias</t>
        </is>
      </c>
      <c r="I92" s="9" t="n">
        <v>0.68</v>
      </c>
      <c r="J92" s="9" t="inlineStr"/>
      <c r="K92" s="8" t="inlineStr">
        <is>
          <t>Copiar en Flexxus: Tipo=MB-EXT | Movimiento=GRAVAMEN LEY 25.413 S/DEB | Monto=0,68 | Fecha: 27/04/2026</t>
        </is>
      </c>
    </row>
    <row r="93">
      <c r="A93" s="8" t="inlineStr">
        <is>
          <t>PEND-ED2F904B604C-A001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108785</t>
        </is>
      </c>
      <c r="F93" s="8" t="inlineStr">
        <is>
          <t>GRAVAMEN LEY 25413 S/DEB</t>
        </is>
      </c>
      <c r="G93" s="8" t="inlineStr">
        <is>
          <t>Anticipo Ganancias Ley 25.413 débitos</t>
        </is>
      </c>
      <c r="H93" s="8" t="inlineStr">
        <is>
          <t>Anticipo Impuesto a las Ganancias</t>
        </is>
      </c>
      <c r="I93" s="9" t="n">
        <v>6.4</v>
      </c>
      <c r="J93" s="9" t="inlineStr"/>
      <c r="K93" s="8" t="inlineStr">
        <is>
          <t>Copiar en Flexxus: Tipo=MB-EXT | Movimiento=GRAVAMEN LEY 25.413 S/DEB | Monto=6,40 | Fecha: 27/04/2026</t>
        </is>
      </c>
    </row>
    <row r="94">
      <c r="A94" s="8" t="inlineStr">
        <is>
          <t>PEND-542DA387217A-A001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108784</t>
        </is>
      </c>
      <c r="F94" s="8" t="inlineStr">
        <is>
          <t>GRAVAMEN LEY 25413 S/DEB</t>
        </is>
      </c>
      <c r="G94" s="8" t="inlineStr">
        <is>
          <t>Anticipo Ganancias Ley 25.413 débitos</t>
        </is>
      </c>
      <c r="H94" s="8" t="inlineStr">
        <is>
          <t>Anticipo Impuesto a las Ganancias</t>
        </is>
      </c>
      <c r="I94" s="9" t="n">
        <v>4.37</v>
      </c>
      <c r="J94" s="9" t="inlineStr"/>
      <c r="K94" s="8" t="inlineStr">
        <is>
          <t>Copiar en Flexxus: Tipo=MB-EXT | Movimiento=GRAVAMEN LEY 25.413 S/DEB | Monto=4,37 | Fecha: 27/04/2026</t>
        </is>
      </c>
    </row>
    <row r="95">
      <c r="A95" s="8" t="inlineStr">
        <is>
          <t>PEND-622D373754C3-A001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108783</t>
        </is>
      </c>
      <c r="F95" s="8" t="inlineStr">
        <is>
          <t>GRAVAMEN LEY 25413 S/DEB</t>
        </is>
      </c>
      <c r="G95" s="8" t="inlineStr">
        <is>
          <t>Anticipo Ganancias Ley 25.413 débitos</t>
        </is>
      </c>
      <c r="H95" s="8" t="inlineStr">
        <is>
          <t>Anticipo Impuesto a las Ganancias</t>
        </is>
      </c>
      <c r="I95" s="9" t="n">
        <v>1.89</v>
      </c>
      <c r="J95" s="9" t="inlineStr"/>
      <c r="K95" s="8" t="inlineStr">
        <is>
          <t>Copiar en Flexxus: Tipo=MB-EXT | Movimiento=GRAVAMEN LEY 25.413 S/DEB | Monto=1,89 | Fecha: 27/04/2026</t>
        </is>
      </c>
    </row>
    <row r="96">
      <c r="A96" s="8" t="inlineStr">
        <is>
          <t>PEND-E71860355EC8-A001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108782</t>
        </is>
      </c>
      <c r="F96" s="8" t="inlineStr">
        <is>
          <t>GRAVAMEN LEY 25413 S/DEB</t>
        </is>
      </c>
      <c r="G96" s="8" t="inlineStr">
        <is>
          <t>Anticipo Ganancias Ley 25.413 débitos</t>
        </is>
      </c>
      <c r="H96" s="8" t="inlineStr">
        <is>
          <t>Anticipo Impuesto a las Ganancias</t>
        </is>
      </c>
      <c r="I96" s="9" t="n">
        <v>3.78</v>
      </c>
      <c r="J96" s="9" t="inlineStr"/>
      <c r="K96" s="8" t="inlineStr">
        <is>
          <t>Copiar en Flexxus: Tipo=MB-EXT | Movimiento=GRAVAMEN LEY 25.413 S/DEB | Monto=3,78 | Fecha: 27/04/2026</t>
        </is>
      </c>
    </row>
    <row r="97">
      <c r="A97" s="8" t="inlineStr">
        <is>
          <t>PEND-87A8C4BFECC0-A001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108781</t>
        </is>
      </c>
      <c r="F97" s="8" t="inlineStr">
        <is>
          <t>GRAVAMEN LEY 25413 S/DEB</t>
        </is>
      </c>
      <c r="G97" s="8" t="inlineStr">
        <is>
          <t>Anticipo Ganancias Ley 25.413 débitos</t>
        </is>
      </c>
      <c r="H97" s="8" t="inlineStr">
        <is>
          <t>Anticipo Impuesto a las Ganancias</t>
        </is>
      </c>
      <c r="I97" s="9" t="n">
        <v>3.47</v>
      </c>
      <c r="J97" s="9" t="inlineStr"/>
      <c r="K97" s="8" t="inlineStr">
        <is>
          <t>Copiar en Flexxus: Tipo=MB-EXT | Movimiento=GRAVAMEN LEY 25.413 S/DEB | Monto=3,47 | Fecha: 27/04/2026</t>
        </is>
      </c>
    </row>
    <row r="98">
      <c r="A98" s="8" t="inlineStr">
        <is>
          <t>PEND-6D9BFD4E9506-A001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108780</t>
        </is>
      </c>
      <c r="F98" s="8" t="inlineStr">
        <is>
          <t>GRAVAMEN LEY 25413 S/DEB</t>
        </is>
      </c>
      <c r="G98" s="8" t="inlineStr">
        <is>
          <t>Anticipo Ganancias Ley 25.413 débitos</t>
        </is>
      </c>
      <c r="H98" s="8" t="inlineStr">
        <is>
          <t>Anticipo Impuesto a las Ganancias</t>
        </is>
      </c>
      <c r="I98" s="9" t="n">
        <v>3.96</v>
      </c>
      <c r="J98" s="9" t="inlineStr"/>
      <c r="K98" s="8" t="inlineStr">
        <is>
          <t>Copiar en Flexxus: Tipo=MB-EXT | Movimiento=GRAVAMEN LEY 25.413 S/DEB | Monto=3,96 | Fecha: 27/04/2026</t>
        </is>
      </c>
    </row>
    <row r="99">
      <c r="A99" s="8" t="inlineStr">
        <is>
          <t>PEND-0B310409FE63-A001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108779</t>
        </is>
      </c>
      <c r="F99" s="8" t="inlineStr">
        <is>
          <t>GRAVAMEN LEY 25413 S/DEB</t>
        </is>
      </c>
      <c r="G99" s="8" t="inlineStr">
        <is>
          <t>Anticipo Ganancias Ley 25.413 débitos</t>
        </is>
      </c>
      <c r="H99" s="8" t="inlineStr">
        <is>
          <t>Anticipo Impuesto a las Ganancias</t>
        </is>
      </c>
      <c r="I99" s="9" t="n">
        <v>0.74</v>
      </c>
      <c r="J99" s="9" t="inlineStr"/>
      <c r="K99" s="8" t="inlineStr">
        <is>
          <t>Copiar en Flexxus: Tipo=MB-EXT | Movimiento=GRAVAMEN LEY 25.413 S/DEB | Monto=0,74 | Fecha: 27/04/2026</t>
        </is>
      </c>
    </row>
    <row r="100">
      <c r="A100" s="8" t="inlineStr">
        <is>
          <t>PEND-2875183DB8F8-A001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108778</t>
        </is>
      </c>
      <c r="F100" s="8" t="inlineStr">
        <is>
          <t>GRAVAMEN LEY 25413 S/DEB</t>
        </is>
      </c>
      <c r="G100" s="8" t="inlineStr">
        <is>
          <t>Anticipo Ganancias Ley 25.413 débitos</t>
        </is>
      </c>
      <c r="H100" s="8" t="inlineStr">
        <is>
          <t>Anticipo Impuesto a las Ganancias</t>
        </is>
      </c>
      <c r="I100" s="9" t="n">
        <v>1.99</v>
      </c>
      <c r="J100" s="9" t="inlineStr"/>
      <c r="K100" s="8" t="inlineStr">
        <is>
          <t>Copiar en Flexxus: Tipo=MB-EXT | Movimiento=GRAVAMEN LEY 25.413 S/DEB | Monto=1,99 | Fecha: 27/04/2026</t>
        </is>
      </c>
    </row>
    <row r="101">
      <c r="A101" s="8" t="inlineStr">
        <is>
          <t>PEND-C3B3D26FE951-A001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108777</t>
        </is>
      </c>
      <c r="F101" s="8" t="inlineStr">
        <is>
          <t>GRAVAMEN LEY 25413 S/DEB</t>
        </is>
      </c>
      <c r="G101" s="8" t="inlineStr">
        <is>
          <t>Anticipo Ganancias Ley 25.413 débitos</t>
        </is>
      </c>
      <c r="H101" s="8" t="inlineStr">
        <is>
          <t>Anticipo Impuesto a las Ganancias</t>
        </is>
      </c>
      <c r="I101" s="9" t="n">
        <v>1.99</v>
      </c>
      <c r="J101" s="9" t="inlineStr"/>
      <c r="K101" s="8" t="inlineStr">
        <is>
          <t>Copiar en Flexxus: Tipo=MB-EXT | Movimiento=GRAVAMEN LEY 25.413 S/DEB | Monto=1,99 | Fecha: 27/04/2026</t>
        </is>
      </c>
    </row>
    <row r="102">
      <c r="A102" s="8" t="inlineStr">
        <is>
          <t>PEND-01D5E791B778-A001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108776</t>
        </is>
      </c>
      <c r="F102" s="8" t="inlineStr">
        <is>
          <t>GRAVAMEN LEY 25413 S/DEB</t>
        </is>
      </c>
      <c r="G102" s="8" t="inlineStr">
        <is>
          <t>Anticipo Ganancias Ley 25.413 débitos</t>
        </is>
      </c>
      <c r="H102" s="8" t="inlineStr">
        <is>
          <t>Anticipo Impuesto a las Ganancias</t>
        </is>
      </c>
      <c r="I102" s="9" t="n">
        <v>0.79</v>
      </c>
      <c r="J102" s="9" t="inlineStr"/>
      <c r="K102" s="8" t="inlineStr">
        <is>
          <t>Copiar en Flexxus: Tipo=MB-EXT | Movimiento=GRAVAMEN LEY 25.413 S/DEB | Monto=0,79 | Fecha: 27/04/2026</t>
        </is>
      </c>
    </row>
    <row r="103">
      <c r="A103" s="8" t="inlineStr">
        <is>
          <t>PEND-084E2787E3DD-A001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108775</t>
        </is>
      </c>
      <c r="F103" s="8" t="inlineStr">
        <is>
          <t>GRAVAMEN LEY 25413 S/DEB</t>
        </is>
      </c>
      <c r="G103" s="8" t="inlineStr">
        <is>
          <t>Anticipo Ganancias Ley 25.413 débitos</t>
        </is>
      </c>
      <c r="H103" s="8" t="inlineStr">
        <is>
          <t>Anticipo Impuesto a las Ganancias</t>
        </is>
      </c>
      <c r="I103" s="9" t="n">
        <v>3.76</v>
      </c>
      <c r="J103" s="9" t="inlineStr"/>
      <c r="K103" s="8" t="inlineStr">
        <is>
          <t>Copiar en Flexxus: Tipo=MB-EXT | Movimiento=GRAVAMEN LEY 25.413 S/DEB | Monto=3,76 | Fecha: 27/04/2026</t>
        </is>
      </c>
    </row>
    <row r="104">
      <c r="A104" s="8" t="inlineStr">
        <is>
          <t>PEND-02F3E863493B-A001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108774</t>
        </is>
      </c>
      <c r="F104" s="8" t="inlineStr">
        <is>
          <t>GRAVAMEN LEY 25413 S/DEB</t>
        </is>
      </c>
      <c r="G104" s="8" t="inlineStr">
        <is>
          <t>Anticipo Ganancias Ley 25.413 débitos</t>
        </is>
      </c>
      <c r="H104" s="8" t="inlineStr">
        <is>
          <t>Anticipo Impuesto a las Ganancias</t>
        </is>
      </c>
      <c r="I104" s="9" t="n">
        <v>4.53</v>
      </c>
      <c r="J104" s="9" t="inlineStr"/>
      <c r="K104" s="8" t="inlineStr">
        <is>
          <t>Copiar en Flexxus: Tipo=MB-EXT | Movimiento=GRAVAMEN LEY 25.413 S/DEB | Monto=4,53 | Fecha: 27/04/2026</t>
        </is>
      </c>
    </row>
    <row r="105">
      <c r="A105" s="8" t="inlineStr">
        <is>
          <t>PEND-17E109FC692F-A001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108773</t>
        </is>
      </c>
      <c r="F105" s="8" t="inlineStr">
        <is>
          <t>GRAVAMEN LEY 25413 S/DEB</t>
        </is>
      </c>
      <c r="G105" s="8" t="inlineStr">
        <is>
          <t>Anticipo Ganancias Ley 25.413 débitos</t>
        </is>
      </c>
      <c r="H105" s="8" t="inlineStr">
        <is>
          <t>Anticipo Impuesto a las Ganancias</t>
        </is>
      </c>
      <c r="I105" s="9" t="n">
        <v>0.51</v>
      </c>
      <c r="J105" s="9" t="inlineStr"/>
      <c r="K105" s="8" t="inlineStr">
        <is>
          <t>Copiar en Flexxus: Tipo=MB-EXT | Movimiento=GRAVAMEN LEY 25.413 S/DEB | Monto=0,51 | Fecha: 27/04/2026</t>
        </is>
      </c>
    </row>
    <row r="106">
      <c r="A106" s="8" t="inlineStr">
        <is>
          <t>PEND-D426AC58D1E5-A001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108772</t>
        </is>
      </c>
      <c r="F106" s="8" t="inlineStr">
        <is>
          <t>GRAVAMEN LEY 25413 S/DEB</t>
        </is>
      </c>
      <c r="G106" s="8" t="inlineStr">
        <is>
          <t>Anticipo Ganancias Ley 25.413 débitos</t>
        </is>
      </c>
      <c r="H106" s="8" t="inlineStr">
        <is>
          <t>Anticipo Impuesto a las Ganancias</t>
        </is>
      </c>
      <c r="I106" s="9" t="n">
        <v>0.27</v>
      </c>
      <c r="J106" s="9" t="inlineStr"/>
      <c r="K106" s="8" t="inlineStr">
        <is>
          <t>Copiar en Flexxus: Tipo=MB-EXT | Movimiento=GRAVAMEN LEY 25.413 S/DEB | Monto=0,27 | Fecha: 27/04/2026</t>
        </is>
      </c>
    </row>
    <row r="107">
      <c r="A107" s="8" t="inlineStr">
        <is>
          <t>PEND-BA1CA6434947-A001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108771</t>
        </is>
      </c>
      <c r="F107" s="8" t="inlineStr">
        <is>
          <t>GRAVAMEN LEY 25413 S/DEB</t>
        </is>
      </c>
      <c r="G107" s="8" t="inlineStr">
        <is>
          <t>Anticipo Ganancias Ley 25.413 débitos</t>
        </is>
      </c>
      <c r="H107" s="8" t="inlineStr">
        <is>
          <t>Anticipo Impuesto a las Ganancias</t>
        </is>
      </c>
      <c r="I107" s="9" t="n">
        <v>2.76</v>
      </c>
      <c r="J107" s="9" t="inlineStr"/>
      <c r="K107" s="8" t="inlineStr">
        <is>
          <t>Copiar en Flexxus: Tipo=MB-EXT | Movimiento=GRAVAMEN LEY 25.413 S/DEB | Monto=2,76 | Fecha: 27/04/2026</t>
        </is>
      </c>
    </row>
    <row r="108">
      <c r="A108" s="8" t="inlineStr">
        <is>
          <t>PEND-1B89056FBF70-A001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108770</t>
        </is>
      </c>
      <c r="F108" s="8" t="inlineStr">
        <is>
          <t>GRAVAMEN LEY 25413 S/DEB</t>
        </is>
      </c>
      <c r="G108" s="8" t="inlineStr">
        <is>
          <t>Anticipo Ganancias Ley 25.413 débitos</t>
        </is>
      </c>
      <c r="H108" s="8" t="inlineStr">
        <is>
          <t>Anticipo Impuesto a las Ganancias</t>
        </is>
      </c>
      <c r="I108" s="9" t="n">
        <v>3.15</v>
      </c>
      <c r="J108" s="9" t="inlineStr"/>
      <c r="K108" s="8" t="inlineStr">
        <is>
          <t>Copiar en Flexxus: Tipo=MB-EXT | Movimiento=GRAVAMEN LEY 25.413 S/DEB | Monto=3,15 | Fecha: 27/04/2026</t>
        </is>
      </c>
    </row>
    <row r="109">
      <c r="A109" s="8" t="inlineStr">
        <is>
          <t>PEND-9BB365999086-A001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108769</t>
        </is>
      </c>
      <c r="F109" s="8" t="inlineStr">
        <is>
          <t>GRAVAMEN LEY 25413 S/DEB</t>
        </is>
      </c>
      <c r="G109" s="8" t="inlineStr">
        <is>
          <t>Anticipo Ganancias Ley 25.413 débitos</t>
        </is>
      </c>
      <c r="H109" s="8" t="inlineStr">
        <is>
          <t>Anticipo Impuesto a las Ganancias</t>
        </is>
      </c>
      <c r="I109" s="9" t="n">
        <v>0.46</v>
      </c>
      <c r="J109" s="9" t="inlineStr"/>
      <c r="K109" s="8" t="inlineStr">
        <is>
          <t>Copiar en Flexxus: Tipo=MB-EXT | Movimiento=GRAVAMEN LEY 25.413 S/DEB | Monto=0,46 | Fecha: 27/04/2026</t>
        </is>
      </c>
    </row>
    <row r="110">
      <c r="A110" s="8" t="inlineStr">
        <is>
          <t>PEND-2C783B9F72ED-A001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108768</t>
        </is>
      </c>
      <c r="F110" s="8" t="inlineStr">
        <is>
          <t>GRAVAMEN LEY 25413 S/DEB</t>
        </is>
      </c>
      <c r="G110" s="8" t="inlineStr">
        <is>
          <t>Anticipo Ganancias Ley 25.413 débitos</t>
        </is>
      </c>
      <c r="H110" s="8" t="inlineStr">
        <is>
          <t>Anticipo Impuesto a las Ganancias</t>
        </is>
      </c>
      <c r="I110" s="9" t="n">
        <v>0.5600000000000001</v>
      </c>
      <c r="J110" s="9" t="inlineStr"/>
      <c r="K110" s="8" t="inlineStr">
        <is>
          <t>Copiar en Flexxus: Tipo=MB-EXT | Movimiento=GRAVAMEN LEY 25.413 S/DEB | Monto=0,56 | Fecha: 27/04/2026</t>
        </is>
      </c>
    </row>
    <row r="111">
      <c r="A111" s="8" t="inlineStr">
        <is>
          <t>PEND-EE6DEB71DDE5-A001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108767</t>
        </is>
      </c>
      <c r="F111" s="8" t="inlineStr">
        <is>
          <t>GRAVAMEN LEY 25413 S/DEB</t>
        </is>
      </c>
      <c r="G111" s="8" t="inlineStr">
        <is>
          <t>Anticipo Ganancias Ley 25.413 débitos</t>
        </is>
      </c>
      <c r="H111" s="8" t="inlineStr">
        <is>
          <t>Anticipo Impuesto a las Ganancias</t>
        </is>
      </c>
      <c r="I111" s="9" t="n">
        <v>0.8</v>
      </c>
      <c r="J111" s="9" t="inlineStr"/>
      <c r="K111" s="8" t="inlineStr">
        <is>
          <t>Copiar en Flexxus: Tipo=MB-EXT | Movimiento=GRAVAMEN LEY 25.413 S/DEB | Monto=0,80 | Fecha: 27/04/2026</t>
        </is>
      </c>
    </row>
    <row r="112">
      <c r="A112" s="8" t="inlineStr">
        <is>
          <t>PEND-FCC295003ACC-A001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108766</t>
        </is>
      </c>
      <c r="F112" s="8" t="inlineStr">
        <is>
          <t>GRAVAMEN LEY 25413 S/DEB</t>
        </is>
      </c>
      <c r="G112" s="8" t="inlineStr">
        <is>
          <t>Anticipo Ganancias Ley 25.413 débitos</t>
        </is>
      </c>
      <c r="H112" s="8" t="inlineStr">
        <is>
          <t>Anticipo Impuesto a las Ganancias</t>
        </is>
      </c>
      <c r="I112" s="9" t="n">
        <v>1.37</v>
      </c>
      <c r="J112" s="9" t="inlineStr"/>
      <c r="K112" s="8" t="inlineStr">
        <is>
          <t>Copiar en Flexxus: Tipo=MB-EXT | Movimiento=GRAVAMEN LEY 25.413 S/DEB | Monto=1,37 | Fecha: 27/04/2026</t>
        </is>
      </c>
    </row>
    <row r="113">
      <c r="A113" s="8" t="inlineStr">
        <is>
          <t>PEND-DF03769779EE-A001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108765</t>
        </is>
      </c>
      <c r="F113" s="8" t="inlineStr">
        <is>
          <t>GRAVAMEN LEY 25413 S/DEB</t>
        </is>
      </c>
      <c r="G113" s="8" t="inlineStr">
        <is>
          <t>Anticipo Ganancias Ley 25.413 débitos</t>
        </is>
      </c>
      <c r="H113" s="8" t="inlineStr">
        <is>
          <t>Anticipo Impuesto a las Ganancias</t>
        </is>
      </c>
      <c r="I113" s="9" t="n">
        <v>1.6</v>
      </c>
      <c r="J113" s="9" t="inlineStr"/>
      <c r="K113" s="8" t="inlineStr">
        <is>
          <t>Copiar en Flexxus: Tipo=MB-EXT | Movimiento=GRAVAMEN LEY 25.413 S/DEB | Monto=1,60 | Fecha: 27/04/2026</t>
        </is>
      </c>
    </row>
    <row r="114">
      <c r="A114" s="8" t="inlineStr">
        <is>
          <t>PEND-198499142FC1-A001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108764</t>
        </is>
      </c>
      <c r="F114" s="8" t="inlineStr">
        <is>
          <t>GRAVAMEN LEY 25413 S/DEB</t>
        </is>
      </c>
      <c r="G114" s="8" t="inlineStr">
        <is>
          <t>Anticipo Ganancias Ley 25.413 débitos</t>
        </is>
      </c>
      <c r="H114" s="8" t="inlineStr">
        <is>
          <t>Anticipo Impuesto a las Ganancias</t>
        </is>
      </c>
      <c r="I114" s="9" t="n">
        <v>0.8</v>
      </c>
      <c r="J114" s="9" t="inlineStr"/>
      <c r="K114" s="8" t="inlineStr">
        <is>
          <t>Copiar en Flexxus: Tipo=MB-EXT | Movimiento=GRAVAMEN LEY 25.413 S/DEB | Monto=0,80 | Fecha: 27/04/2026</t>
        </is>
      </c>
    </row>
    <row r="115">
      <c r="A115" s="8" t="inlineStr">
        <is>
          <t>PEND-0384B8D794B1-A001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108763</t>
        </is>
      </c>
      <c r="F115" s="8" t="inlineStr">
        <is>
          <t>GRAVAMEN LEY 25413 S/DEB</t>
        </is>
      </c>
      <c r="G115" s="8" t="inlineStr">
        <is>
          <t>Anticipo Ganancias Ley 25.413 débitos</t>
        </is>
      </c>
      <c r="H115" s="8" t="inlineStr">
        <is>
          <t>Anticipo Impuesto a las Ganancias</t>
        </is>
      </c>
      <c r="I115" s="9" t="n">
        <v>3.04</v>
      </c>
      <c r="J115" s="9" t="inlineStr"/>
      <c r="K115" s="8" t="inlineStr">
        <is>
          <t>Copiar en Flexxus: Tipo=MB-EXT | Movimiento=GRAVAMEN LEY 25.413 S/DEB | Monto=3,04 | Fecha: 27/04/2026</t>
        </is>
      </c>
    </row>
    <row r="116">
      <c r="A116" s="8" t="inlineStr">
        <is>
          <t>PEND-810BBB5624A5-A001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108762</t>
        </is>
      </c>
      <c r="F116" s="8" t="inlineStr">
        <is>
          <t>GRAVAMEN LEY 25413 S/DEB</t>
        </is>
      </c>
      <c r="G116" s="8" t="inlineStr">
        <is>
          <t>Anticipo Ganancias Ley 25.413 débitos</t>
        </is>
      </c>
      <c r="H116" s="8" t="inlineStr">
        <is>
          <t>Anticipo Impuesto a las Ganancias</t>
        </is>
      </c>
      <c r="I116" s="9" t="n">
        <v>6.56</v>
      </c>
      <c r="J116" s="9" t="inlineStr"/>
      <c r="K116" s="8" t="inlineStr">
        <is>
          <t>Copiar en Flexxus: Tipo=MB-EXT | Movimiento=GRAVAMEN LEY 25.413 S/DEB | Monto=6,56 | Fecha: 27/04/2026</t>
        </is>
      </c>
    </row>
    <row r="117">
      <c r="A117" s="8" t="inlineStr">
        <is>
          <t>PEND-237C99790446-A001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108761</t>
        </is>
      </c>
      <c r="F117" s="8" t="inlineStr">
        <is>
          <t>GRAVAMEN LEY 25413 S/DEB</t>
        </is>
      </c>
      <c r="G117" s="8" t="inlineStr">
        <is>
          <t>Anticipo Ganancias Ley 25.413 débitos</t>
        </is>
      </c>
      <c r="H117" s="8" t="inlineStr">
        <is>
          <t>Anticipo Impuesto a las Ganancias</t>
        </is>
      </c>
      <c r="I117" s="9" t="n">
        <v>2.41</v>
      </c>
      <c r="J117" s="9" t="inlineStr"/>
      <c r="K117" s="8" t="inlineStr">
        <is>
          <t>Copiar en Flexxus: Tipo=MB-EXT | Movimiento=GRAVAMEN LEY 25.413 S/DEB | Monto=2,41 | Fecha: 27/04/2026</t>
        </is>
      </c>
    </row>
    <row r="118">
      <c r="A118" s="8" t="inlineStr">
        <is>
          <t>PEND-EBB74083C616-A001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108760</t>
        </is>
      </c>
      <c r="F118" s="8" t="inlineStr">
        <is>
          <t>GRAVAMEN LEY 25413 S/DEB</t>
        </is>
      </c>
      <c r="G118" s="8" t="inlineStr">
        <is>
          <t>Anticipo Ganancias Ley 25.413 débitos</t>
        </is>
      </c>
      <c r="H118" s="8" t="inlineStr">
        <is>
          <t>Anticipo Impuesto a las Ganancias</t>
        </is>
      </c>
      <c r="I118" s="9" t="n">
        <v>2.02</v>
      </c>
      <c r="J118" s="9" t="inlineStr"/>
      <c r="K118" s="8" t="inlineStr">
        <is>
          <t>Copiar en Flexxus: Tipo=MB-EXT | Movimiento=GRAVAMEN LEY 25.413 S/DEB | Monto=2,02 | Fecha: 27/04/2026</t>
        </is>
      </c>
    </row>
    <row r="119">
      <c r="A119" s="8" t="inlineStr">
        <is>
          <t>PEND-0A7546402AB6-A001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108756</t>
        </is>
      </c>
      <c r="F119" s="8" t="inlineStr">
        <is>
          <t>GRAVAMEN LEY 25413 S/DEB</t>
        </is>
      </c>
      <c r="G119" s="8" t="inlineStr">
        <is>
          <t>Anticipo Ganancias Ley 25.413 débitos</t>
        </is>
      </c>
      <c r="H119" s="8" t="inlineStr">
        <is>
          <t>Anticipo Impuesto a las Ganancias</t>
        </is>
      </c>
      <c r="I119" s="9" t="n">
        <v>8.970000000000001</v>
      </c>
      <c r="J119" s="9" t="inlineStr"/>
      <c r="K119" s="8" t="inlineStr">
        <is>
          <t>Copiar en Flexxus: Tipo=MB-EXT | Movimiento=GRAVAMEN LEY 25.413 S/DEB | Monto=8,97 | Fecha: 27/04/2026</t>
        </is>
      </c>
    </row>
    <row r="120">
      <c r="A120" s="8" t="inlineStr">
        <is>
          <t>PEND-E85E5F0BA32C-A001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108755</t>
        </is>
      </c>
      <c r="F120" s="8" t="inlineStr">
        <is>
          <t>GRAVAMEN LEY 25413 S/DEB</t>
        </is>
      </c>
      <c r="G120" s="8" t="inlineStr">
        <is>
          <t>Anticipo Ganancias Ley 25.413 débitos</t>
        </is>
      </c>
      <c r="H120" s="8" t="inlineStr">
        <is>
          <t>Anticipo Impuesto a las Ganancias</t>
        </is>
      </c>
      <c r="I120" s="9" t="n">
        <v>0.41</v>
      </c>
      <c r="J120" s="9" t="inlineStr"/>
      <c r="K120" s="8" t="inlineStr">
        <is>
          <t>Copiar en Flexxus: Tipo=MB-EXT | Movimiento=GRAVAMEN LEY 25.413 S/DEB | Monto=0,41 | Fecha: 27/04/2026</t>
        </is>
      </c>
    </row>
    <row r="121">
      <c r="A121" s="8" t="inlineStr">
        <is>
          <t>PEND-240B479BDDBF-A001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108754</t>
        </is>
      </c>
      <c r="F121" s="8" t="inlineStr">
        <is>
          <t>GRAVAMEN LEY 25413 S/DEB</t>
        </is>
      </c>
      <c r="G121" s="8" t="inlineStr">
        <is>
          <t>Anticipo Ganancias Ley 25.413 débitos</t>
        </is>
      </c>
      <c r="H121" s="8" t="inlineStr">
        <is>
          <t>Anticipo Impuesto a las Ganancias</t>
        </is>
      </c>
      <c r="I121" s="9" t="n">
        <v>6.82</v>
      </c>
      <c r="J121" s="9" t="inlineStr"/>
      <c r="K121" s="8" t="inlineStr">
        <is>
          <t>Copiar en Flexxus: Tipo=MB-EXT | Movimiento=GRAVAMEN LEY 25.413 S/DEB | Monto=6,82 | Fecha: 27/04/2026</t>
        </is>
      </c>
    </row>
    <row r="122">
      <c r="A122" s="8" t="inlineStr">
        <is>
          <t>PEND-98133263776E-A001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108880</t>
        </is>
      </c>
      <c r="F122" s="8" t="inlineStr">
        <is>
          <t>GRAVAMEN LEY 25413 S/DEB</t>
        </is>
      </c>
      <c r="G122" s="8" t="inlineStr">
        <is>
          <t>Anticipo Ganancias Ley 25.413 débitos</t>
        </is>
      </c>
      <c r="H122" s="8" t="inlineStr">
        <is>
          <t>Anticipo Impuesto a las Ganancias</t>
        </is>
      </c>
      <c r="I122" s="9" t="n">
        <v>1.2</v>
      </c>
      <c r="J122" s="9" t="inlineStr"/>
      <c r="K122" s="8" t="inlineStr">
        <is>
          <t>Copiar en Flexxus: Tipo=MB-EXT | Movimiento=GRAVAMEN LEY 25.413 S/DEB | Monto=1,20 | Fecha: 27/04/2026</t>
        </is>
      </c>
    </row>
    <row r="123">
      <c r="A123" s="8" t="inlineStr">
        <is>
          <t>PEND-0D3F12ED2481-A001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108879</t>
        </is>
      </c>
      <c r="F123" s="8" t="inlineStr">
        <is>
          <t>GRAVAMEN LEY 25413 S/DEB</t>
        </is>
      </c>
      <c r="G123" s="8" t="inlineStr">
        <is>
          <t>Anticipo Ganancias Ley 25.413 débitos</t>
        </is>
      </c>
      <c r="H123" s="8" t="inlineStr">
        <is>
          <t>Anticipo Impuesto a las Ganancias</t>
        </is>
      </c>
      <c r="I123" s="9" t="n">
        <v>5.74</v>
      </c>
      <c r="J123" s="9" t="inlineStr"/>
      <c r="K123" s="8" t="inlineStr">
        <is>
          <t>Copiar en Flexxus: Tipo=MB-EXT | Movimiento=GRAVAMEN LEY 25.413 S/DEB | Monto=5,74 | Fecha: 27/04/2026</t>
        </is>
      </c>
    </row>
    <row r="124">
      <c r="A124" s="8" t="inlineStr">
        <is>
          <t>PEND-13A0FA34F7D0-A001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108878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44.56</v>
      </c>
      <c r="J124" s="9" t="inlineStr"/>
      <c r="K124" s="8" t="inlineStr">
        <is>
          <t>Copiar en Flexxus: Tipo=MB-EXT | Movimiento=INGRESOS BRUTOS MENDOZA | Monto=44,56 | Fecha: 27/04/2026</t>
        </is>
      </c>
    </row>
    <row r="125">
      <c r="A125" s="8" t="inlineStr">
        <is>
          <t>PEND-12A8E827D419-A001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108878</t>
        </is>
      </c>
      <c r="F125" s="8" t="inlineStr">
        <is>
          <t>GRAVAMEN LEY 25413 S/CRED</t>
        </is>
      </c>
      <c r="G125" s="8" t="inlineStr">
        <is>
          <t>Anticipo Ganancias Ley 25.413 créditos</t>
        </is>
      </c>
      <c r="H125" s="8" t="inlineStr">
        <is>
          <t>Anticipo Impuesto a las Ganancias</t>
        </is>
      </c>
      <c r="I125" s="9" t="n">
        <v>26.74</v>
      </c>
      <c r="J125" s="9" t="inlineStr"/>
      <c r="K125" s="8" t="inlineStr">
        <is>
          <t>Copiar en Flexxus: Tipo=MB-EXT | Movimiento=GRAVAMEN LEY 25.413 S/CRED | Monto=26,74 | Fecha: 27/04/2026</t>
        </is>
      </c>
    </row>
    <row r="126">
      <c r="A126" s="8" t="inlineStr">
        <is>
          <t>PEND-65BDC0BC3100-A001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32032899</t>
        </is>
      </c>
      <c r="F126" s="8" t="inlineStr">
        <is>
          <t>INGRESOS BRUTOS MENDOZA</t>
        </is>
      </c>
      <c r="G126" s="8" t="inlineStr">
        <is>
          <t>Retención Ingresos Brutos Mendoza</t>
        </is>
      </c>
      <c r="H126" s="8" t="inlineStr">
        <is>
          <t>Retención de Ingresos Brutos</t>
        </is>
      </c>
      <c r="I126" s="9" t="n">
        <v>6476.19</v>
      </c>
      <c r="J126" s="9" t="inlineStr"/>
      <c r="K126" s="8" t="inlineStr">
        <is>
          <t>Copiar en Flexxus: Tipo=MB-EXT | Movimiento=INGRESOS BRUTOS MENDOZA | Monto=6.476,19 | Fecha: 27/04/2026</t>
        </is>
      </c>
    </row>
    <row r="127">
      <c r="A127" s="8" t="inlineStr">
        <is>
          <t>PEND-BDD7364E0F52-A001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32032899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3885.71</v>
      </c>
      <c r="J127" s="9" t="inlineStr"/>
      <c r="K127" s="8" t="inlineStr">
        <is>
          <t>Copiar en Flexxus: Tipo=MB-EXT | Movimiento=GRAVAMEN LEY 25.413 S/CRED | Monto=3.885,71 | Fecha: 27/04/2026</t>
        </is>
      </c>
    </row>
    <row r="128">
      <c r="A128" s="8" t="inlineStr">
        <is>
          <t>PEND-36F565BEFD07-A001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31995644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3596.85</v>
      </c>
      <c r="J128" s="9" t="inlineStr"/>
      <c r="K128" s="8" t="inlineStr">
        <is>
          <t>Copiar en Flexxus: Tipo=MB-EXT | Movimiento=INGRESOS BRUTOS MENDOZA | Monto=3.596,85 | Fecha: 27/04/2026</t>
        </is>
      </c>
    </row>
    <row r="129">
      <c r="A129" s="8" t="inlineStr">
        <is>
          <t>PEND-45CC5877C6D6-A001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31995644</t>
        </is>
      </c>
      <c r="F129" s="8" t="inlineStr">
        <is>
          <t>GRAVAMEN LEY 25413 S/CRED</t>
        </is>
      </c>
      <c r="G129" s="8" t="inlineStr">
        <is>
          <t>Anticipo Ganancias Ley 25.413 créditos</t>
        </is>
      </c>
      <c r="H129" s="8" t="inlineStr">
        <is>
          <t>Anticipo Impuesto a las Ganancias</t>
        </is>
      </c>
      <c r="I129" s="9" t="n">
        <v>2158.11</v>
      </c>
      <c r="J129" s="9" t="inlineStr"/>
      <c r="K129" s="8" t="inlineStr">
        <is>
          <t>Copiar en Flexxus: Tipo=MB-EXT | Movimiento=GRAVAMEN LEY 25.413 S/CRED | Monto=2.158,11 | Fecha: 27/04/2026</t>
        </is>
      </c>
    </row>
    <row r="130">
      <c r="A130" s="8" t="inlineStr">
        <is>
          <t>PEND-56AAF504E44C-A001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29841705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326.01</v>
      </c>
      <c r="J130" s="9" t="inlineStr"/>
      <c r="K130" s="8" t="inlineStr">
        <is>
          <t>Copiar en Flexxus: Tipo=MB-EXT | Movimiento=INGRESOS BRUTOS MENDOZA | Monto=326,01 | Fecha: 27/04/2026</t>
        </is>
      </c>
    </row>
    <row r="131">
      <c r="A131" s="8" t="inlineStr">
        <is>
          <t>PEND-C949E109CDB1-A001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29841705</t>
        </is>
      </c>
      <c r="F131" s="8" t="inlineStr">
        <is>
          <t>GRAVAMEN LEY 25413 S/CRED</t>
        </is>
      </c>
      <c r="G131" s="8" t="inlineStr">
        <is>
          <t>Anticipo Ganancias Ley 25.413 créditos</t>
        </is>
      </c>
      <c r="H131" s="8" t="inlineStr">
        <is>
          <t>Anticipo Impuesto a las Ganancias</t>
        </is>
      </c>
      <c r="I131" s="9" t="n">
        <v>195.6</v>
      </c>
      <c r="J131" s="9" t="inlineStr"/>
      <c r="K131" s="8" t="inlineStr">
        <is>
          <t>Copiar en Flexxus: Tipo=MB-EXT | Movimiento=GRAVAMEN LEY 25.413 S/CRED | Monto=195,60 | Fecha: 27/04/2026</t>
        </is>
      </c>
    </row>
    <row r="132">
      <c r="A132" s="8" t="inlineStr">
        <is>
          <t>PEND-121FAEF48C78-A001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29841670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1160.78</v>
      </c>
      <c r="J132" s="9" t="inlineStr"/>
      <c r="K132" s="8" t="inlineStr">
        <is>
          <t>Copiar en Flexxus: Tipo=MB-EXT | Movimiento=INGRESOS BRUTOS MENDOZA | Monto=1.160,78 | Fecha: 27/04/2026</t>
        </is>
      </c>
    </row>
    <row r="133">
      <c r="A133" s="8" t="inlineStr">
        <is>
          <t>PEND-AF49E2824407-A001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29841670</t>
        </is>
      </c>
      <c r="F133" s="8" t="inlineStr">
        <is>
          <t>GRAVAMEN LEY 25413 S/CRED</t>
        </is>
      </c>
      <c r="G133" s="8" t="inlineStr">
        <is>
          <t>Anticipo Ganancias Ley 25.413 créditos</t>
        </is>
      </c>
      <c r="H133" s="8" t="inlineStr">
        <is>
          <t>Anticipo Impuesto a las Ganancias</t>
        </is>
      </c>
      <c r="I133" s="9" t="n">
        <v>696.47</v>
      </c>
      <c r="J133" s="9" t="inlineStr"/>
      <c r="K133" s="8" t="inlineStr">
        <is>
          <t>Copiar en Flexxus: Tipo=MB-EXT | Movimiento=GRAVAMEN LEY 25.413 S/CRED | Monto=696,47 | Fecha: 27/04/2026</t>
        </is>
      </c>
    </row>
    <row r="134">
      <c r="A134" s="8" t="inlineStr">
        <is>
          <t>PEND-8DCB46EF0BAF-A001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29841642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1332.68</v>
      </c>
      <c r="J134" s="9" t="inlineStr"/>
      <c r="K134" s="8" t="inlineStr">
        <is>
          <t>Copiar en Flexxus: Tipo=MB-EXT | Movimiento=INGRESOS BRUTOS MENDOZA | Monto=1.332,68 | Fecha: 27/04/2026</t>
        </is>
      </c>
    </row>
    <row r="135">
      <c r="A135" s="8" t="inlineStr">
        <is>
          <t>PEND-1359B011B8A2-A001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29841642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799.61</v>
      </c>
      <c r="J135" s="9" t="inlineStr"/>
      <c r="K135" s="8" t="inlineStr">
        <is>
          <t>Copiar en Flexxus: Tipo=MB-EXT | Movimiento=GRAVAMEN LEY 25.413 S/CRED | Monto=799,61 | Fecha: 27/04/2026</t>
        </is>
      </c>
    </row>
    <row r="136">
      <c r="A136" s="8" t="inlineStr">
        <is>
          <t>PEND-252B188BB41B-A001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29841627</t>
        </is>
      </c>
      <c r="F136" s="8" t="inlineStr">
        <is>
          <t>INGRESOS BRUTOS MENDOZA</t>
        </is>
      </c>
      <c r="G136" s="8" t="inlineStr">
        <is>
          <t>Retención Ingresos Brutos Mendoza</t>
        </is>
      </c>
      <c r="H136" s="8" t="inlineStr">
        <is>
          <t>Retención de Ingresos Brutos</t>
        </is>
      </c>
      <c r="I136" s="9" t="n">
        <v>133.37</v>
      </c>
      <c r="J136" s="9" t="inlineStr"/>
      <c r="K136" s="8" t="inlineStr">
        <is>
          <t>Copiar en Flexxus: Tipo=MB-EXT | Movimiento=INGRESOS BRUTOS MENDOZA | Monto=133,37 | Fecha: 27/04/2026</t>
        </is>
      </c>
    </row>
    <row r="137">
      <c r="A137" s="8" t="inlineStr">
        <is>
          <t>PEND-9B0AA23F947A-A001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29841627</t>
        </is>
      </c>
      <c r="F137" s="8" t="inlineStr">
        <is>
          <t>GRAVAMEN LEY 25413 S/CRED</t>
        </is>
      </c>
      <c r="G137" s="8" t="inlineStr">
        <is>
          <t>Anticipo Ganancias Ley 25.413 créditos</t>
        </is>
      </c>
      <c r="H137" s="8" t="inlineStr">
        <is>
          <t>Anticipo Impuesto a las Ganancias</t>
        </is>
      </c>
      <c r="I137" s="9" t="n">
        <v>80.02</v>
      </c>
      <c r="J137" s="9" t="inlineStr"/>
      <c r="K137" s="8" t="inlineStr">
        <is>
          <t>Copiar en Flexxus: Tipo=MB-EXT | Movimiento=GRAVAMEN LEY 25.413 S/CRED | Monto=80,02 | Fecha: 27/04/2026</t>
        </is>
      </c>
    </row>
    <row r="138">
      <c r="A138" s="8" t="inlineStr">
        <is>
          <t>PEND-B270EFDE0D7A-A001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32032899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1915.54</v>
      </c>
      <c r="J138" s="9" t="inlineStr"/>
      <c r="K138" s="8" t="inlineStr">
        <is>
          <t>Copiar en Flexxus: Tipo=MB-EXT | Movimiento=INGRESOS BRUTOS MENDOZA | Monto=1.915,54 | Fecha: 27/04/2026</t>
        </is>
      </c>
    </row>
    <row r="139">
      <c r="A139" s="8" t="inlineStr">
        <is>
          <t>PEND-3064D82744E6-A001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32032899</t>
        </is>
      </c>
      <c r="F139" s="8" t="inlineStr">
        <is>
          <t>GRAVAMEN LEY 25413 S/CRED</t>
        </is>
      </c>
      <c r="G139" s="8" t="inlineStr">
        <is>
          <t>Anticipo Ganancias Ley 25.413 créditos</t>
        </is>
      </c>
      <c r="H139" s="8" t="inlineStr">
        <is>
          <t>Anticipo Impuesto a las Ganancias</t>
        </is>
      </c>
      <c r="I139" s="9" t="n">
        <v>1149.32</v>
      </c>
      <c r="J139" s="9" t="inlineStr"/>
      <c r="K139" s="8" t="inlineStr">
        <is>
          <t>Copiar en Flexxus: Tipo=MB-EXT | Movimiento=GRAVAMEN LEY 25.413 S/CRED | Monto=1.149,32 | Fecha: 27/04/2026</t>
        </is>
      </c>
    </row>
    <row r="140">
      <c r="A140" s="8" t="inlineStr">
        <is>
          <t>PEND-7F34D4A3043A-A001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29841705</t>
        </is>
      </c>
      <c r="F140" s="8" t="inlineStr">
        <is>
          <t>INGRESOS BRUTOS MENDOZA</t>
        </is>
      </c>
      <c r="G140" s="8" t="inlineStr">
        <is>
          <t>Retención Ingresos Brutos Mendoza</t>
        </is>
      </c>
      <c r="H140" s="8" t="inlineStr">
        <is>
          <t>Retención de Ingresos Brutos</t>
        </is>
      </c>
      <c r="I140" s="9" t="n">
        <v>65.2</v>
      </c>
      <c r="J140" s="9" t="inlineStr"/>
      <c r="K140" s="8" t="inlineStr">
        <is>
          <t>Copiar en Flexxus: Tipo=MB-EXT | Movimiento=INGRESOS BRUTOS MENDOZA | Monto=65,20 | Fecha: 27/04/2026</t>
        </is>
      </c>
    </row>
    <row r="141">
      <c r="A141" s="8" t="inlineStr">
        <is>
          <t>PEND-E0BC7E6C2AA0-A001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29841705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39.12</v>
      </c>
      <c r="J141" s="9" t="inlineStr"/>
      <c r="K141" s="8" t="inlineStr">
        <is>
          <t>Copiar en Flexxus: Tipo=MB-EXT | Movimiento=GRAVAMEN LEY 25.413 S/CRED | Monto=39,12 | Fecha: 27/04/2026</t>
        </is>
      </c>
    </row>
    <row r="142">
      <c r="A142" s="8" t="inlineStr">
        <is>
          <t>PEND-4371F32E2994-A001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29841683</t>
        </is>
      </c>
      <c r="F142" s="8" t="inlineStr">
        <is>
          <t>INGRESOS BRUTOS MENDOZA</t>
        </is>
      </c>
      <c r="G142" s="8" t="inlineStr">
        <is>
          <t>Retención Ingresos Brutos Mendoza</t>
        </is>
      </c>
      <c r="H142" s="8" t="inlineStr">
        <is>
          <t>Retención de Ingresos Brutos</t>
        </is>
      </c>
      <c r="I142" s="9" t="n">
        <v>853.55</v>
      </c>
      <c r="J142" s="9" t="inlineStr"/>
      <c r="K142" s="8" t="inlineStr">
        <is>
          <t>Copiar en Flexxus: Tipo=MB-EXT | Movimiento=INGRESOS BRUTOS MENDOZA | Monto=853,55 | Fecha: 27/04/2026</t>
        </is>
      </c>
    </row>
    <row r="143">
      <c r="A143" s="8" t="inlineStr">
        <is>
          <t>PEND-F506FE40BA4C-A001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29841683</t>
        </is>
      </c>
      <c r="F143" s="8" t="inlineStr">
        <is>
          <t>GRAVAMEN LEY 25413 S/CRED</t>
        </is>
      </c>
      <c r="G143" s="8" t="inlineStr">
        <is>
          <t>Anticipo Ganancias Ley 25.413 créditos</t>
        </is>
      </c>
      <c r="H143" s="8" t="inlineStr">
        <is>
          <t>Anticipo Impuesto a las Ganancias</t>
        </is>
      </c>
      <c r="I143" s="9" t="n">
        <v>512.13</v>
      </c>
      <c r="J143" s="9" t="inlineStr"/>
      <c r="K143" s="8" t="inlineStr">
        <is>
          <t>Copiar en Flexxus: Tipo=MB-EXT | Movimiento=GRAVAMEN LEY 25.413 S/CRED | Monto=512,13 | Fecha: 27/04/2026</t>
        </is>
      </c>
    </row>
    <row r="144">
      <c r="A144" s="8" t="inlineStr">
        <is>
          <t>PEND-E70CEC9F433E-A001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29841627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98.79000000000001</v>
      </c>
      <c r="J144" s="9" t="inlineStr"/>
      <c r="K144" s="8" t="inlineStr">
        <is>
          <t>Copiar en Flexxus: Tipo=MB-EXT | Movimiento=INGRESOS BRUTOS MENDOZA | Monto=98,79 | Fecha: 27/04/2026</t>
        </is>
      </c>
    </row>
    <row r="145">
      <c r="A145" s="8" t="inlineStr">
        <is>
          <t>PEND-D6949299AF6A-A001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29841627</t>
        </is>
      </c>
      <c r="F145" s="8" t="inlineStr">
        <is>
          <t>GRAVAMEN LEY 25413 S/CRED</t>
        </is>
      </c>
      <c r="G145" s="8" t="inlineStr">
        <is>
          <t>Anticipo Ganancias Ley 25.413 créditos</t>
        </is>
      </c>
      <c r="H145" s="8" t="inlineStr">
        <is>
          <t>Anticipo Impuesto a las Ganancias</t>
        </is>
      </c>
      <c r="I145" s="9" t="n">
        <v>59.27</v>
      </c>
      <c r="J145" s="9" t="inlineStr"/>
      <c r="K145" s="8" t="inlineStr">
        <is>
          <t>Copiar en Flexxus: Tipo=MB-EXT | Movimiento=GRAVAMEN LEY 25.413 S/CRED | Monto=59,27 | Fecha: 27/04/2026</t>
        </is>
      </c>
    </row>
    <row r="146">
      <c r="A146" s="8" t="inlineStr">
        <is>
          <t>PEND-CD20F5E195F6-A001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29841670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688.67</v>
      </c>
      <c r="J146" s="9" t="inlineStr"/>
      <c r="K146" s="8" t="inlineStr">
        <is>
          <t>Copiar en Flexxus: Tipo=MB-EXT | Movimiento=INGRESOS BRUTOS MENDOZA | Monto=688,67 | Fecha: 27/04/2026</t>
        </is>
      </c>
    </row>
    <row r="147">
      <c r="A147" s="8" t="inlineStr">
        <is>
          <t>PEND-8905E3CA91A2-A001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29841670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413.2</v>
      </c>
      <c r="J147" s="9" t="inlineStr"/>
      <c r="K147" s="8" t="inlineStr">
        <is>
          <t>Copiar en Flexxus: Tipo=MB-EXT | Movimiento=GRAVAMEN LEY 25.413 S/CRED | Monto=413,20 | Fecha: 27/04/2026</t>
        </is>
      </c>
    </row>
    <row r="148">
      <c r="A148" s="8" t="inlineStr">
        <is>
          <t>PEND-716CC2B1C407-A001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31995644</t>
        </is>
      </c>
      <c r="F148" s="8" t="inlineStr">
        <is>
          <t>INGRESOS BRUTOS MENDOZA</t>
        </is>
      </c>
      <c r="G148" s="8" t="inlineStr">
        <is>
          <t>Retención Ingresos Brutos Mendoza</t>
        </is>
      </c>
      <c r="H148" s="8" t="inlineStr">
        <is>
          <t>Retención de Ingresos Brutos</t>
        </is>
      </c>
      <c r="I148" s="9" t="n">
        <v>988</v>
      </c>
      <c r="J148" s="9" t="inlineStr"/>
      <c r="K148" s="8" t="inlineStr">
        <is>
          <t>Copiar en Flexxus: Tipo=MB-EXT | Movimiento=INGRESOS BRUTOS MENDOZA | Monto=988,00 | Fecha: 27/04/2026</t>
        </is>
      </c>
    </row>
    <row r="149">
      <c r="A149" s="8" t="inlineStr">
        <is>
          <t>PEND-DB8455348D2E-A001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31995644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592.8</v>
      </c>
      <c r="J149" s="9" t="inlineStr"/>
      <c r="K149" s="8" t="inlineStr">
        <is>
          <t>Copiar en Flexxus: Tipo=MB-EXT | Movimiento=GRAVAMEN LEY 25.413 S/CRED | Monto=592,80 | Fecha: 27/04/2026</t>
        </is>
      </c>
    </row>
    <row r="150">
      <c r="A150" s="8" t="inlineStr">
        <is>
          <t>PEND-805004D28182-A001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29841705</t>
        </is>
      </c>
      <c r="F150" s="8" t="inlineStr">
        <is>
          <t>INGRESOS BRUTOS MENDOZA</t>
        </is>
      </c>
      <c r="G150" s="8" t="inlineStr">
        <is>
          <t>Retención Ingresos Brutos Mendoza</t>
        </is>
      </c>
      <c r="H150" s="8" t="inlineStr">
        <is>
          <t>Retención de Ingresos Brutos</t>
        </is>
      </c>
      <c r="I150" s="9" t="n">
        <v>44.02</v>
      </c>
      <c r="J150" s="9" t="inlineStr"/>
      <c r="K150" s="8" t="inlineStr">
        <is>
          <t>Copiar en Flexxus: Tipo=MB-EXT | Movimiento=INGRESOS BRUTOS MENDOZA | Monto=44,02 | Fecha: 27/04/2026</t>
        </is>
      </c>
    </row>
    <row r="151">
      <c r="A151" s="8" t="inlineStr">
        <is>
          <t>PEND-80636D22AEF5-A001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29841705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26.41</v>
      </c>
      <c r="J151" s="9" t="inlineStr"/>
      <c r="K151" s="8" t="inlineStr">
        <is>
          <t>Copiar en Flexxus: Tipo=MB-EXT | Movimiento=GRAVAMEN LEY 25.413 S/CRED | Monto=26,41 | Fecha: 27/04/2026</t>
        </is>
      </c>
    </row>
    <row r="152">
      <c r="A152" s="8" t="inlineStr">
        <is>
          <t>PEND-BD5B0B63D902-A001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29841683</t>
        </is>
      </c>
      <c r="F152" s="8" t="inlineStr">
        <is>
          <t>INGRESOS BRUTOS MENDOZA</t>
        </is>
      </c>
      <c r="G152" s="8" t="inlineStr">
        <is>
          <t>Retención Ingresos Brutos Mendoza</t>
        </is>
      </c>
      <c r="H152" s="8" t="inlineStr">
        <is>
          <t>Retención de Ingresos Brutos</t>
        </is>
      </c>
      <c r="I152" s="9" t="n">
        <v>234.77</v>
      </c>
      <c r="J152" s="9" t="inlineStr"/>
      <c r="K152" s="8" t="inlineStr">
        <is>
          <t>Copiar en Flexxus: Tipo=MB-EXT | Movimiento=INGRESOS BRUTOS MENDOZA | Monto=234,77 | Fecha: 27/04/2026</t>
        </is>
      </c>
    </row>
    <row r="153">
      <c r="A153" s="8" t="inlineStr">
        <is>
          <t>PEND-78B71B918244-A001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29841683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140.86</v>
      </c>
      <c r="J153" s="9" t="inlineStr"/>
      <c r="K153" s="8" t="inlineStr">
        <is>
          <t>Copiar en Flexxus: Tipo=MB-EXT | Movimiento=GRAVAMEN LEY 25.413 S/CRED | Monto=140,86 | Fecha: 27/04/2026</t>
        </is>
      </c>
    </row>
    <row r="154">
      <c r="A154" s="8" t="inlineStr">
        <is>
          <t>PEND-6BEB4ED59945-A001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32032899</t>
        </is>
      </c>
      <c r="F154" s="8" t="inlineStr">
        <is>
          <t>INGRESOS BRUTOS MENDOZA</t>
        </is>
      </c>
      <c r="G154" s="8" t="inlineStr">
        <is>
          <t>Retención Ingresos Brutos Mendoza</t>
        </is>
      </c>
      <c r="H154" s="8" t="inlineStr">
        <is>
          <t>Retención de Ingresos Brutos</t>
        </is>
      </c>
      <c r="I154" s="9" t="n">
        <v>1255.34</v>
      </c>
      <c r="J154" s="9" t="inlineStr"/>
      <c r="K154" s="8" t="inlineStr">
        <is>
          <t>Copiar en Flexxus: Tipo=MB-EXT | Movimiento=INGRESOS BRUTOS MENDOZA | Monto=1.255,34 | Fecha: 27/04/2026</t>
        </is>
      </c>
    </row>
    <row r="155">
      <c r="A155" s="8" t="inlineStr">
        <is>
          <t>PEND-A301FE377910-A001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32032899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753.2</v>
      </c>
      <c r="J155" s="9" t="inlineStr"/>
      <c r="K155" s="8" t="inlineStr">
        <is>
          <t>Copiar en Flexxus: Tipo=MB-EXT | Movimiento=GRAVAMEN LEY 25.413 S/CRED | Monto=753,20 | Fecha: 27/04/2026</t>
        </is>
      </c>
    </row>
    <row r="156">
      <c r="A156" s="8" t="inlineStr">
        <is>
          <t>PEND-89ED2303F82E-A001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31995644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543.0599999999999</v>
      </c>
      <c r="J156" s="9" t="inlineStr"/>
      <c r="K156" s="8" t="inlineStr">
        <is>
          <t>Copiar en Flexxus: Tipo=MB-EXT | Movimiento=INGRESOS BRUTOS MENDOZA | Monto=543,06 | Fecha: 27/04/2026</t>
        </is>
      </c>
    </row>
    <row r="157">
      <c r="A157" s="8" t="inlineStr">
        <is>
          <t>PEND-A9E0590C2BE2-A001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31995644</t>
        </is>
      </c>
      <c r="F157" s="8" t="inlineStr">
        <is>
          <t>GRAVAMEN LEY 25413 S/CRED</t>
        </is>
      </c>
      <c r="G157" s="8" t="inlineStr">
        <is>
          <t>Anticipo Ganancias Ley 25.413 créditos</t>
        </is>
      </c>
      <c r="H157" s="8" t="inlineStr">
        <is>
          <t>Anticipo Impuesto a las Ganancias</t>
        </is>
      </c>
      <c r="I157" s="9" t="n">
        <v>325.84</v>
      </c>
      <c r="J157" s="9" t="inlineStr"/>
      <c r="K157" s="8" t="inlineStr">
        <is>
          <t>Copiar en Flexxus: Tipo=MB-EXT | Movimiento=GRAVAMEN LEY 25.413 S/CRED | Monto=325,84 | Fecha: 27/04/2026</t>
        </is>
      </c>
    </row>
    <row r="158">
      <c r="A158" s="8" t="inlineStr">
        <is>
          <t>PEND-86F3A86308BA-A001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32032899</t>
        </is>
      </c>
      <c r="F158" s="8" t="inlineStr">
        <is>
          <t>INGRESOS BRUTOS MENDOZA</t>
        </is>
      </c>
      <c r="G158" s="8" t="inlineStr">
        <is>
          <t>Retención Ingresos Brutos Mendoza</t>
        </is>
      </c>
      <c r="H158" s="8" t="inlineStr">
        <is>
          <t>Retención de Ingresos Brutos</t>
        </is>
      </c>
      <c r="I158" s="9" t="n">
        <v>4719.26</v>
      </c>
      <c r="J158" s="9" t="inlineStr"/>
      <c r="K158" s="8" t="inlineStr">
        <is>
          <t>Copiar en Flexxus: Tipo=MB-EXT | Movimiento=INGRESOS BRUTOS MENDOZA | Monto=4.719,26 | Fecha: 27/04/2026</t>
        </is>
      </c>
    </row>
    <row r="159">
      <c r="A159" s="8" t="inlineStr">
        <is>
          <t>PEND-5A3416E423AD-A001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32032899</t>
        </is>
      </c>
      <c r="F159" s="8" t="inlineStr">
        <is>
          <t>GRAVAMEN LEY 25413 S/CRED</t>
        </is>
      </c>
      <c r="G159" s="8" t="inlineStr">
        <is>
          <t>Anticipo Ganancias Ley 25.413 créditos</t>
        </is>
      </c>
      <c r="H159" s="8" t="inlineStr">
        <is>
          <t>Anticipo Impuesto a las Ganancias</t>
        </is>
      </c>
      <c r="I159" s="9" t="n">
        <v>2831.56</v>
      </c>
      <c r="J159" s="9" t="inlineStr"/>
      <c r="K159" s="8" t="inlineStr">
        <is>
          <t>Copiar en Flexxus: Tipo=MB-EXT | Movimiento=GRAVAMEN LEY 25.413 S/CRED | Monto=2.831,56 | Fecha: 27/04/2026</t>
        </is>
      </c>
    </row>
    <row r="160">
      <c r="A160" s="8" t="inlineStr">
        <is>
          <t>PEND-7C35AF9D68C3-A001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32032899</t>
        </is>
      </c>
      <c r="F160" s="8" t="inlineStr">
        <is>
          <t>INGRESOS BRUTOS MENDOZA</t>
        </is>
      </c>
      <c r="G160" s="8" t="inlineStr">
        <is>
          <t>Retención Ingresos Brutos Mendoza</t>
        </is>
      </c>
      <c r="H160" s="8" t="inlineStr">
        <is>
          <t>Retención de Ingresos Brutos</t>
        </is>
      </c>
      <c r="I160" s="9" t="n">
        <v>2952.59</v>
      </c>
      <c r="J160" s="9" t="inlineStr"/>
      <c r="K160" s="8" t="inlineStr">
        <is>
          <t>Copiar en Flexxus: Tipo=MB-EXT | Movimiento=INGRESOS BRUTOS MENDOZA | Monto=2.952,59 | Fecha: 27/04/2026</t>
        </is>
      </c>
    </row>
    <row r="161">
      <c r="A161" s="8" t="inlineStr">
        <is>
          <t>PEND-FD37153FEDFE-A001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32032899</t>
        </is>
      </c>
      <c r="F161" s="8" t="inlineStr">
        <is>
          <t>GRAVAMEN LEY 25413 S/CRED</t>
        </is>
      </c>
      <c r="G161" s="8" t="inlineStr">
        <is>
          <t>Anticipo Ganancias Ley 25.413 créditos</t>
        </is>
      </c>
      <c r="H161" s="8" t="inlineStr">
        <is>
          <t>Anticipo Impuesto a las Ganancias</t>
        </is>
      </c>
      <c r="I161" s="9" t="n">
        <v>1771.56</v>
      </c>
      <c r="J161" s="9" t="inlineStr"/>
      <c r="K161" s="8" t="inlineStr">
        <is>
          <t>Copiar en Flexxus: Tipo=MB-EXT | Movimiento=GRAVAMEN LEY 25.413 S/CRED | Monto=1.771,56 | Fecha: 27/04/2026</t>
        </is>
      </c>
    </row>
    <row r="162">
      <c r="A162" s="8" t="inlineStr">
        <is>
          <t>PEND-F9A92BA97CF3-A001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31995644</t>
        </is>
      </c>
      <c r="F162" s="8" t="inlineStr">
        <is>
          <t>INGRESOS BRUTOS MENDOZA</t>
        </is>
      </c>
      <c r="G162" s="8" t="inlineStr">
        <is>
          <t>Retención Ingresos Brutos Mendoza</t>
        </is>
      </c>
      <c r="H162" s="8" t="inlineStr">
        <is>
          <t>Retención de Ingresos Brutos</t>
        </is>
      </c>
      <c r="I162" s="9" t="n">
        <v>4534.48</v>
      </c>
      <c r="J162" s="9" t="inlineStr"/>
      <c r="K162" s="8" t="inlineStr">
        <is>
          <t>Copiar en Flexxus: Tipo=MB-EXT | Movimiento=INGRESOS BRUTOS MENDOZA | Monto=4.534,48 | Fecha: 27/04/2026</t>
        </is>
      </c>
    </row>
    <row r="163">
      <c r="A163" s="8" t="inlineStr">
        <is>
          <t>PEND-489F28015531-A001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31995644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2720.69</v>
      </c>
      <c r="J163" s="9" t="inlineStr"/>
      <c r="K163" s="8" t="inlineStr">
        <is>
          <t>Copiar en Flexxus: Tipo=MB-EXT | Movimiento=GRAVAMEN LEY 25.413 S/CRED | Monto=2.720,69 | Fecha: 27/04/2026</t>
        </is>
      </c>
    </row>
    <row r="164">
      <c r="A164" s="8" t="inlineStr">
        <is>
          <t>PEND-1F5C507A6C47-A001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31995644</t>
        </is>
      </c>
      <c r="F164" s="8" t="inlineStr">
        <is>
          <t>INGRESOS BRUTOS MENDOZA</t>
        </is>
      </c>
      <c r="G164" s="8" t="inlineStr">
        <is>
          <t>Retención Ingresos Brutos Mendoza</t>
        </is>
      </c>
      <c r="H164" s="8" t="inlineStr">
        <is>
          <t>Retención de Ingresos Brutos</t>
        </is>
      </c>
      <c r="I164" s="9" t="n">
        <v>4752.83</v>
      </c>
      <c r="J164" s="9" t="inlineStr"/>
      <c r="K164" s="8" t="inlineStr">
        <is>
          <t>Copiar en Flexxus: Tipo=MB-EXT | Movimiento=INGRESOS BRUTOS MENDOZA | Monto=4.752,83 | Fecha: 27/04/2026</t>
        </is>
      </c>
    </row>
    <row r="165">
      <c r="A165" s="8" t="inlineStr">
        <is>
          <t>PEND-FEB05AECAA90-A001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31995644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2851.7</v>
      </c>
      <c r="J165" s="9" t="inlineStr"/>
      <c r="K165" s="8" t="inlineStr">
        <is>
          <t>Copiar en Flexxus: Tipo=MB-EXT | Movimiento=GRAVAMEN LEY 25.413 S/CRED | Monto=2.851,70 | Fecha: 27/04/2026</t>
        </is>
      </c>
    </row>
    <row r="166">
      <c r="A166" s="8" t="inlineStr">
        <is>
          <t>PEND-F919B5C2D536-A001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29841705</t>
        </is>
      </c>
      <c r="F166" s="8" t="inlineStr">
        <is>
          <t>INGRESOS BRUTOS MENDOZA</t>
        </is>
      </c>
      <c r="G166" s="8" t="inlineStr">
        <is>
          <t>Retención Ingresos Brutos Mendoza</t>
        </is>
      </c>
      <c r="H166" s="8" t="inlineStr">
        <is>
          <t>Retención de Ingresos Brutos</t>
        </is>
      </c>
      <c r="I166" s="9" t="n">
        <v>300.31</v>
      </c>
      <c r="J166" s="9" t="inlineStr"/>
      <c r="K166" s="8" t="inlineStr">
        <is>
          <t>Copiar en Flexxus: Tipo=MB-EXT | Movimiento=INGRESOS BRUTOS MENDOZA | Monto=300,31 | Fecha: 27/04/2026</t>
        </is>
      </c>
    </row>
    <row r="167">
      <c r="A167" s="8" t="inlineStr">
        <is>
          <t>PEND-889C647F789F-A001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29841705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180.19</v>
      </c>
      <c r="J167" s="9" t="inlineStr"/>
      <c r="K167" s="8" t="inlineStr">
        <is>
          <t>Copiar en Flexxus: Tipo=MB-EXT | Movimiento=GRAVAMEN LEY 25.413 S/CRED | Monto=180,19 | Fecha: 27/04/2026</t>
        </is>
      </c>
    </row>
    <row r="168">
      <c r="A168" s="8" t="inlineStr">
        <is>
          <t>PEND-BF4669D985E2-A001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29841670</t>
        </is>
      </c>
      <c r="F168" s="8" t="inlineStr">
        <is>
          <t>INGRESOS BRUTOS MENDOZA</t>
        </is>
      </c>
      <c r="G168" s="8" t="inlineStr">
        <is>
          <t>Retención Ingresos Brutos Mendoza</t>
        </is>
      </c>
      <c r="H168" s="8" t="inlineStr">
        <is>
          <t>Retención de Ingresos Brutos</t>
        </is>
      </c>
      <c r="I168" s="9" t="n">
        <v>397.16</v>
      </c>
      <c r="J168" s="9" t="inlineStr"/>
      <c r="K168" s="8" t="inlineStr">
        <is>
          <t>Copiar en Flexxus: Tipo=MB-EXT | Movimiento=INGRESOS BRUTOS MENDOZA | Monto=397,16 | Fecha: 27/04/2026</t>
        </is>
      </c>
    </row>
    <row r="169">
      <c r="A169" s="8" t="inlineStr">
        <is>
          <t>PEND-681D57897984-A001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29841670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238.29</v>
      </c>
      <c r="J169" s="9" t="inlineStr"/>
      <c r="K169" s="8" t="inlineStr">
        <is>
          <t>Copiar en Flexxus: Tipo=MB-EXT | Movimiento=GRAVAMEN LEY 25.413 S/CRED | Monto=238,29 | Fecha: 27/04/2026</t>
        </is>
      </c>
    </row>
    <row r="170">
      <c r="A170" s="8" t="inlineStr">
        <is>
          <t>PEND-00D427584ED0-A001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29841642</t>
        </is>
      </c>
      <c r="F170" s="8" t="inlineStr">
        <is>
          <t>INGRESOS BRUTOS MENDOZA</t>
        </is>
      </c>
      <c r="G170" s="8" t="inlineStr">
        <is>
          <t>Retención Ingresos Brutos Mendoza</t>
        </is>
      </c>
      <c r="H170" s="8" t="inlineStr">
        <is>
          <t>Retención de Ingresos Brutos</t>
        </is>
      </c>
      <c r="I170" s="9" t="n">
        <v>188.8</v>
      </c>
      <c r="J170" s="9" t="inlineStr"/>
      <c r="K170" s="8" t="inlineStr">
        <is>
          <t>Copiar en Flexxus: Tipo=MB-EXT | Movimiento=INGRESOS BRUTOS MENDOZA | Monto=188,80 | Fecha: 27/04/2026</t>
        </is>
      </c>
    </row>
    <row r="171">
      <c r="A171" s="8" t="inlineStr">
        <is>
          <t>PEND-62E512DC55F6-A001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29841642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113.28</v>
      </c>
      <c r="J171" s="9" t="inlineStr"/>
      <c r="K171" s="8" t="inlineStr">
        <is>
          <t>Copiar en Flexxus: Tipo=MB-EXT | Movimiento=GRAVAMEN LEY 25.413 S/CRED | Monto=113,28 | Fecha: 27/04/2026</t>
        </is>
      </c>
    </row>
    <row r="172">
      <c r="A172" s="8" t="inlineStr">
        <is>
          <t>PEND-B28FC5C0CD27-A001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32032899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1401.99</v>
      </c>
      <c r="J172" s="9" t="inlineStr"/>
      <c r="K172" s="8" t="inlineStr">
        <is>
          <t>Copiar en Flexxus: Tipo=MB-EXT | Movimiento=INGRESOS BRUTOS MENDOZA | Monto=1.401,99 | Fecha: 27/04/2026</t>
        </is>
      </c>
    </row>
    <row r="173">
      <c r="A173" s="8" t="inlineStr">
        <is>
          <t>PEND-2E71722CC149-A001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32032899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841.2</v>
      </c>
      <c r="J173" s="9" t="inlineStr"/>
      <c r="K173" s="8" t="inlineStr">
        <is>
          <t>Copiar en Flexxus: Tipo=MB-EXT | Movimiento=GRAVAMEN LEY 25.413 S/CRED | Monto=841,20 | Fecha: 27/04/2026</t>
        </is>
      </c>
    </row>
    <row r="174">
      <c r="A174" s="8" t="inlineStr">
        <is>
          <t>PEND-3D1B794D5BEB-A001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31995644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1549.62</v>
      </c>
      <c r="J174" s="9" t="inlineStr"/>
      <c r="K174" s="8" t="inlineStr">
        <is>
          <t>Copiar en Flexxus: Tipo=MB-EXT | Movimiento=INGRESOS BRUTOS MENDOZA | Monto=1.549,62 | Fecha: 27/04/2026</t>
        </is>
      </c>
    </row>
    <row r="175">
      <c r="A175" s="8" t="inlineStr">
        <is>
          <t>PEND-251E5E4D397C-A001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31995644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929.77</v>
      </c>
      <c r="J175" s="9" t="inlineStr"/>
      <c r="K175" s="8" t="inlineStr">
        <is>
          <t>Copiar en Flexxus: Tipo=MB-EXT | Movimiento=GRAVAMEN LEY 25.413 S/CRED | Monto=929,77 | Fecha: 27/04/2026</t>
        </is>
      </c>
    </row>
    <row r="176">
      <c r="A176" s="8" t="inlineStr">
        <is>
          <t>PEND-A4BA08948AF1-A001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31995644</t>
        </is>
      </c>
      <c r="F176" s="8" t="inlineStr">
        <is>
          <t>INGRESOS BRUTOS MENDOZA</t>
        </is>
      </c>
      <c r="G176" s="8" t="inlineStr">
        <is>
          <t>Retención Ingresos Brutos Mendoza</t>
        </is>
      </c>
      <c r="H176" s="8" t="inlineStr">
        <is>
          <t>Retención de Ingresos Brutos</t>
        </is>
      </c>
      <c r="I176" s="9" t="n">
        <v>1100.54</v>
      </c>
      <c r="J176" s="9" t="inlineStr"/>
      <c r="K176" s="8" t="inlineStr">
        <is>
          <t>Copiar en Flexxus: Tipo=MB-EXT | Movimiento=INGRESOS BRUTOS MENDOZA | Monto=1.100,54 | Fecha: 27/04/2026</t>
        </is>
      </c>
    </row>
    <row r="177">
      <c r="A177" s="8" t="inlineStr">
        <is>
          <t>PEND-623DD4F6F6DE-A001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31995644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660.33</v>
      </c>
      <c r="J177" s="9" t="inlineStr"/>
      <c r="K177" s="8" t="inlineStr">
        <is>
          <t>Copiar en Flexxus: Tipo=MB-EXT | Movimiento=GRAVAMEN LEY 25.413 S/CRED | Monto=660,33 | Fecha: 27/04/2026</t>
        </is>
      </c>
    </row>
    <row r="178">
      <c r="A178" s="8" t="inlineStr">
        <is>
          <t>PEND-113D846FC2EE-A001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29841705</t>
        </is>
      </c>
      <c r="F178" s="8" t="inlineStr">
        <is>
          <t>INGRESOS BRUTOS MENDOZA</t>
        </is>
      </c>
      <c r="G178" s="8" t="inlineStr">
        <is>
          <t>Retención Ingresos Brutos Mendoza</t>
        </is>
      </c>
      <c r="H178" s="8" t="inlineStr">
        <is>
          <t>Retención de Ingresos Brutos</t>
        </is>
      </c>
      <c r="I178" s="9" t="n">
        <v>91.95</v>
      </c>
      <c r="J178" s="9" t="inlineStr"/>
      <c r="K178" s="8" t="inlineStr">
        <is>
          <t>Copiar en Flexxus: Tipo=MB-EXT | Movimiento=INGRESOS BRUTOS MENDOZA | Monto=91,95 | Fecha: 27/04/2026</t>
        </is>
      </c>
    </row>
    <row r="179">
      <c r="A179" s="8" t="inlineStr">
        <is>
          <t>PEND-33731FC41429-A001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29841705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55.17</v>
      </c>
      <c r="J179" s="9" t="inlineStr"/>
      <c r="K179" s="8" t="inlineStr">
        <is>
          <t>Copiar en Flexxus: Tipo=MB-EXT | Movimiento=GRAVAMEN LEY 25.413 S/CRED | Monto=55,17 | Fecha: 27/04/2026</t>
        </is>
      </c>
    </row>
    <row r="180">
      <c r="A180" s="8" t="inlineStr">
        <is>
          <t>PEND-E57280684DB4-A001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4062494</t>
        </is>
      </c>
      <c r="F180" s="8" t="inlineStr">
        <is>
          <t>INGRESOS BRUTOS MENDOZA</t>
        </is>
      </c>
      <c r="G180" s="8" t="inlineStr">
        <is>
          <t>Retención Ingresos Brutos Mendoza</t>
        </is>
      </c>
      <c r="H180" s="8" t="inlineStr">
        <is>
          <t>Retención de Ingresos Brutos</t>
        </is>
      </c>
      <c r="I180" s="9" t="n">
        <v>28351.84</v>
      </c>
      <c r="J180" s="9" t="inlineStr"/>
      <c r="K180" s="8" t="inlineStr">
        <is>
          <t>Copiar en Flexxus: Tipo=MB-EXT | Movimiento=INGRESOS BRUTOS MENDOZA | Monto=28.351,84 | Fecha: 27/04/2026</t>
        </is>
      </c>
    </row>
    <row r="181">
      <c r="A181" s="8" t="inlineStr">
        <is>
          <t>PEND-8555E677B1EC-A001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4062494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17011.1</v>
      </c>
      <c r="J181" s="9" t="inlineStr"/>
      <c r="K181" s="8" t="inlineStr">
        <is>
          <t>Copiar en Flexxus: Tipo=MB-EXT | Movimiento=GRAVAMEN LEY 25.413 S/CRED | Monto=17.011,10 | Fecha: 27/04/2026</t>
        </is>
      </c>
    </row>
    <row r="182">
      <c r="A182" s="8" t="inlineStr">
        <is>
          <t>PEND-F7D4E12792D9-A001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108847</t>
        </is>
      </c>
      <c r="F182" s="8" t="inlineStr">
        <is>
          <t>INGRESOS BRUTOS MENDOZA</t>
        </is>
      </c>
      <c r="G182" s="8" t="inlineStr">
        <is>
          <t>Retención Ingresos Brutos Mendoza</t>
        </is>
      </c>
      <c r="H182" s="8" t="inlineStr">
        <is>
          <t>Retención de Ingresos Brutos</t>
        </is>
      </c>
      <c r="I182" s="9" t="n">
        <v>247.58</v>
      </c>
      <c r="J182" s="9" t="inlineStr"/>
      <c r="K182" s="8" t="inlineStr">
        <is>
          <t>Copiar en Flexxus: Tipo=MB-EXT | Movimiento=INGRESOS BRUTOS MENDOZA | Monto=247,58 | Fecha: 27/04/2026</t>
        </is>
      </c>
    </row>
    <row r="183">
      <c r="A183" s="8" t="inlineStr">
        <is>
          <t>PEND-9E58A4E81F76-A001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108847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148.55</v>
      </c>
      <c r="J183" s="9" t="inlineStr"/>
      <c r="K183" s="8" t="inlineStr">
        <is>
          <t>Copiar en Flexxus: Tipo=MB-EXT | Movimiento=GRAVAMEN LEY 25.413 S/CRED | Monto=148,55 | Fecha: 27/04/2026</t>
        </is>
      </c>
    </row>
    <row r="184">
      <c r="A184" s="8" t="inlineStr">
        <is>
          <t>PEND-6924E8DF6207-A001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108846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324.83</v>
      </c>
      <c r="J184" s="9" t="inlineStr"/>
      <c r="K184" s="8" t="inlineStr">
        <is>
          <t>Copiar en Flexxus: Tipo=MB-EXT | Movimiento=INGRESOS BRUTOS MENDOZA | Monto=324,83 | Fecha: 27/04/2026</t>
        </is>
      </c>
    </row>
    <row r="185">
      <c r="A185" s="8" t="inlineStr">
        <is>
          <t>PEND-16A4A36A5D25-A001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108846</t>
        </is>
      </c>
      <c r="F185" s="8" t="inlineStr">
        <is>
          <t>GRAVAMEN LEY 25413 S/CRED</t>
        </is>
      </c>
      <c r="G185" s="8" t="inlineStr">
        <is>
          <t>Anticipo Ganancias Ley 25.413 créditos</t>
        </is>
      </c>
      <c r="H185" s="8" t="inlineStr">
        <is>
          <t>Anticipo Impuesto a las Ganancias</t>
        </is>
      </c>
      <c r="I185" s="9" t="n">
        <v>194.9</v>
      </c>
      <c r="J185" s="9" t="inlineStr"/>
      <c r="K185" s="8" t="inlineStr">
        <is>
          <t>Copiar en Flexxus: Tipo=MB-EXT | Movimiento=GRAVAMEN LEY 25.413 S/CRED | Monto=194,90 | Fecha: 27/04/2026</t>
        </is>
      </c>
    </row>
    <row r="186">
      <c r="A186" s="8" t="inlineStr">
        <is>
          <t>PEND-34E25209BB13-A001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108845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14168.52</v>
      </c>
      <c r="J186" s="9" t="inlineStr"/>
      <c r="K186" s="8" t="inlineStr">
        <is>
          <t>Copiar en Flexxus: Tipo=MB-EXT | Movimiento=GRAVAMEN LEY 25.413 S/DEB | Monto=14.168,52 | Fecha: 27/04/2026</t>
        </is>
      </c>
    </row>
    <row r="187">
      <c r="A187" s="8" t="inlineStr">
        <is>
          <t>PEND-FBCFF24E8402-A001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108844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243.62</v>
      </c>
      <c r="J187" s="9" t="inlineStr"/>
      <c r="K187" s="8" t="inlineStr">
        <is>
          <t>Copiar en Flexxus: Tipo=MB-EXT | Movimiento=INGRESOS BRUTOS MENDOZA | Monto=243,62 | Fecha: 27/04/2026</t>
        </is>
      </c>
    </row>
    <row r="188">
      <c r="A188" s="8" t="inlineStr">
        <is>
          <t>PEND-68457782D84A-A001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108844</t>
        </is>
      </c>
      <c r="F188" s="8" t="inlineStr">
        <is>
          <t>GRAVAMEN LEY 25413 S/CRED</t>
        </is>
      </c>
      <c r="G188" s="8" t="inlineStr">
        <is>
          <t>Anticipo Ganancias Ley 25.413 créditos</t>
        </is>
      </c>
      <c r="H188" s="8" t="inlineStr">
        <is>
          <t>Anticipo Impuesto a las Ganancias</t>
        </is>
      </c>
      <c r="I188" s="9" t="n">
        <v>146.17</v>
      </c>
      <c r="J188" s="9" t="inlineStr"/>
      <c r="K188" s="8" t="inlineStr">
        <is>
          <t>Copiar en Flexxus: Tipo=MB-EXT | Movimiento=GRAVAMEN LEY 25.413 S/CRED | Monto=146,17 | Fecha: 27/04/2026</t>
        </is>
      </c>
    </row>
    <row r="189">
      <c r="A189" s="8" t="inlineStr">
        <is>
          <t>PEND-6190CC51E796-A001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108843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113.89</v>
      </c>
      <c r="J189" s="9" t="inlineStr"/>
      <c r="K189" s="8" t="inlineStr">
        <is>
          <t>Copiar en Flexxus: Tipo=MB-EXT | Movimiento=INGRESOS BRUTOS MENDOZA | Monto=113,89 | Fecha: 27/04/2026</t>
        </is>
      </c>
    </row>
    <row r="190">
      <c r="A190" s="8" t="inlineStr">
        <is>
          <t>PEND-B70D037AD376-A001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108843</t>
        </is>
      </c>
      <c r="F190" s="8" t="inlineStr">
        <is>
          <t>GRAVAMEN LEY 25413 S/CRED</t>
        </is>
      </c>
      <c r="G190" s="8" t="inlineStr">
        <is>
          <t>Anticipo Ganancias Ley 25.413 créditos</t>
        </is>
      </c>
      <c r="H190" s="8" t="inlineStr">
        <is>
          <t>Anticipo Impuesto a las Ganancias</t>
        </is>
      </c>
      <c r="I190" s="9" t="n">
        <v>68.33</v>
      </c>
      <c r="J190" s="9" t="inlineStr"/>
      <c r="K190" s="8" t="inlineStr">
        <is>
          <t>Copiar en Flexxus: Tipo=MB-EXT | Movimiento=GRAVAMEN LEY 25.413 S/CRED | Monto=68,33 | Fecha: 27/04/2026</t>
        </is>
      </c>
    </row>
    <row r="191">
      <c r="A191" s="8" t="inlineStr">
        <is>
          <t>PEND-771A82F5D7E5-A001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108842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600.13</v>
      </c>
      <c r="J191" s="9" t="inlineStr"/>
      <c r="K191" s="8" t="inlineStr">
        <is>
          <t>Copiar en Flexxus: Tipo=MB-EXT | Movimiento=INGRESOS BRUTOS MENDOZA | Monto=600,13 | Fecha: 27/04/2026</t>
        </is>
      </c>
    </row>
    <row r="192">
      <c r="A192" s="8" t="inlineStr">
        <is>
          <t>PEND-94CE5B1530E5-A001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108842</t>
        </is>
      </c>
      <c r="F192" s="8" t="inlineStr">
        <is>
          <t>GRAVAMEN LEY 25413 S/CRED</t>
        </is>
      </c>
      <c r="G192" s="8" t="inlineStr">
        <is>
          <t>Anticipo Ganancias Ley 25.413 créditos</t>
        </is>
      </c>
      <c r="H192" s="8" t="inlineStr">
        <is>
          <t>Anticipo Impuesto a las Ganancias</t>
        </is>
      </c>
      <c r="I192" s="9" t="n">
        <v>360.08</v>
      </c>
      <c r="J192" s="9" t="inlineStr"/>
      <c r="K192" s="8" t="inlineStr">
        <is>
          <t>Copiar en Flexxus: Tipo=MB-EXT | Movimiento=GRAVAMEN LEY 25.413 S/CRED | Monto=360,08 | Fecha: 27/04/2026</t>
        </is>
      </c>
    </row>
    <row r="193">
      <c r="A193" s="8" t="inlineStr">
        <is>
          <t>PEND-D5F041D4D407-A001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108841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576.37</v>
      </c>
      <c r="J193" s="9" t="inlineStr"/>
      <c r="K193" s="8" t="inlineStr">
        <is>
          <t>Copiar en Flexxus: Tipo=MB-EXT | Movimiento=INGRESOS BRUTOS MENDOZA | Monto=576,37 | Fecha: 27/04/2026</t>
        </is>
      </c>
    </row>
    <row r="194">
      <c r="A194" s="8" t="inlineStr">
        <is>
          <t>PEND-61DAA36662F9-A001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108841</t>
        </is>
      </c>
      <c r="F194" s="8" t="inlineStr">
        <is>
          <t>GRAVAMEN LEY 25413 S/CRED</t>
        </is>
      </c>
      <c r="G194" s="8" t="inlineStr">
        <is>
          <t>Anticipo Ganancias Ley 25.413 créditos</t>
        </is>
      </c>
      <c r="H194" s="8" t="inlineStr">
        <is>
          <t>Anticipo Impuesto a las Ganancias</t>
        </is>
      </c>
      <c r="I194" s="9" t="n">
        <v>345.82</v>
      </c>
      <c r="J194" s="9" t="inlineStr"/>
      <c r="K194" s="8" t="inlineStr">
        <is>
          <t>Copiar en Flexxus: Tipo=MB-EXT | Movimiento=GRAVAMEN LEY 25.413 S/CRED | Monto=345,82 | Fecha: 27/04/2026</t>
        </is>
      </c>
    </row>
    <row r="195">
      <c r="A195" s="8" t="inlineStr">
        <is>
          <t>PEND-3FBD5226A65D-A001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108840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670.45</v>
      </c>
      <c r="J195" s="9" t="inlineStr"/>
      <c r="K195" s="8" t="inlineStr">
        <is>
          <t>Copiar en Flexxus: Tipo=MB-EXT | Movimiento=INGRESOS BRUTOS MENDOZA | Monto=670,45 | Fecha: 27/04/2026</t>
        </is>
      </c>
    </row>
    <row r="196">
      <c r="A196" s="8" t="inlineStr">
        <is>
          <t>PEND-AC49CCAD2E3A-A001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108840</t>
        </is>
      </c>
      <c r="F196" s="8" t="inlineStr">
        <is>
          <t>GRAVAMEN LEY 25413 S/CRED</t>
        </is>
      </c>
      <c r="G196" s="8" t="inlineStr">
        <is>
          <t>Anticipo Ganancias Ley 25.413 créditos</t>
        </is>
      </c>
      <c r="H196" s="8" t="inlineStr">
        <is>
          <t>Anticipo Impuesto a las Ganancias</t>
        </is>
      </c>
      <c r="I196" s="9" t="n">
        <v>402.27</v>
      </c>
      <c r="J196" s="9" t="inlineStr"/>
      <c r="K196" s="8" t="inlineStr">
        <is>
          <t>Copiar en Flexxus: Tipo=MB-EXT | Movimiento=GRAVAMEN LEY 25.413 S/CRED | Monto=402,27 | Fecha: 27/04/2026</t>
        </is>
      </c>
    </row>
    <row r="197">
      <c r="A197" s="8" t="inlineStr">
        <is>
          <t>PEND-7125ACBC7B9F-A001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108839</t>
        </is>
      </c>
      <c r="F197" s="8" t="inlineStr">
        <is>
          <t>INGRESOS BRUTOS MENDOZA</t>
        </is>
      </c>
      <c r="G197" s="8" t="inlineStr">
        <is>
          <t>Retención Ingresos Brutos Mendoza</t>
        </is>
      </c>
      <c r="H197" s="8" t="inlineStr">
        <is>
          <t>Retención de Ingresos Brutos</t>
        </is>
      </c>
      <c r="I197" s="9" t="n">
        <v>76.25</v>
      </c>
      <c r="J197" s="9" t="inlineStr"/>
      <c r="K197" s="8" t="inlineStr">
        <is>
          <t>Copiar en Flexxus: Tipo=MB-EXT | Movimiento=INGRESOS BRUTOS MENDOZA | Monto=76,25 | Fecha: 27/04/2026</t>
        </is>
      </c>
    </row>
    <row r="198">
      <c r="A198" s="8" t="inlineStr">
        <is>
          <t>PEND-EC2B9649D176-A001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108839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45.75</v>
      </c>
      <c r="J198" s="9" t="inlineStr"/>
      <c r="K198" s="8" t="inlineStr">
        <is>
          <t>Copiar en Flexxus: Tipo=MB-EXT | Movimiento=GRAVAMEN LEY 25.413 S/CRED | Monto=45,75 | Fecha: 27/04/2026</t>
        </is>
      </c>
    </row>
    <row r="199">
      <c r="A199" s="8" t="inlineStr">
        <is>
          <t>PEND-04DDE48430C6-A001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108838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695.2</v>
      </c>
      <c r="J199" s="9" t="inlineStr"/>
      <c r="K199" s="8" t="inlineStr">
        <is>
          <t>Copiar en Flexxus: Tipo=MB-EXT | Movimiento=INGRESOS BRUTOS MENDOZA | Monto=695,20 | Fecha: 27/04/2026</t>
        </is>
      </c>
    </row>
    <row r="200">
      <c r="A200" s="8" t="inlineStr">
        <is>
          <t>PEND-6DBBADEAF2DB-A001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108838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417.12</v>
      </c>
      <c r="J200" s="9" t="inlineStr"/>
      <c r="K200" s="8" t="inlineStr">
        <is>
          <t>Copiar en Flexxus: Tipo=MB-EXT | Movimiento=GRAVAMEN LEY 25.413 S/CRED | Monto=417,12 | Fecha: 27/04/2026</t>
        </is>
      </c>
    </row>
    <row r="201">
      <c r="A201" s="8" t="inlineStr">
        <is>
          <t>PEND-5118E17FE8B8-A001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108837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645.6900000000001</v>
      </c>
      <c r="J201" s="9" t="inlineStr"/>
      <c r="K201" s="8" t="inlineStr">
        <is>
          <t>Copiar en Flexxus: Tipo=MB-EXT | Movimiento=INGRESOS BRUTOS MENDOZA | Monto=645,69 | Fecha: 27/04/2026</t>
        </is>
      </c>
    </row>
    <row r="202">
      <c r="A202" s="8" t="inlineStr">
        <is>
          <t>PEND-63A109388859-A001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108837</t>
        </is>
      </c>
      <c r="F202" s="8" t="inlineStr">
        <is>
          <t>GRAVAMEN LEY 25413 S/CRED</t>
        </is>
      </c>
      <c r="G202" s="8" t="inlineStr">
        <is>
          <t>Anticipo Ganancias Ley 25.413 créditos</t>
        </is>
      </c>
      <c r="H202" s="8" t="inlineStr">
        <is>
          <t>Anticipo Impuesto a las Ganancias</t>
        </is>
      </c>
      <c r="I202" s="9" t="n">
        <v>387.41</v>
      </c>
      <c r="J202" s="9" t="inlineStr"/>
      <c r="K202" s="8" t="inlineStr">
        <is>
          <t>Copiar en Flexxus: Tipo=MB-EXT | Movimiento=GRAVAMEN LEY 25.413 S/CRED | Monto=387,41 | Fecha: 27/04/2026</t>
        </is>
      </c>
    </row>
    <row r="203">
      <c r="A203" s="8" t="inlineStr">
        <is>
          <t>PEND-A2BA4951E622-A001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108836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344.63</v>
      </c>
      <c r="J203" s="9" t="inlineStr"/>
      <c r="K203" s="8" t="inlineStr">
        <is>
          <t>Copiar en Flexxus: Tipo=MB-EXT | Movimiento=INGRESOS BRUTOS MENDOZA | Monto=344,63 | Fecha: 27/04/2026</t>
        </is>
      </c>
    </row>
    <row r="204">
      <c r="A204" s="8" t="inlineStr">
        <is>
          <t>PEND-0F0953A1CC59-A001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108836</t>
        </is>
      </c>
      <c r="F204" s="8" t="inlineStr">
        <is>
          <t>GRAVAMEN LEY 25413 S/CRED</t>
        </is>
      </c>
      <c r="G204" s="8" t="inlineStr">
        <is>
          <t>Anticipo Ganancias Ley 25.413 créditos</t>
        </is>
      </c>
      <c r="H204" s="8" t="inlineStr">
        <is>
          <t>Anticipo Impuesto a las Ganancias</t>
        </is>
      </c>
      <c r="I204" s="9" t="n">
        <v>206.78</v>
      </c>
      <c r="J204" s="9" t="inlineStr"/>
      <c r="K204" s="8" t="inlineStr">
        <is>
          <t>Copiar en Flexxus: Tipo=MB-EXT | Movimiento=GRAVAMEN LEY 25.413 S/CRED | Monto=206,78 | Fecha: 27/04/2026</t>
        </is>
      </c>
    </row>
    <row r="205">
      <c r="A205" s="8" t="inlineStr">
        <is>
          <t>PEND-75CF6B714C38-A001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108835</t>
        </is>
      </c>
      <c r="F205" s="8" t="inlineStr">
        <is>
          <t>INGRESOS BRUTOS MENDOZA</t>
        </is>
      </c>
      <c r="G205" s="8" t="inlineStr">
        <is>
          <t>Retención Ingresos Brutos Mendoza</t>
        </is>
      </c>
      <c r="H205" s="8" t="inlineStr">
        <is>
          <t>Retención de Ingresos Brutos</t>
        </is>
      </c>
      <c r="I205" s="9" t="n">
        <v>267.39</v>
      </c>
      <c r="J205" s="9" t="inlineStr"/>
      <c r="K205" s="8" t="inlineStr">
        <is>
          <t>Copiar en Flexxus: Tipo=MB-EXT | Movimiento=INGRESOS BRUTOS MENDOZA | Monto=267,39 | Fecha: 27/04/2026</t>
        </is>
      </c>
    </row>
    <row r="206">
      <c r="A206" s="8" t="inlineStr">
        <is>
          <t>PEND-698BCE59AA12-A001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108835</t>
        </is>
      </c>
      <c r="F206" s="8" t="inlineStr">
        <is>
          <t>GRAVAMEN LEY 25413 S/CRED</t>
        </is>
      </c>
      <c r="G206" s="8" t="inlineStr">
        <is>
          <t>Anticipo Ganancias Ley 25.413 créditos</t>
        </is>
      </c>
      <c r="H206" s="8" t="inlineStr">
        <is>
          <t>Anticipo Impuesto a las Ganancias</t>
        </is>
      </c>
      <c r="I206" s="9" t="n">
        <v>160.43</v>
      </c>
      <c r="J206" s="9" t="inlineStr"/>
      <c r="K206" s="8" t="inlineStr">
        <is>
          <t>Copiar en Flexxus: Tipo=MB-EXT | Movimiento=GRAVAMEN LEY 25.413 S/CRED | Monto=160,43 | Fecha: 27/04/2026</t>
        </is>
      </c>
    </row>
    <row r="207">
      <c r="A207" s="8" t="inlineStr">
        <is>
          <t>PEND-F4D1C8D5E612-A001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108834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268.38</v>
      </c>
      <c r="J207" s="9" t="inlineStr"/>
      <c r="K207" s="8" t="inlineStr">
        <is>
          <t>Copiar en Flexxus: Tipo=MB-EXT | Movimiento=INGRESOS BRUTOS MENDOZA | Monto=268,38 | Fecha: 27/04/2026</t>
        </is>
      </c>
    </row>
    <row r="208">
      <c r="A208" s="8" t="inlineStr">
        <is>
          <t>PEND-8A48BBBA3991-A001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108834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161.03</v>
      </c>
      <c r="J208" s="9" t="inlineStr"/>
      <c r="K208" s="8" t="inlineStr">
        <is>
          <t>Copiar en Flexxus: Tipo=MB-EXT | Movimiento=GRAVAMEN LEY 25.413 S/CRED | Monto=161,03 | Fecha: 27/04/2026</t>
        </is>
      </c>
    </row>
    <row r="209">
      <c r="A209" s="8" t="inlineStr">
        <is>
          <t>PEND-F883EACCC507-A001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108833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387.22</v>
      </c>
      <c r="J209" s="9" t="inlineStr"/>
      <c r="K209" s="8" t="inlineStr">
        <is>
          <t>Copiar en Flexxus: Tipo=MB-EXT | Movimiento=INGRESOS BRUTOS MENDOZA | Monto=387,22 | Fecha: 27/04/2026</t>
        </is>
      </c>
    </row>
    <row r="210">
      <c r="A210" s="8" t="inlineStr">
        <is>
          <t>PEND-67B92D9B89C9-A001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108833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232.33</v>
      </c>
      <c r="J210" s="9" t="inlineStr"/>
      <c r="K210" s="8" t="inlineStr">
        <is>
          <t>Copiar en Flexxus: Tipo=MB-EXT | Movimiento=GRAVAMEN LEY 25.413 S/CRED | Monto=232,33 | Fecha: 27/04/2026</t>
        </is>
      </c>
    </row>
    <row r="211">
      <c r="A211" s="8" t="inlineStr">
        <is>
          <t>PEND-5AF871C5CD5B-A001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108832</t>
        </is>
      </c>
      <c r="F211" s="8" t="inlineStr">
        <is>
          <t>INGRESOS BRUTOS MENDOZA</t>
        </is>
      </c>
      <c r="G211" s="8" t="inlineStr">
        <is>
          <t>Retención Ingresos Brutos Mendoza</t>
        </is>
      </c>
      <c r="H211" s="8" t="inlineStr">
        <is>
          <t>Retención de Ingresos Brutos</t>
        </is>
      </c>
      <c r="I211" s="9" t="n">
        <v>116.86</v>
      </c>
      <c r="J211" s="9" t="inlineStr"/>
      <c r="K211" s="8" t="inlineStr">
        <is>
          <t>Copiar en Flexxus: Tipo=MB-EXT | Movimiento=INGRESOS BRUTOS MENDOZA | Monto=116,86 | Fecha: 27/04/2026</t>
        </is>
      </c>
    </row>
    <row r="212">
      <c r="A212" s="8" t="inlineStr">
        <is>
          <t>PEND-D3F7F63301F3-A001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108832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70.11</v>
      </c>
      <c r="J212" s="9" t="inlineStr"/>
      <c r="K212" s="8" t="inlineStr">
        <is>
          <t>Copiar en Flexxus: Tipo=MB-EXT | Movimiento=GRAVAMEN LEY 25.413 S/CRED | Monto=70,11 | Fecha: 27/04/2026</t>
        </is>
      </c>
    </row>
    <row r="213">
      <c r="A213" s="8" t="inlineStr">
        <is>
          <t>PEND-67B7B13152CA-A001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108831</t>
        </is>
      </c>
      <c r="F213" s="8" t="inlineStr">
        <is>
          <t>INGRESOS BRUTOS MENDOZA</t>
        </is>
      </c>
      <c r="G213" s="8" t="inlineStr">
        <is>
          <t>Retención Ingresos Brutos Mendoza</t>
        </is>
      </c>
      <c r="H213" s="8" t="inlineStr">
        <is>
          <t>Retención de Ingresos Brutos</t>
        </is>
      </c>
      <c r="I213" s="9" t="n">
        <v>123.79</v>
      </c>
      <c r="J213" s="9" t="inlineStr"/>
      <c r="K213" s="8" t="inlineStr">
        <is>
          <t>Copiar en Flexxus: Tipo=MB-EXT | Movimiento=INGRESOS BRUTOS MENDOZA | Monto=123,79 | Fecha: 27/04/2026</t>
        </is>
      </c>
    </row>
    <row r="214">
      <c r="A214" s="8" t="inlineStr">
        <is>
          <t>PEND-5F15B7E1173C-A001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108831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74.27</v>
      </c>
      <c r="J214" s="9" t="inlineStr"/>
      <c r="K214" s="8" t="inlineStr">
        <is>
          <t>Copiar en Flexxus: Tipo=MB-EXT | Movimiento=GRAVAMEN LEY 25.413 S/CRED | Monto=74,27 | Fecha: 27/04/2026</t>
        </is>
      </c>
    </row>
    <row r="215">
      <c r="A215" s="8" t="inlineStr">
        <is>
          <t>PEND-422B21AF634D-A001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108830</t>
        </is>
      </c>
      <c r="F215" s="8" t="inlineStr">
        <is>
          <t>INGRESOS BRUTOS MENDOZA</t>
        </is>
      </c>
      <c r="G215" s="8" t="inlineStr">
        <is>
          <t>Retención Ingresos Brutos Mendoza</t>
        </is>
      </c>
      <c r="H215" s="8" t="inlineStr">
        <is>
          <t>Retención de Ingresos Brutos</t>
        </is>
      </c>
      <c r="I215" s="9" t="n">
        <v>549.63</v>
      </c>
      <c r="J215" s="9" t="inlineStr"/>
      <c r="K215" s="8" t="inlineStr">
        <is>
          <t>Copiar en Flexxus: Tipo=MB-EXT | Movimiento=INGRESOS BRUTOS MENDOZA | Monto=549,63 | Fecha: 27/04/2026</t>
        </is>
      </c>
    </row>
    <row r="216">
      <c r="A216" s="8" t="inlineStr">
        <is>
          <t>PEND-CAD7D4B388C7-A001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108830</t>
        </is>
      </c>
      <c r="F216" s="8" t="inlineStr">
        <is>
          <t>GRAVAMEN LEY 25413 S/CRED</t>
        </is>
      </c>
      <c r="G216" s="8" t="inlineStr">
        <is>
          <t>Anticipo Ganancias Ley 25.413 créditos</t>
        </is>
      </c>
      <c r="H216" s="8" t="inlineStr">
        <is>
          <t>Anticipo Impuesto a las Ganancias</t>
        </is>
      </c>
      <c r="I216" s="9" t="n">
        <v>329.78</v>
      </c>
      <c r="J216" s="9" t="inlineStr"/>
      <c r="K216" s="8" t="inlineStr">
        <is>
          <t>Copiar en Flexxus: Tipo=MB-EXT | Movimiento=GRAVAMEN LEY 25.413 S/CRED | Monto=329,78 | Fecha: 27/04/2026</t>
        </is>
      </c>
    </row>
    <row r="217">
      <c r="A217" s="8" t="inlineStr">
        <is>
          <t>PEND-FDAD2FA15248-A001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108829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276.3</v>
      </c>
      <c r="J217" s="9" t="inlineStr"/>
      <c r="K217" s="8" t="inlineStr">
        <is>
          <t>Copiar en Flexxus: Tipo=MB-EXT | Movimiento=INGRESOS BRUTOS MENDOZA | Monto=276,30 | Fecha: 27/04/2026</t>
        </is>
      </c>
    </row>
    <row r="218">
      <c r="A218" s="8" t="inlineStr">
        <is>
          <t>PEND-288DBE8AA325-A001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108829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165.78</v>
      </c>
      <c r="J218" s="9" t="inlineStr"/>
      <c r="K218" s="8" t="inlineStr">
        <is>
          <t>Copiar en Flexxus: Tipo=MB-EXT | Movimiento=GRAVAMEN LEY 25.413 S/CRED | Monto=165,78 | Fecha: 27/04/2026</t>
        </is>
      </c>
    </row>
    <row r="219">
      <c r="A219" s="8" t="inlineStr">
        <is>
          <t>PEND-0AB4F1299BB6-A001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108828</t>
        </is>
      </c>
      <c r="F219" s="8" t="inlineStr">
        <is>
          <t>INGRESOS BRUTOS MENDOZA</t>
        </is>
      </c>
      <c r="G219" s="8" t="inlineStr">
        <is>
          <t>Retención Ingresos Brutos Mendoza</t>
        </is>
      </c>
      <c r="H219" s="8" t="inlineStr">
        <is>
          <t>Retención de Ingresos Brutos</t>
        </is>
      </c>
      <c r="I219" s="9" t="n">
        <v>237.68</v>
      </c>
      <c r="J219" s="9" t="inlineStr"/>
      <c r="K219" s="8" t="inlineStr">
        <is>
          <t>Copiar en Flexxus: Tipo=MB-EXT | Movimiento=INGRESOS BRUTOS MENDOZA | Monto=237,68 | Fecha: 27/04/2026</t>
        </is>
      </c>
    </row>
    <row r="220">
      <c r="A220" s="8" t="inlineStr">
        <is>
          <t>PEND-636510912159-A001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108828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142.61</v>
      </c>
      <c r="J220" s="9" t="inlineStr"/>
      <c r="K220" s="8" t="inlineStr">
        <is>
          <t>Copiar en Flexxus: Tipo=MB-EXT | Movimiento=GRAVAMEN LEY 25.413 S/CRED | Monto=142,61 | Fecha: 27/04/2026</t>
        </is>
      </c>
    </row>
    <row r="221">
      <c r="A221" s="8" t="inlineStr">
        <is>
          <t>PEND-4AC1B46BA46B-A001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108827</t>
        </is>
      </c>
      <c r="F221" s="8" t="inlineStr">
        <is>
          <t>INGRESOS BRUTOS MENDOZA</t>
        </is>
      </c>
      <c r="G221" s="8" t="inlineStr">
        <is>
          <t>Retención Ingresos Brutos Mendoza</t>
        </is>
      </c>
      <c r="H221" s="8" t="inlineStr">
        <is>
          <t>Retención de Ingresos Brutos</t>
        </is>
      </c>
      <c r="I221" s="9" t="n">
        <v>699.17</v>
      </c>
      <c r="J221" s="9" t="inlineStr"/>
      <c r="K221" s="8" t="inlineStr">
        <is>
          <t>Copiar en Flexxus: Tipo=MB-EXT | Movimiento=INGRESOS BRUTOS MENDOZA | Monto=699,17 | Fecha: 27/04/2026</t>
        </is>
      </c>
    </row>
    <row r="222">
      <c r="A222" s="8" t="inlineStr">
        <is>
          <t>PEND-8DD43409A7DE-A001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108827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419.5</v>
      </c>
      <c r="J222" s="9" t="inlineStr"/>
      <c r="K222" s="8" t="inlineStr">
        <is>
          <t>Copiar en Flexxus: Tipo=MB-EXT | Movimiento=GRAVAMEN LEY 25.413 S/CRED | Monto=419,50 | Fecha: 27/04/2026</t>
        </is>
      </c>
    </row>
    <row r="223">
      <c r="A223" s="8" t="inlineStr">
        <is>
          <t>PEND-5EFD300C9252-A001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108826</t>
        </is>
      </c>
      <c r="F223" s="8" t="inlineStr">
        <is>
          <t>INGRESOS BRUTOS MENDOZA</t>
        </is>
      </c>
      <c r="G223" s="8" t="inlineStr">
        <is>
          <t>Retención Ingresos Brutos Mendoza</t>
        </is>
      </c>
      <c r="H223" s="8" t="inlineStr">
        <is>
          <t>Retención de Ingresos Brutos</t>
        </is>
      </c>
      <c r="I223" s="9" t="n">
        <v>228.76</v>
      </c>
      <c r="J223" s="9" t="inlineStr"/>
      <c r="K223" s="8" t="inlineStr">
        <is>
          <t>Copiar en Flexxus: Tipo=MB-EXT | Movimiento=INGRESOS BRUTOS MENDOZA | Monto=228,76 | Fecha: 27/04/2026</t>
        </is>
      </c>
    </row>
    <row r="224">
      <c r="A224" s="8" t="inlineStr">
        <is>
          <t>PEND-E5790C1AE621-A001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108826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137.26</v>
      </c>
      <c r="J224" s="9" t="inlineStr"/>
      <c r="K224" s="8" t="inlineStr">
        <is>
          <t>Copiar en Flexxus: Tipo=MB-EXT | Movimiento=GRAVAMEN LEY 25.413 S/CRED | Monto=137,26 | Fecha: 27/04/2026</t>
        </is>
      </c>
    </row>
    <row r="225">
      <c r="A225" s="8" t="inlineStr">
        <is>
          <t>PEND-C0C652FE5B5B-A001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108825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133.69</v>
      </c>
      <c r="J225" s="9" t="inlineStr"/>
      <c r="K225" s="8" t="inlineStr">
        <is>
          <t>Copiar en Flexxus: Tipo=MB-EXT | Movimiento=INGRESOS BRUTOS MENDOZA | Monto=133,69 | Fecha: 27/04/2026</t>
        </is>
      </c>
    </row>
    <row r="226">
      <c r="A226" s="8" t="inlineStr">
        <is>
          <t>PEND-9F4AD502A3C3-A001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108825</t>
        </is>
      </c>
      <c r="F226" s="8" t="inlineStr">
        <is>
          <t>GRAVAMEN LEY 25413 S/CRED</t>
        </is>
      </c>
      <c r="G226" s="8" t="inlineStr">
        <is>
          <t>Anticipo Ganancias Ley 25.413 créditos</t>
        </is>
      </c>
      <c r="H226" s="8" t="inlineStr">
        <is>
          <t>Anticipo Impuesto a las Ganancias</t>
        </is>
      </c>
      <c r="I226" s="9" t="n">
        <v>80.22</v>
      </c>
      <c r="J226" s="9" t="inlineStr"/>
      <c r="K226" s="8" t="inlineStr">
        <is>
          <t>Copiar en Flexxus: Tipo=MB-EXT | Movimiento=GRAVAMEN LEY 25.413 S/CRED | Monto=80,22 | Fecha: 27/04/2026</t>
        </is>
      </c>
    </row>
    <row r="227">
      <c r="A227" s="8" t="inlineStr">
        <is>
          <t>PEND-8A945D9ADCDB-A001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108824</t>
        </is>
      </c>
      <c r="F227" s="8" t="inlineStr">
        <is>
          <t>INGRESOS BRUTOS MENDOZA</t>
        </is>
      </c>
      <c r="G227" s="8" t="inlineStr">
        <is>
          <t>Retención Ingresos Brutos Mendoza</t>
        </is>
      </c>
      <c r="H227" s="8" t="inlineStr">
        <is>
          <t>Retención de Ingresos Brutos</t>
        </is>
      </c>
      <c r="I227" s="9" t="n">
        <v>341.66</v>
      </c>
      <c r="J227" s="9" t="inlineStr"/>
      <c r="K227" s="8" t="inlineStr">
        <is>
          <t>Copiar en Flexxus: Tipo=MB-EXT | Movimiento=INGRESOS BRUTOS MENDOZA | Monto=341,66 | Fecha: 27/04/2026</t>
        </is>
      </c>
    </row>
    <row r="228">
      <c r="A228" s="8" t="inlineStr">
        <is>
          <t>PEND-A15097B16BEC-A001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108824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205</v>
      </c>
      <c r="J228" s="9" t="inlineStr"/>
      <c r="K228" s="8" t="inlineStr">
        <is>
          <t>Copiar en Flexxus: Tipo=MB-EXT | Movimiento=GRAVAMEN LEY 25.413 S/CRED | Monto=205,00 | Fecha: 27/04/2026</t>
        </is>
      </c>
    </row>
    <row r="229">
      <c r="A229" s="8" t="inlineStr">
        <is>
          <t>PEND-A02FA0AFB488-A001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108823</t>
        </is>
      </c>
      <c r="F229" s="8" t="inlineStr">
        <is>
          <t>INGRESOS BRUTOS MENDOZA</t>
        </is>
      </c>
      <c r="G229" s="8" t="inlineStr">
        <is>
          <t>Retención Ingresos Brutos Mendoza</t>
        </is>
      </c>
      <c r="H229" s="8" t="inlineStr">
        <is>
          <t>Retención de Ingresos Brutos</t>
        </is>
      </c>
      <c r="I229" s="9" t="n">
        <v>247.58</v>
      </c>
      <c r="J229" s="9" t="inlineStr"/>
      <c r="K229" s="8" t="inlineStr">
        <is>
          <t>Copiar en Flexxus: Tipo=MB-EXT | Movimiento=INGRESOS BRUTOS MENDOZA | Monto=247,58 | Fecha: 27/04/2026</t>
        </is>
      </c>
    </row>
    <row r="230">
      <c r="A230" s="8" t="inlineStr">
        <is>
          <t>PEND-C558D9BF22AD-A001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108823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148.55</v>
      </c>
      <c r="J230" s="9" t="inlineStr"/>
      <c r="K230" s="8" t="inlineStr">
        <is>
          <t>Copiar en Flexxus: Tipo=MB-EXT | Movimiento=GRAVAMEN LEY 25.413 S/CRED | Monto=148,55 | Fecha: 27/04/2026</t>
        </is>
      </c>
    </row>
    <row r="231">
      <c r="A231" s="8" t="inlineStr">
        <is>
          <t>PEND-837CB6E03170-A001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108822</t>
        </is>
      </c>
      <c r="F231" s="8" t="inlineStr">
        <is>
          <t>INGRESOS BRUTOS MENDOZA</t>
        </is>
      </c>
      <c r="G231" s="8" t="inlineStr">
        <is>
          <t>Retención Ingresos Brutos Mendoza</t>
        </is>
      </c>
      <c r="H231" s="8" t="inlineStr">
        <is>
          <t>Retención de Ingresos Brutos</t>
        </is>
      </c>
      <c r="I231" s="9" t="n">
        <v>113.89</v>
      </c>
      <c r="J231" s="9" t="inlineStr"/>
      <c r="K231" s="8" t="inlineStr">
        <is>
          <t>Copiar en Flexxus: Tipo=MB-EXT | Movimiento=INGRESOS BRUTOS MENDOZA | Monto=113,89 | Fecha: 27/04/2026</t>
        </is>
      </c>
    </row>
    <row r="232">
      <c r="A232" s="8" t="inlineStr">
        <is>
          <t>PEND-AB82F5FC3945-A001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108822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68.33</v>
      </c>
      <c r="J232" s="9" t="inlineStr"/>
      <c r="K232" s="8" t="inlineStr">
        <is>
          <t>Copiar en Flexxus: Tipo=MB-EXT | Movimiento=GRAVAMEN LEY 25.413 S/CRED | Monto=68,33 | Fecha: 27/04/2026</t>
        </is>
      </c>
    </row>
    <row r="233">
      <c r="A233" s="8" t="inlineStr">
        <is>
          <t>PEND-DBD0D10B5BC0-A001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108821</t>
        </is>
      </c>
      <c r="F233" s="8" t="inlineStr">
        <is>
          <t>INGRESOS BRUTOS MENDOZA</t>
        </is>
      </c>
      <c r="G233" s="8" t="inlineStr">
        <is>
          <t>Retención Ingresos Brutos Mendoza</t>
        </is>
      </c>
      <c r="H233" s="8" t="inlineStr">
        <is>
          <t>Retención de Ingresos Brutos</t>
        </is>
      </c>
      <c r="I233" s="9" t="n">
        <v>797.21</v>
      </c>
      <c r="J233" s="9" t="inlineStr"/>
      <c r="K233" s="8" t="inlineStr">
        <is>
          <t>Copiar en Flexxus: Tipo=MB-EXT | Movimiento=INGRESOS BRUTOS MENDOZA | Monto=797,21 | Fecha: 27/04/2026</t>
        </is>
      </c>
    </row>
    <row r="234">
      <c r="A234" s="8" t="inlineStr">
        <is>
          <t>PEND-BB7F391A6524-A001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108821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478.32</v>
      </c>
      <c r="J234" s="9" t="inlineStr"/>
      <c r="K234" s="8" t="inlineStr">
        <is>
          <t>Copiar en Flexxus: Tipo=MB-EXT | Movimiento=GRAVAMEN LEY 25.413 S/CRED | Monto=478,32 | Fecha: 27/04/2026</t>
        </is>
      </c>
    </row>
    <row r="235">
      <c r="A235" s="8" t="inlineStr">
        <is>
          <t>PEND-68A673D81DCB-A001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108820</t>
        </is>
      </c>
      <c r="F235" s="8" t="inlineStr">
        <is>
          <t>INGRESOS BRUTOS MENDOZA</t>
        </is>
      </c>
      <c r="G235" s="8" t="inlineStr">
        <is>
          <t>Retención Ingresos Brutos Mendoza</t>
        </is>
      </c>
      <c r="H235" s="8" t="inlineStr">
        <is>
          <t>Retención de Ingresos Brutos</t>
        </is>
      </c>
      <c r="I235" s="9" t="n">
        <v>237.68</v>
      </c>
      <c r="J235" s="9" t="inlineStr"/>
      <c r="K235" s="8" t="inlineStr">
        <is>
          <t>Copiar en Flexxus: Tipo=MB-EXT | Movimiento=INGRESOS BRUTOS MENDOZA | Monto=237,68 | Fecha: 27/04/2026</t>
        </is>
      </c>
    </row>
    <row r="236">
      <c r="A236" s="8" t="inlineStr">
        <is>
          <t>PEND-31746442CC6A-A001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108820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142.61</v>
      </c>
      <c r="J236" s="9" t="inlineStr"/>
      <c r="K236" s="8" t="inlineStr">
        <is>
          <t>Copiar en Flexxus: Tipo=MB-EXT | Movimiento=GRAVAMEN LEY 25.413 S/CRED | Monto=142,61 | Fecha: 27/04/2026</t>
        </is>
      </c>
    </row>
    <row r="237">
      <c r="A237" s="8" t="inlineStr">
        <is>
          <t>PEND-9ACFD90B6562-A001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108819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166.37</v>
      </c>
      <c r="J237" s="9" t="inlineStr"/>
      <c r="K237" s="8" t="inlineStr">
        <is>
          <t>Copiar en Flexxus: Tipo=MB-EXT | Movimiento=INGRESOS BRUTOS MENDOZA | Monto=166,37 | Fecha: 27/04/2026</t>
        </is>
      </c>
    </row>
    <row r="238">
      <c r="A238" s="8" t="inlineStr">
        <is>
          <t>PEND-6CA3B776887D-A001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108819</t>
        </is>
      </c>
      <c r="F238" s="8" t="inlineStr">
        <is>
          <t>GRAVAMEN LEY 25413 S/CRED</t>
        </is>
      </c>
      <c r="G238" s="8" t="inlineStr">
        <is>
          <t>Anticipo Ganancias Ley 25.413 créditos</t>
        </is>
      </c>
      <c r="H238" s="8" t="inlineStr">
        <is>
          <t>Anticipo Impuesto a las Ganancias</t>
        </is>
      </c>
      <c r="I238" s="9" t="n">
        <v>99.81999999999999</v>
      </c>
      <c r="J238" s="9" t="inlineStr"/>
      <c r="K238" s="8" t="inlineStr">
        <is>
          <t>Copiar en Flexxus: Tipo=MB-EXT | Movimiento=GRAVAMEN LEY 25.413 S/CRED | Monto=99,82 | Fecha: 27/04/2026</t>
        </is>
      </c>
    </row>
    <row r="239">
      <c r="A239" s="8" t="inlineStr">
        <is>
          <t>PEND-69A82E551F09-A001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108818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940.8</v>
      </c>
      <c r="J239" s="9" t="inlineStr"/>
      <c r="K239" s="8" t="inlineStr">
        <is>
          <t>Copiar en Flexxus: Tipo=MB-EXT | Movimiento=INGRESOS BRUTOS MENDOZA | Monto=940,80 | Fecha: 27/04/2026</t>
        </is>
      </c>
    </row>
    <row r="240">
      <c r="A240" s="8" t="inlineStr">
        <is>
          <t>PEND-6AB0A8CC9996-A001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108818</t>
        </is>
      </c>
      <c r="F240" s="8" t="inlineStr">
        <is>
          <t>GRAVAMEN LEY 25413 S/CRED</t>
        </is>
      </c>
      <c r="G240" s="8" t="inlineStr">
        <is>
          <t>Anticipo Ganancias Ley 25.413 créditos</t>
        </is>
      </c>
      <c r="H240" s="8" t="inlineStr">
        <is>
          <t>Anticipo Impuesto a las Ganancias</t>
        </is>
      </c>
      <c r="I240" s="9" t="n">
        <v>564.48</v>
      </c>
      <c r="J240" s="9" t="inlineStr"/>
      <c r="K240" s="8" t="inlineStr">
        <is>
          <t>Copiar en Flexxus: Tipo=MB-EXT | Movimiento=GRAVAMEN LEY 25.413 S/CRED | Monto=564,48 | Fecha: 27/04/2026</t>
        </is>
      </c>
    </row>
    <row r="241">
      <c r="A241" s="8" t="inlineStr">
        <is>
          <t>PEND-FF69AFE61B71-A001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108817</t>
        </is>
      </c>
      <c r="F241" s="8" t="inlineStr">
        <is>
          <t>INGRESOS BRUTOS MENDOZA</t>
        </is>
      </c>
      <c r="G241" s="8" t="inlineStr">
        <is>
          <t>Retención Ingresos Brutos Mendoza</t>
        </is>
      </c>
      <c r="H241" s="8" t="inlineStr">
        <is>
          <t>Retención de Ingresos Brutos</t>
        </is>
      </c>
      <c r="I241" s="9" t="n">
        <v>433.76</v>
      </c>
      <c r="J241" s="9" t="inlineStr"/>
      <c r="K241" s="8" t="inlineStr">
        <is>
          <t>Copiar en Flexxus: Tipo=MB-EXT | Movimiento=INGRESOS BRUTOS MENDOZA | Monto=433,76 | Fecha: 27/04/2026</t>
        </is>
      </c>
    </row>
    <row r="242">
      <c r="A242" s="8" t="inlineStr">
        <is>
          <t>PEND-527C94F7130A-A001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108817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260.26</v>
      </c>
      <c r="J242" s="9" t="inlineStr"/>
      <c r="K242" s="8" t="inlineStr">
        <is>
          <t>Copiar en Flexxus: Tipo=MB-EXT | Movimiento=GRAVAMEN LEY 25.413 S/CRED | Monto=260,26 | Fecha: 27/04/2026</t>
        </is>
      </c>
    </row>
    <row r="243">
      <c r="A243" s="8" t="inlineStr">
        <is>
          <t>PEND-DE34BEE0BA94-A001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108816</t>
        </is>
      </c>
      <c r="F243" s="8" t="inlineStr">
        <is>
          <t>INGRESOS BRUTOS MENDOZA</t>
        </is>
      </c>
      <c r="G243" s="8" t="inlineStr">
        <is>
          <t>Retención Ingresos Brutos Mendoza</t>
        </is>
      </c>
      <c r="H243" s="8" t="inlineStr">
        <is>
          <t>Retención de Ingresos Brutos</t>
        </is>
      </c>
      <c r="I243" s="9" t="n">
        <v>133.69</v>
      </c>
      <c r="J243" s="9" t="inlineStr"/>
      <c r="K243" s="8" t="inlineStr">
        <is>
          <t>Copiar en Flexxus: Tipo=MB-EXT | Movimiento=INGRESOS BRUTOS MENDOZA | Monto=133,69 | Fecha: 27/04/2026</t>
        </is>
      </c>
    </row>
    <row r="244">
      <c r="A244" s="8" t="inlineStr">
        <is>
          <t>PEND-7863062C7B4B-A001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108816</t>
        </is>
      </c>
      <c r="F244" s="8" t="inlineStr">
        <is>
          <t>GRAVAMEN LEY 25413 S/CRED</t>
        </is>
      </c>
      <c r="G244" s="8" t="inlineStr">
        <is>
          <t>Anticipo Ganancias Ley 25.413 créditos</t>
        </is>
      </c>
      <c r="H244" s="8" t="inlineStr">
        <is>
          <t>Anticipo Impuesto a las Ganancias</t>
        </is>
      </c>
      <c r="I244" s="9" t="n">
        <v>80.22</v>
      </c>
      <c r="J244" s="9" t="inlineStr"/>
      <c r="K244" s="8" t="inlineStr">
        <is>
          <t>Copiar en Flexxus: Tipo=MB-EXT | Movimiento=GRAVAMEN LEY 25.413 S/CRED | Monto=80,22 | Fecha: 27/04/2026</t>
        </is>
      </c>
    </row>
    <row r="245">
      <c r="A245" s="8" t="inlineStr">
        <is>
          <t>PEND-BB710B584964-A001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108815</t>
        </is>
      </c>
      <c r="F245" s="8" t="inlineStr">
        <is>
          <t>INGRESOS BRUTOS MENDOZA</t>
        </is>
      </c>
      <c r="G245" s="8" t="inlineStr">
        <is>
          <t>Retención Ingresos Brutos Mendoza</t>
        </is>
      </c>
      <c r="H245" s="8" t="inlineStr">
        <is>
          <t>Retención de Ingresos Brutos</t>
        </is>
      </c>
      <c r="I245" s="9" t="n">
        <v>146.57</v>
      </c>
      <c r="J245" s="9" t="inlineStr"/>
      <c r="K245" s="8" t="inlineStr">
        <is>
          <t>Copiar en Flexxus: Tipo=MB-EXT | Movimiento=INGRESOS BRUTOS MENDOZA | Monto=146,57 | Fecha: 27/04/2026</t>
        </is>
      </c>
    </row>
    <row r="246">
      <c r="A246" s="8" t="inlineStr">
        <is>
          <t>PEND-59B34F0FEB69-A001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108815</t>
        </is>
      </c>
      <c r="F246" s="8" t="inlineStr">
        <is>
          <t>GRAVAMEN LEY 25413 S/CRED</t>
        </is>
      </c>
      <c r="G246" s="8" t="inlineStr">
        <is>
          <t>Anticipo Ganancias Ley 25.413 créditos</t>
        </is>
      </c>
      <c r="H246" s="8" t="inlineStr">
        <is>
          <t>Anticipo Impuesto a las Ganancias</t>
        </is>
      </c>
      <c r="I246" s="9" t="n">
        <v>87.94</v>
      </c>
      <c r="J246" s="9" t="inlineStr"/>
      <c r="K246" s="8" t="inlineStr">
        <is>
          <t>Copiar en Flexxus: Tipo=MB-EXT | Movimiento=GRAVAMEN LEY 25.413 S/CRED | Monto=87,94 | Fecha: 27/04/2026</t>
        </is>
      </c>
    </row>
    <row r="247">
      <c r="A247" s="8" t="inlineStr">
        <is>
          <t>PEND-D704EF0DD82F-A001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108814</t>
        </is>
      </c>
      <c r="F247" s="8" t="inlineStr">
        <is>
          <t>INGRESOS BRUTOS MENDOZA</t>
        </is>
      </c>
      <c r="G247" s="8" t="inlineStr">
        <is>
          <t>Retención Ingresos Brutos Mendoza</t>
        </is>
      </c>
      <c r="H247" s="8" t="inlineStr">
        <is>
          <t>Retención de Ingresos Brutos</t>
        </is>
      </c>
      <c r="I247" s="9" t="n">
        <v>227.77</v>
      </c>
      <c r="J247" s="9" t="inlineStr"/>
      <c r="K247" s="8" t="inlineStr">
        <is>
          <t>Copiar en Flexxus: Tipo=MB-EXT | Movimiento=INGRESOS BRUTOS MENDOZA | Monto=227,77 | Fecha: 27/04/2026</t>
        </is>
      </c>
    </row>
    <row r="248">
      <c r="A248" s="8" t="inlineStr">
        <is>
          <t>PEND-58D94E2A3706-A001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108814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136.66</v>
      </c>
      <c r="J248" s="9" t="inlineStr"/>
      <c r="K248" s="8" t="inlineStr">
        <is>
          <t>Copiar en Flexxus: Tipo=MB-EXT | Movimiento=GRAVAMEN LEY 25.413 S/CRED | Monto=136,66 | Fecha: 27/04/2026</t>
        </is>
      </c>
    </row>
    <row r="249">
      <c r="A249" s="8" t="inlineStr">
        <is>
          <t>PEND-9FEF5ED5EA83-A001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108813</t>
        </is>
      </c>
      <c r="F249" s="8" t="inlineStr">
        <is>
          <t>INGRESOS BRUTOS MENDOZA</t>
        </is>
      </c>
      <c r="G249" s="8" t="inlineStr">
        <is>
          <t>Retención Ingresos Brutos Mendoza</t>
        </is>
      </c>
      <c r="H249" s="8" t="inlineStr">
        <is>
          <t>Retención de Ingresos Brutos</t>
        </is>
      </c>
      <c r="I249" s="9" t="n">
        <v>267.39</v>
      </c>
      <c r="J249" s="9" t="inlineStr"/>
      <c r="K249" s="8" t="inlineStr">
        <is>
          <t>Copiar en Flexxus: Tipo=MB-EXT | Movimiento=INGRESOS BRUTOS MENDOZA | Monto=267,39 | Fecha: 27/04/2026</t>
        </is>
      </c>
    </row>
    <row r="250">
      <c r="A250" s="8" t="inlineStr">
        <is>
          <t>PEND-27A2F2873284-A001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108813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160.43</v>
      </c>
      <c r="J250" s="9" t="inlineStr"/>
      <c r="K250" s="8" t="inlineStr">
        <is>
          <t>Copiar en Flexxus: Tipo=MB-EXT | Movimiento=GRAVAMEN LEY 25.413 S/CRED | Monto=160,43 | Fecha: 27/04/2026</t>
        </is>
      </c>
    </row>
    <row r="251">
      <c r="A251" s="8" t="inlineStr">
        <is>
          <t>PEND-094E5E0346D4-A001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108812</t>
        </is>
      </c>
      <c r="F251" s="8" t="inlineStr">
        <is>
          <t>INGRESOS BRUTOS MENDOZA</t>
        </is>
      </c>
      <c r="G251" s="8" t="inlineStr">
        <is>
          <t>Retención Ingresos Brutos Mendoza</t>
        </is>
      </c>
      <c r="H251" s="8" t="inlineStr">
        <is>
          <t>Retención de Ingresos Brutos</t>
        </is>
      </c>
      <c r="I251" s="9" t="n">
        <v>495.16</v>
      </c>
      <c r="J251" s="9" t="inlineStr"/>
      <c r="K251" s="8" t="inlineStr">
        <is>
          <t>Copiar en Flexxus: Tipo=MB-EXT | Movimiento=INGRESOS BRUTOS MENDOZA | Monto=495,16 | Fecha: 27/04/2026</t>
        </is>
      </c>
    </row>
    <row r="252">
      <c r="A252" s="8" t="inlineStr">
        <is>
          <t>PEND-302DB2CB0DC8-A001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108812</t>
        </is>
      </c>
      <c r="F252" s="8" t="inlineStr">
        <is>
          <t>GRAVAMEN LEY 25413 S/CRED</t>
        </is>
      </c>
      <c r="G252" s="8" t="inlineStr">
        <is>
          <t>Anticipo Ganancias Ley 25.413 créditos</t>
        </is>
      </c>
      <c r="H252" s="8" t="inlineStr">
        <is>
          <t>Anticipo Impuesto a las Ganancias</t>
        </is>
      </c>
      <c r="I252" s="9" t="n">
        <v>297.1</v>
      </c>
      <c r="J252" s="9" t="inlineStr"/>
      <c r="K252" s="8" t="inlineStr">
        <is>
          <t>Copiar en Flexxus: Tipo=MB-EXT | Movimiento=GRAVAMEN LEY 25.413 S/CRED | Monto=297,10 | Fecha: 27/04/2026</t>
        </is>
      </c>
    </row>
    <row r="253">
      <c r="A253" s="8" t="inlineStr">
        <is>
          <t>PEND-BF9D93CE6E7C-A001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108811</t>
        </is>
      </c>
      <c r="F253" s="8" t="inlineStr">
        <is>
          <t>INGRESOS BRUTOS MENDOZA</t>
        </is>
      </c>
      <c r="G253" s="8" t="inlineStr">
        <is>
          <t>Retención Ingresos Brutos Mendoza</t>
        </is>
      </c>
      <c r="H253" s="8" t="inlineStr">
        <is>
          <t>Retención de Ingresos Brutos</t>
        </is>
      </c>
      <c r="I253" s="9" t="n">
        <v>512.99</v>
      </c>
      <c r="J253" s="9" t="inlineStr"/>
      <c r="K253" s="8" t="inlineStr">
        <is>
          <t>Copiar en Flexxus: Tipo=MB-EXT | Movimiento=INGRESOS BRUTOS MENDOZA | Monto=512,99 | Fecha: 27/04/2026</t>
        </is>
      </c>
    </row>
    <row r="254">
      <c r="A254" s="8" t="inlineStr">
        <is>
          <t>PEND-CA94B777CAE2-A001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108811</t>
        </is>
      </c>
      <c r="F254" s="8" t="inlineStr">
        <is>
          <t>GRAVAMEN LEY 25413 S/CRED</t>
        </is>
      </c>
      <c r="G254" s="8" t="inlineStr">
        <is>
          <t>Anticipo Ganancias Ley 25.413 créditos</t>
        </is>
      </c>
      <c r="H254" s="8" t="inlineStr">
        <is>
          <t>Anticipo Impuesto a las Ganancias</t>
        </is>
      </c>
      <c r="I254" s="9" t="n">
        <v>307.79</v>
      </c>
      <c r="J254" s="9" t="inlineStr"/>
      <c r="K254" s="8" t="inlineStr">
        <is>
          <t>Copiar en Flexxus: Tipo=MB-EXT | Movimiento=GRAVAMEN LEY 25.413 S/CRED | Monto=307,79 | Fecha: 27/04/2026</t>
        </is>
      </c>
    </row>
    <row r="255">
      <c r="A255" s="8" t="inlineStr">
        <is>
          <t>PEND-9B5E83A4A3D8-A001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108810</t>
        </is>
      </c>
      <c r="F255" s="8" t="inlineStr">
        <is>
          <t>INGRESOS BRUTOS MENDOZA</t>
        </is>
      </c>
      <c r="G255" s="8" t="inlineStr">
        <is>
          <t>Retención Ingresos Brutos Mendoza</t>
        </is>
      </c>
      <c r="H255" s="8" t="inlineStr">
        <is>
          <t>Retención de Ingresos Brutos</t>
        </is>
      </c>
      <c r="I255" s="9" t="n">
        <v>757.59</v>
      </c>
      <c r="J255" s="9" t="inlineStr"/>
      <c r="K255" s="8" t="inlineStr">
        <is>
          <t>Copiar en Flexxus: Tipo=MB-EXT | Movimiento=INGRESOS BRUTOS MENDOZA | Monto=757,59 | Fecha: 27/04/2026</t>
        </is>
      </c>
    </row>
    <row r="256">
      <c r="A256" s="8" t="inlineStr">
        <is>
          <t>PEND-B9F31FC0E914-A001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108810</t>
        </is>
      </c>
      <c r="F256" s="8" t="inlineStr">
        <is>
          <t>GRAVAMEN LEY 25413 S/CRED</t>
        </is>
      </c>
      <c r="G256" s="8" t="inlineStr">
        <is>
          <t>Anticipo Ganancias Ley 25.413 créditos</t>
        </is>
      </c>
      <c r="H256" s="8" t="inlineStr">
        <is>
          <t>Anticipo Impuesto a las Ganancias</t>
        </is>
      </c>
      <c r="I256" s="9" t="n">
        <v>454.56</v>
      </c>
      <c r="J256" s="9" t="inlineStr"/>
      <c r="K256" s="8" t="inlineStr">
        <is>
          <t>Copiar en Flexxus: Tipo=MB-EXT | Movimiento=GRAVAMEN LEY 25.413 S/CRED | Monto=454,56 | Fecha: 27/04/2026</t>
        </is>
      </c>
    </row>
    <row r="257">
      <c r="A257" s="8" t="inlineStr">
        <is>
          <t>PEND-C7D6FA505999-A001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108809</t>
        </is>
      </c>
      <c r="F257" s="8" t="inlineStr">
        <is>
          <t>INGRESOS BRUTOS MENDOZA</t>
        </is>
      </c>
      <c r="G257" s="8" t="inlineStr">
        <is>
          <t>Retención Ingresos Brutos Mendoza</t>
        </is>
      </c>
      <c r="H257" s="8" t="inlineStr">
        <is>
          <t>Retención de Ingresos Brutos</t>
        </is>
      </c>
      <c r="I257" s="9" t="n">
        <v>245.6</v>
      </c>
      <c r="J257" s="9" t="inlineStr"/>
      <c r="K257" s="8" t="inlineStr">
        <is>
          <t>Copiar en Flexxus: Tipo=MB-EXT | Movimiento=INGRESOS BRUTOS MENDOZA | Monto=245,60 | Fecha: 27/04/2026</t>
        </is>
      </c>
    </row>
    <row r="258">
      <c r="A258" s="8" t="inlineStr">
        <is>
          <t>PEND-9BE199CE8362-A001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108809</t>
        </is>
      </c>
      <c r="F258" s="8" t="inlineStr">
        <is>
          <t>GRAVAMEN LEY 25413 S/CRED</t>
        </is>
      </c>
      <c r="G258" s="8" t="inlineStr">
        <is>
          <t>Anticipo Ganancias Ley 25.413 créditos</t>
        </is>
      </c>
      <c r="H258" s="8" t="inlineStr">
        <is>
          <t>Anticipo Impuesto a las Ganancias</t>
        </is>
      </c>
      <c r="I258" s="9" t="n">
        <v>147.36</v>
      </c>
      <c r="J258" s="9" t="inlineStr"/>
      <c r="K258" s="8" t="inlineStr">
        <is>
          <t>Copiar en Flexxus: Tipo=MB-EXT | Movimiento=GRAVAMEN LEY 25.413 S/CRED | Monto=147,36 | Fecha: 27/04/2026</t>
        </is>
      </c>
    </row>
    <row r="259">
      <c r="A259" s="8" t="inlineStr">
        <is>
          <t>PEND-F5A713ABCC27-A001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108808</t>
        </is>
      </c>
      <c r="F259" s="8" t="inlineStr">
        <is>
          <t>INGRESOS BRUTOS MENDOZA</t>
        </is>
      </c>
      <c r="G259" s="8" t="inlineStr">
        <is>
          <t>Retención Ingresos Brutos Mendoza</t>
        </is>
      </c>
      <c r="H259" s="8" t="inlineStr">
        <is>
          <t>Retención de Ingresos Brutos</t>
        </is>
      </c>
      <c r="I259" s="9" t="n">
        <v>148.55</v>
      </c>
      <c r="J259" s="9" t="inlineStr"/>
      <c r="K259" s="8" t="inlineStr">
        <is>
          <t>Copiar en Flexxus: Tipo=MB-EXT | Movimiento=INGRESOS BRUTOS MENDOZA | Monto=148,55 | Fecha: 27/04/2026</t>
        </is>
      </c>
    </row>
    <row r="260">
      <c r="A260" s="8" t="inlineStr">
        <is>
          <t>PEND-D15F50D525FE-A001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108808</t>
        </is>
      </c>
      <c r="F260" s="8" t="inlineStr">
        <is>
          <t>GRAVAMEN LEY 25413 S/CRED</t>
        </is>
      </c>
      <c r="G260" s="8" t="inlineStr">
        <is>
          <t>Anticipo Ganancias Ley 25.413 créditos</t>
        </is>
      </c>
      <c r="H260" s="8" t="inlineStr">
        <is>
          <t>Anticipo Impuesto a las Ganancias</t>
        </is>
      </c>
      <c r="I260" s="9" t="n">
        <v>89.13</v>
      </c>
      <c r="J260" s="9" t="inlineStr"/>
      <c r="K260" s="8" t="inlineStr">
        <is>
          <t>Copiar en Flexxus: Tipo=MB-EXT | Movimiento=GRAVAMEN LEY 25.413 S/CRED | Monto=89,13 | Fecha: 27/04/2026</t>
        </is>
      </c>
    </row>
    <row r="261">
      <c r="A261" s="8" t="inlineStr">
        <is>
          <t>PEND-C12F99FD0D84-A001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108807</t>
        </is>
      </c>
      <c r="F261" s="8" t="inlineStr">
        <is>
          <t>INGRESOS BRUTOS MENDOZA</t>
        </is>
      </c>
      <c r="G261" s="8" t="inlineStr">
        <is>
          <t>Retención Ingresos Brutos Mendoza</t>
        </is>
      </c>
      <c r="H261" s="8" t="inlineStr">
        <is>
          <t>Retención de Ingresos Brutos</t>
        </is>
      </c>
      <c r="I261" s="9" t="n">
        <v>609.05</v>
      </c>
      <c r="J261" s="9" t="inlineStr"/>
      <c r="K261" s="8" t="inlineStr">
        <is>
          <t>Copiar en Flexxus: Tipo=MB-EXT | Movimiento=INGRESOS BRUTOS MENDOZA | Monto=609,05 | Fecha: 27/04/2026</t>
        </is>
      </c>
    </row>
    <row r="262">
      <c r="A262" s="8" t="inlineStr">
        <is>
          <t>PEND-A298C9150C20-A001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108807</t>
        </is>
      </c>
      <c r="F262" s="8" t="inlineStr">
        <is>
          <t>GRAVAMEN LEY 25413 S/CRED</t>
        </is>
      </c>
      <c r="G262" s="8" t="inlineStr">
        <is>
          <t>Anticipo Ganancias Ley 25.413 créditos</t>
        </is>
      </c>
      <c r="H262" s="8" t="inlineStr">
        <is>
          <t>Anticipo Impuesto a las Ganancias</t>
        </is>
      </c>
      <c r="I262" s="9" t="n">
        <v>365.43</v>
      </c>
      <c r="J262" s="9" t="inlineStr"/>
      <c r="K262" s="8" t="inlineStr">
        <is>
          <t>Copiar en Flexxus: Tipo=MB-EXT | Movimiento=GRAVAMEN LEY 25.413 S/CRED | Monto=365,43 | Fecha: 27/04/2026</t>
        </is>
      </c>
    </row>
    <row r="263">
      <c r="A263" s="8" t="inlineStr">
        <is>
          <t>PEND-2BB2AAEEB82D-A001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108806</t>
        </is>
      </c>
      <c r="F263" s="8" t="inlineStr">
        <is>
          <t>INGRESOS BRUTOS MENDOZA</t>
        </is>
      </c>
      <c r="G263" s="8" t="inlineStr">
        <is>
          <t>Retención Ingresos Brutos Mendoza</t>
        </is>
      </c>
      <c r="H263" s="8" t="inlineStr">
        <is>
          <t>Retención de Ingresos Brutos</t>
        </is>
      </c>
      <c r="I263" s="9" t="n">
        <v>280.26</v>
      </c>
      <c r="J263" s="9" t="inlineStr"/>
      <c r="K263" s="8" t="inlineStr">
        <is>
          <t>Copiar en Flexxus: Tipo=MB-EXT | Movimiento=INGRESOS BRUTOS MENDOZA | Monto=280,26 | Fecha: 27/04/2026</t>
        </is>
      </c>
    </row>
    <row r="264">
      <c r="A264" s="8" t="inlineStr">
        <is>
          <t>PEND-AA731AA3E1E3-A001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108806</t>
        </is>
      </c>
      <c r="F264" s="8" t="inlineStr">
        <is>
          <t>GRAVAMEN LEY 25413 S/CRED</t>
        </is>
      </c>
      <c r="G264" s="8" t="inlineStr">
        <is>
          <t>Anticipo Ganancias Ley 25.413 créditos</t>
        </is>
      </c>
      <c r="H264" s="8" t="inlineStr">
        <is>
          <t>Anticipo Impuesto a las Ganancias</t>
        </is>
      </c>
      <c r="I264" s="9" t="n">
        <v>168.16</v>
      </c>
      <c r="J264" s="9" t="inlineStr"/>
      <c r="K264" s="8" t="inlineStr">
        <is>
          <t>Copiar en Flexxus: Tipo=MB-EXT | Movimiento=GRAVAMEN LEY 25.413 S/CRED | Monto=168,16 | Fecha: 27/04/2026</t>
        </is>
      </c>
    </row>
    <row r="265">
      <c r="A265" s="8" t="inlineStr">
        <is>
          <t>PEND-A3D276AD3290-A001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108805</t>
        </is>
      </c>
      <c r="F265" s="8" t="inlineStr">
        <is>
          <t>INGRESOS BRUTOS MENDOZA</t>
        </is>
      </c>
      <c r="G265" s="8" t="inlineStr">
        <is>
          <t>Retención Ingresos Brutos Mendoza</t>
        </is>
      </c>
      <c r="H265" s="8" t="inlineStr">
        <is>
          <t>Retención de Ingresos Brutos</t>
        </is>
      </c>
      <c r="I265" s="9" t="n">
        <v>267.39</v>
      </c>
      <c r="J265" s="9" t="inlineStr"/>
      <c r="K265" s="8" t="inlineStr">
        <is>
          <t>Copiar en Flexxus: Tipo=MB-EXT | Movimiento=INGRESOS BRUTOS MENDOZA | Monto=267,39 | Fecha: 27/04/2026</t>
        </is>
      </c>
    </row>
    <row r="266">
      <c r="A266" s="8" t="inlineStr">
        <is>
          <t>PEND-00FE55992B23-A001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108805</t>
        </is>
      </c>
      <c r="F266" s="8" t="inlineStr">
        <is>
          <t>GRAVAMEN LEY 25413 S/CRED</t>
        </is>
      </c>
      <c r="G266" s="8" t="inlineStr">
        <is>
          <t>Anticipo Ganancias Ley 25.413 créditos</t>
        </is>
      </c>
      <c r="H266" s="8" t="inlineStr">
        <is>
          <t>Anticipo Impuesto a las Ganancias</t>
        </is>
      </c>
      <c r="I266" s="9" t="n">
        <v>160.43</v>
      </c>
      <c r="J266" s="9" t="inlineStr"/>
      <c r="K266" s="8" t="inlineStr">
        <is>
          <t>Copiar en Flexxus: Tipo=MB-EXT | Movimiento=GRAVAMEN LEY 25.413 S/CRED | Monto=160,43 | Fecha: 27/04/2026</t>
        </is>
      </c>
    </row>
    <row r="267">
      <c r="A267" s="8" t="inlineStr">
        <is>
          <t>PEND-3A8F28548126-A001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108804</t>
        </is>
      </c>
      <c r="F267" s="8" t="inlineStr">
        <is>
          <t>INGRESOS BRUTOS MENDOZA</t>
        </is>
      </c>
      <c r="G267" s="8" t="inlineStr">
        <is>
          <t>Retención Ingresos Brutos Mendoza</t>
        </is>
      </c>
      <c r="H267" s="8" t="inlineStr">
        <is>
          <t>Retención de Ingresos Brutos</t>
        </is>
      </c>
      <c r="I267" s="9" t="n">
        <v>388.21</v>
      </c>
      <c r="J267" s="9" t="inlineStr"/>
      <c r="K267" s="8" t="inlineStr">
        <is>
          <t>Copiar en Flexxus: Tipo=MB-EXT | Movimiento=INGRESOS BRUTOS MENDOZA | Monto=388,21 | Fecha: 27/04/2026</t>
        </is>
      </c>
    </row>
    <row r="268">
      <c r="A268" s="8" t="inlineStr">
        <is>
          <t>PEND-9DCC4A8BE9DC-A001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108804</t>
        </is>
      </c>
      <c r="F268" s="8" t="inlineStr">
        <is>
          <t>GRAVAMEN LEY 25413 S/CRED</t>
        </is>
      </c>
      <c r="G268" s="8" t="inlineStr">
        <is>
          <t>Anticipo Ganancias Ley 25.413 créditos</t>
        </is>
      </c>
      <c r="H268" s="8" t="inlineStr">
        <is>
          <t>Anticipo Impuesto a las Ganancias</t>
        </is>
      </c>
      <c r="I268" s="9" t="n">
        <v>232.92</v>
      </c>
      <c r="J268" s="9" t="inlineStr"/>
      <c r="K268" s="8" t="inlineStr">
        <is>
          <t>Copiar en Flexxus: Tipo=MB-EXT | Movimiento=GRAVAMEN LEY 25.413 S/CRED | Monto=232,92 | Fecha: 27/04/2026</t>
        </is>
      </c>
    </row>
    <row r="269">
      <c r="A269" s="8" t="inlineStr">
        <is>
          <t>PEND-6E328220F737-A001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108803</t>
        </is>
      </c>
      <c r="F269" s="8" t="inlineStr">
        <is>
          <t>INGRESOS BRUTOS MENDOZA</t>
        </is>
      </c>
      <c r="G269" s="8" t="inlineStr">
        <is>
          <t>Retención Ingresos Brutos Mendoza</t>
        </is>
      </c>
      <c r="H269" s="8" t="inlineStr">
        <is>
          <t>Retención de Ingresos Brutos</t>
        </is>
      </c>
      <c r="I269" s="9" t="n">
        <v>242.63</v>
      </c>
      <c r="J269" s="9" t="inlineStr"/>
      <c r="K269" s="8" t="inlineStr">
        <is>
          <t>Copiar en Flexxus: Tipo=MB-EXT | Movimiento=INGRESOS BRUTOS MENDOZA | Monto=242,63 | Fecha: 27/04/2026</t>
        </is>
      </c>
    </row>
    <row r="270">
      <c r="A270" s="8" t="inlineStr">
        <is>
          <t>PEND-84D460AFE38D-A001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108803</t>
        </is>
      </c>
      <c r="F270" s="8" t="inlineStr">
        <is>
          <t>GRAVAMEN LEY 25413 S/CRED</t>
        </is>
      </c>
      <c r="G270" s="8" t="inlineStr">
        <is>
          <t>Anticipo Ganancias Ley 25.413 créditos</t>
        </is>
      </c>
      <c r="H270" s="8" t="inlineStr">
        <is>
          <t>Anticipo Impuesto a las Ganancias</t>
        </is>
      </c>
      <c r="I270" s="9" t="n">
        <v>145.58</v>
      </c>
      <c r="J270" s="9" t="inlineStr"/>
      <c r="K270" s="8" t="inlineStr">
        <is>
          <t>Copiar en Flexxus: Tipo=MB-EXT | Movimiento=GRAVAMEN LEY 25.413 S/CRED | Monto=145,58 | Fecha: 27/04/2026</t>
        </is>
      </c>
    </row>
    <row r="271">
      <c r="A271" s="8" t="inlineStr">
        <is>
          <t>PEND-3852F852D99F-A001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108802</t>
        </is>
      </c>
      <c r="F271" s="8" t="inlineStr">
        <is>
          <t>INGRESOS BRUTOS MENDOZA</t>
        </is>
      </c>
      <c r="G271" s="8" t="inlineStr">
        <is>
          <t>Retención Ingresos Brutos Mendoza</t>
        </is>
      </c>
      <c r="H271" s="8" t="inlineStr">
        <is>
          <t>Retención de Ingresos Brutos</t>
        </is>
      </c>
      <c r="I271" s="9" t="n">
        <v>381.27</v>
      </c>
      <c r="J271" s="9" t="inlineStr"/>
      <c r="K271" s="8" t="inlineStr">
        <is>
          <t>Copiar en Flexxus: Tipo=MB-EXT | Movimiento=INGRESOS BRUTOS MENDOZA | Monto=381,27 | Fecha: 27/04/2026</t>
        </is>
      </c>
    </row>
    <row r="272">
      <c r="A272" s="8" t="inlineStr">
        <is>
          <t>PEND-F69C33F19186-A001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108802</t>
        </is>
      </c>
      <c r="F272" s="8" t="inlineStr">
        <is>
          <t>GRAVAMEN LEY 25413 S/CRED</t>
        </is>
      </c>
      <c r="G272" s="8" t="inlineStr">
        <is>
          <t>Anticipo Ganancias Ley 25.413 créditos</t>
        </is>
      </c>
      <c r="H272" s="8" t="inlineStr">
        <is>
          <t>Anticipo Impuesto a las Ganancias</t>
        </is>
      </c>
      <c r="I272" s="9" t="n">
        <v>228.76</v>
      </c>
      <c r="J272" s="9" t="inlineStr"/>
      <c r="K272" s="8" t="inlineStr">
        <is>
          <t>Copiar en Flexxus: Tipo=MB-EXT | Movimiento=GRAVAMEN LEY 25.413 S/CRED | Monto=228,76 | Fecha: 27/04/2026</t>
        </is>
      </c>
    </row>
    <row r="273">
      <c r="A273" s="8" t="inlineStr">
        <is>
          <t>PEND-FA89BC97A7FD-A001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108801</t>
        </is>
      </c>
      <c r="F273" s="8" t="inlineStr">
        <is>
          <t>INGRESOS BRUTOS MENDOZA</t>
        </is>
      </c>
      <c r="G273" s="8" t="inlineStr">
        <is>
          <t>Retención Ingresos Brutos Mendoza</t>
        </is>
      </c>
      <c r="H273" s="8" t="inlineStr">
        <is>
          <t>Retención de Ingresos Brutos</t>
        </is>
      </c>
      <c r="I273" s="9" t="n">
        <v>89.13</v>
      </c>
      <c r="J273" s="9" t="inlineStr"/>
      <c r="K273" s="8" t="inlineStr">
        <is>
          <t>Copiar en Flexxus: Tipo=MB-EXT | Movimiento=INGRESOS BRUTOS MENDOZA | Monto=89,13 | Fecha: 27/04/2026</t>
        </is>
      </c>
    </row>
    <row r="274">
      <c r="A274" s="8" t="inlineStr">
        <is>
          <t>PEND-191498268959-A001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108801</t>
        </is>
      </c>
      <c r="F274" s="8" t="inlineStr">
        <is>
          <t>GRAVAMEN LEY 25413 S/CRED</t>
        </is>
      </c>
      <c r="G274" s="8" t="inlineStr">
        <is>
          <t>Anticipo Ganancias Ley 25.413 créditos</t>
        </is>
      </c>
      <c r="H274" s="8" t="inlineStr">
        <is>
          <t>Anticipo Impuesto a las Ganancias</t>
        </is>
      </c>
      <c r="I274" s="9" t="n">
        <v>53.48</v>
      </c>
      <c r="J274" s="9" t="inlineStr"/>
      <c r="K274" s="8" t="inlineStr">
        <is>
          <t>Copiar en Flexxus: Tipo=MB-EXT | Movimiento=GRAVAMEN LEY 25.413 S/CRED | Monto=53,48 | Fecha: 27/04/2026</t>
        </is>
      </c>
    </row>
    <row r="275">
      <c r="A275" s="8" t="inlineStr">
        <is>
          <t>PEND-A6AC36865E73-A001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108800</t>
        </is>
      </c>
      <c r="F275" s="8" t="inlineStr">
        <is>
          <t>INGRESOS BRUTOS MENDOZA</t>
        </is>
      </c>
      <c r="G275" s="8" t="inlineStr">
        <is>
          <t>Retención Ingresos Brutos Mendoza</t>
        </is>
      </c>
      <c r="H275" s="8" t="inlineStr">
        <is>
          <t>Retención de Ingresos Brutos</t>
        </is>
      </c>
      <c r="I275" s="9" t="n">
        <v>44.56</v>
      </c>
      <c r="J275" s="9" t="inlineStr"/>
      <c r="K275" s="8" t="inlineStr">
        <is>
          <t>Copiar en Flexxus: Tipo=MB-EXT | Movimiento=INGRESOS BRUTOS MENDOZA | Monto=44,56 | Fecha: 27/04/2026</t>
        </is>
      </c>
    </row>
    <row r="276">
      <c r="A276" s="8" t="inlineStr">
        <is>
          <t>PEND-948AC6F99DD4-A001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108800</t>
        </is>
      </c>
      <c r="F276" s="8" t="inlineStr">
        <is>
          <t>GRAVAMEN LEY 25413 S/CRED</t>
        </is>
      </c>
      <c r="G276" s="8" t="inlineStr">
        <is>
          <t>Anticipo Ganancias Ley 25.413 créditos</t>
        </is>
      </c>
      <c r="H276" s="8" t="inlineStr">
        <is>
          <t>Anticipo Impuesto a las Ganancias</t>
        </is>
      </c>
      <c r="I276" s="9" t="n">
        <v>26.74</v>
      </c>
      <c r="J276" s="9" t="inlineStr"/>
      <c r="K276" s="8" t="inlineStr">
        <is>
          <t>Copiar en Flexxus: Tipo=MB-EXT | Movimiento=GRAVAMEN LEY 25.413 S/CRED | Monto=26,74 | Fecha: 27/04/2026</t>
        </is>
      </c>
    </row>
    <row r="277">
      <c r="A277" s="8" t="inlineStr">
        <is>
          <t>PEND-7AB8C358DCF9-A001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108799</t>
        </is>
      </c>
      <c r="F277" s="8" t="inlineStr">
        <is>
          <t>INGRESOS BRUTOS MENDOZA</t>
        </is>
      </c>
      <c r="G277" s="8" t="inlineStr">
        <is>
          <t>Retención Ingresos Brutos Mendoza</t>
        </is>
      </c>
      <c r="H277" s="8" t="inlineStr">
        <is>
          <t>Retención de Ingresos Brutos</t>
        </is>
      </c>
      <c r="I277" s="9" t="n">
        <v>89.13</v>
      </c>
      <c r="J277" s="9" t="inlineStr"/>
      <c r="K277" s="8" t="inlineStr">
        <is>
          <t>Copiar en Flexxus: Tipo=MB-EXT | Movimiento=INGRESOS BRUTOS MENDOZA | Monto=89,13 | Fecha: 27/04/2026</t>
        </is>
      </c>
    </row>
    <row r="278">
      <c r="A278" s="8" t="inlineStr">
        <is>
          <t>PEND-98B40BD572B8-A001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108799</t>
        </is>
      </c>
      <c r="F278" s="8" t="inlineStr">
        <is>
          <t>GRAVAMEN LEY 25413 S/CRED</t>
        </is>
      </c>
      <c r="G278" s="8" t="inlineStr">
        <is>
          <t>Anticipo Ganancias Ley 25.413 créditos</t>
        </is>
      </c>
      <c r="H278" s="8" t="inlineStr">
        <is>
          <t>Anticipo Impuesto a las Ganancias</t>
        </is>
      </c>
      <c r="I278" s="9" t="n">
        <v>53.48</v>
      </c>
      <c r="J278" s="9" t="inlineStr"/>
      <c r="K278" s="8" t="inlineStr">
        <is>
          <t>Copiar en Flexxus: Tipo=MB-EXT | Movimiento=GRAVAMEN LEY 25.413 S/CRED | Monto=53,48 | Fecha: 27/04/2026</t>
        </is>
      </c>
    </row>
    <row r="279">
      <c r="A279" s="8" t="inlineStr">
        <is>
          <t>PEND-7C6E9A7E614F-A001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108798</t>
        </is>
      </c>
      <c r="F279" s="8" t="inlineStr">
        <is>
          <t>INGRESOS BRUTOS MENDOZA</t>
        </is>
      </c>
      <c r="G279" s="8" t="inlineStr">
        <is>
          <t>Retención Ingresos Brutos Mendoza</t>
        </is>
      </c>
      <c r="H279" s="8" t="inlineStr">
        <is>
          <t>Retención de Ingresos Brutos</t>
        </is>
      </c>
      <c r="I279" s="9" t="n">
        <v>429.8</v>
      </c>
      <c r="J279" s="9" t="inlineStr"/>
      <c r="K279" s="8" t="inlineStr">
        <is>
          <t>Copiar en Flexxus: Tipo=MB-EXT | Movimiento=INGRESOS BRUTOS MENDOZA | Monto=429,80 | Fecha: 27/04/2026</t>
        </is>
      </c>
    </row>
    <row r="280">
      <c r="A280" s="8" t="inlineStr">
        <is>
          <t>PEND-178FD8579A9E-A001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108798</t>
        </is>
      </c>
      <c r="F280" s="8" t="inlineStr">
        <is>
          <t>GRAVAMEN LEY 25413 S/CRED</t>
        </is>
      </c>
      <c r="G280" s="8" t="inlineStr">
        <is>
          <t>Anticipo Ganancias Ley 25.413 créditos</t>
        </is>
      </c>
      <c r="H280" s="8" t="inlineStr">
        <is>
          <t>Anticipo Impuesto a las Ganancias</t>
        </is>
      </c>
      <c r="I280" s="9" t="n">
        <v>257.88</v>
      </c>
      <c r="J280" s="9" t="inlineStr"/>
      <c r="K280" s="8" t="inlineStr">
        <is>
          <t>Copiar en Flexxus: Tipo=MB-EXT | Movimiento=GRAVAMEN LEY 25.413 S/CRED | Monto=257,88 | Fecha: 27/04/2026</t>
        </is>
      </c>
    </row>
    <row r="281">
      <c r="A281" s="8" t="inlineStr">
        <is>
          <t>PEND-69D8A83DFB72-A001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108797</t>
        </is>
      </c>
      <c r="F281" s="8" t="inlineStr">
        <is>
          <t>INGRESOS BRUTOS MENDOZA</t>
        </is>
      </c>
      <c r="G281" s="8" t="inlineStr">
        <is>
          <t>Retención Ingresos Brutos Mendoza</t>
        </is>
      </c>
      <c r="H281" s="8" t="inlineStr">
        <is>
          <t>Retención de Ingresos Brutos</t>
        </is>
      </c>
      <c r="I281" s="9" t="n">
        <v>255.5</v>
      </c>
      <c r="J281" s="9" t="inlineStr"/>
      <c r="K281" s="8" t="inlineStr">
        <is>
          <t>Copiar en Flexxus: Tipo=MB-EXT | Movimiento=INGRESOS BRUTOS MENDOZA | Monto=255,50 | Fecha: 27/04/2026</t>
        </is>
      </c>
    </row>
    <row r="282">
      <c r="A282" s="8" t="inlineStr">
        <is>
          <t>PEND-83EE694324B2-A001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108797</t>
        </is>
      </c>
      <c r="F282" s="8" t="inlineStr">
        <is>
          <t>GRAVAMEN LEY 25413 S/CRED</t>
        </is>
      </c>
      <c r="G282" s="8" t="inlineStr">
        <is>
          <t>Anticipo Ganancias Ley 25.413 créditos</t>
        </is>
      </c>
      <c r="H282" s="8" t="inlineStr">
        <is>
          <t>Anticipo Impuesto a las Ganancias</t>
        </is>
      </c>
      <c r="I282" s="9" t="n">
        <v>153.3</v>
      </c>
      <c r="J282" s="9" t="inlineStr"/>
      <c r="K282" s="8" t="inlineStr">
        <is>
          <t>Copiar en Flexxus: Tipo=MB-EXT | Movimiento=GRAVAMEN LEY 25.413 S/CRED | Monto=153,30 | Fecha: 27/04/2026</t>
        </is>
      </c>
    </row>
    <row r="283">
      <c r="A283" s="8" t="inlineStr">
        <is>
          <t>PEND-E0BCEBC2BD36-A001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108796</t>
        </is>
      </c>
      <c r="F283" s="8" t="inlineStr">
        <is>
          <t>INGRESOS BRUTOS MENDOZA</t>
        </is>
      </c>
      <c r="G283" s="8" t="inlineStr">
        <is>
          <t>Retención Ingresos Brutos Mendoza</t>
        </is>
      </c>
      <c r="H283" s="8" t="inlineStr">
        <is>
          <t>Retención de Ingresos Brutos</t>
        </is>
      </c>
      <c r="I283" s="9" t="n">
        <v>780.37</v>
      </c>
      <c r="J283" s="9" t="inlineStr"/>
      <c r="K283" s="8" t="inlineStr">
        <is>
          <t>Copiar en Flexxus: Tipo=MB-EXT | Movimiento=INGRESOS BRUTOS MENDOZA | Monto=780,37 | Fecha: 27/04/2026</t>
        </is>
      </c>
    </row>
    <row r="284">
      <c r="A284" s="8" t="inlineStr">
        <is>
          <t>PEND-065A52F61748-A001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108796</t>
        </is>
      </c>
      <c r="F284" s="8" t="inlineStr">
        <is>
          <t>GRAVAMEN LEY 25413 S/CRED</t>
        </is>
      </c>
      <c r="G284" s="8" t="inlineStr">
        <is>
          <t>Anticipo Ganancias Ley 25.413 créditos</t>
        </is>
      </c>
      <c r="H284" s="8" t="inlineStr">
        <is>
          <t>Anticipo Impuesto a las Ganancias</t>
        </is>
      </c>
      <c r="I284" s="9" t="n">
        <v>468.22</v>
      </c>
      <c r="J284" s="9" t="inlineStr"/>
      <c r="K284" s="8" t="inlineStr">
        <is>
          <t>Copiar en Flexxus: Tipo=MB-EXT | Movimiento=GRAVAMEN LEY 25.413 S/CRED | Monto=468,22 | Fecha: 27/04/2026</t>
        </is>
      </c>
    </row>
    <row r="285">
      <c r="A285" s="8" t="inlineStr">
        <is>
          <t>PEND-0C3CB0846A87-A001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108795</t>
        </is>
      </c>
      <c r="F285" s="8" t="inlineStr">
        <is>
          <t>INGRESOS BRUTOS MENDOZA</t>
        </is>
      </c>
      <c r="G285" s="8" t="inlineStr">
        <is>
          <t>Retención Ingresos Brutos Mendoza</t>
        </is>
      </c>
      <c r="H285" s="8" t="inlineStr">
        <is>
          <t>Retención de Ingresos Brutos</t>
        </is>
      </c>
      <c r="I285" s="9" t="n">
        <v>843.75</v>
      </c>
      <c r="J285" s="9" t="inlineStr"/>
      <c r="K285" s="8" t="inlineStr">
        <is>
          <t>Copiar en Flexxus: Tipo=MB-EXT | Movimiento=INGRESOS BRUTOS MENDOZA | Monto=843,75 | Fecha: 27/04/2026</t>
        </is>
      </c>
    </row>
    <row r="286">
      <c r="A286" s="8" t="inlineStr">
        <is>
          <t>PEND-FFC895FC315A-A001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108795</t>
        </is>
      </c>
      <c r="F286" s="8" t="inlineStr">
        <is>
          <t>GRAVAMEN LEY 25413 S/CRED</t>
        </is>
      </c>
      <c r="G286" s="8" t="inlineStr">
        <is>
          <t>Anticipo Ganancias Ley 25.413 créditos</t>
        </is>
      </c>
      <c r="H286" s="8" t="inlineStr">
        <is>
          <t>Anticipo Impuesto a las Ganancias</t>
        </is>
      </c>
      <c r="I286" s="9" t="n">
        <v>506.25</v>
      </c>
      <c r="J286" s="9" t="inlineStr"/>
      <c r="K286" s="8" t="inlineStr">
        <is>
          <t>Copiar en Flexxus: Tipo=MB-EXT | Movimiento=GRAVAMEN LEY 25.413 S/CRED | Monto=506,25 | Fecha: 27/04/2026</t>
        </is>
      </c>
    </row>
    <row r="287">
      <c r="A287" s="8" t="inlineStr">
        <is>
          <t>PEND-272E857528E8-A001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108794</t>
        </is>
      </c>
      <c r="F287" s="8" t="inlineStr">
        <is>
          <t>INGRESOS BRUTOS MENDOZA</t>
        </is>
      </c>
      <c r="G287" s="8" t="inlineStr">
        <is>
          <t>Retención Ingresos Brutos Mendoza</t>
        </is>
      </c>
      <c r="H287" s="8" t="inlineStr">
        <is>
          <t>Retención de Ingresos Brutos</t>
        </is>
      </c>
      <c r="I287" s="9" t="n">
        <v>125.77</v>
      </c>
      <c r="J287" s="9" t="inlineStr"/>
      <c r="K287" s="8" t="inlineStr">
        <is>
          <t>Copiar en Flexxus: Tipo=MB-EXT | Movimiento=INGRESOS BRUTOS MENDOZA | Monto=125,77 | Fecha: 27/04/2026</t>
        </is>
      </c>
    </row>
    <row r="288">
      <c r="A288" s="8" t="inlineStr">
        <is>
          <t>PEND-F994CFB7D082-A001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108794</t>
        </is>
      </c>
      <c r="F288" s="8" t="inlineStr">
        <is>
          <t>GRAVAMEN LEY 25413 S/CRED</t>
        </is>
      </c>
      <c r="G288" s="8" t="inlineStr">
        <is>
          <t>Anticipo Ganancias Ley 25.413 créditos</t>
        </is>
      </c>
      <c r="H288" s="8" t="inlineStr">
        <is>
          <t>Anticipo Impuesto a las Ganancias</t>
        </is>
      </c>
      <c r="I288" s="9" t="n">
        <v>75.45999999999999</v>
      </c>
      <c r="J288" s="9" t="inlineStr"/>
      <c r="K288" s="8" t="inlineStr">
        <is>
          <t>Copiar en Flexxus: Tipo=MB-EXT | Movimiento=GRAVAMEN LEY 25.413 S/CRED | Monto=75,46 | Fecha: 27/04/2026</t>
        </is>
      </c>
    </row>
    <row r="289">
      <c r="A289" s="8" t="inlineStr">
        <is>
          <t>PEND-9048D4E25C5F-A001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108793</t>
        </is>
      </c>
      <c r="F289" s="8" t="inlineStr">
        <is>
          <t>INGRESOS BRUTOS MENDOZA</t>
        </is>
      </c>
      <c r="G289" s="8" t="inlineStr">
        <is>
          <t>Retención Ingresos Brutos Mendoza</t>
        </is>
      </c>
      <c r="H289" s="8" t="inlineStr">
        <is>
          <t>Retención de Ingresos Brutos</t>
        </is>
      </c>
      <c r="I289" s="9" t="n">
        <v>1214.13</v>
      </c>
      <c r="J289" s="9" t="inlineStr"/>
      <c r="K289" s="8" t="inlineStr">
        <is>
          <t>Copiar en Flexxus: Tipo=MB-EXT | Movimiento=INGRESOS BRUTOS MENDOZA | Monto=1.214,13 | Fecha: 27/04/2026</t>
        </is>
      </c>
    </row>
    <row r="290">
      <c r="A290" s="8" t="inlineStr">
        <is>
          <t>PEND-4D4C387896D1-A001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108793</t>
        </is>
      </c>
      <c r="F290" s="8" t="inlineStr">
        <is>
          <t>GRAVAMEN LEY 25413 S/CRED</t>
        </is>
      </c>
      <c r="G290" s="8" t="inlineStr">
        <is>
          <t>Anticipo Ganancias Ley 25.413 créditos</t>
        </is>
      </c>
      <c r="H290" s="8" t="inlineStr">
        <is>
          <t>Anticipo Impuesto a las Ganancias</t>
        </is>
      </c>
      <c r="I290" s="9" t="n">
        <v>728.48</v>
      </c>
      <c r="J290" s="9" t="inlineStr"/>
      <c r="K290" s="8" t="inlineStr">
        <is>
          <t>Copiar en Flexxus: Tipo=MB-EXT | Movimiento=GRAVAMEN LEY 25.413 S/CRED | Monto=728,48 | Fecha: 27/04/2026</t>
        </is>
      </c>
    </row>
    <row r="291">
      <c r="A291" s="8" t="inlineStr">
        <is>
          <t>PEND-AB344D8DB465-A001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108792</t>
        </is>
      </c>
      <c r="F291" s="8" t="inlineStr">
        <is>
          <t>INGRESOS BRUTOS MENDOZA</t>
        </is>
      </c>
      <c r="G291" s="8" t="inlineStr">
        <is>
          <t>Retención Ingresos Brutos Mendoza</t>
        </is>
      </c>
      <c r="H291" s="8" t="inlineStr">
        <is>
          <t>Retención de Ingresos Brutos</t>
        </is>
      </c>
      <c r="I291" s="9" t="n">
        <v>189.15</v>
      </c>
      <c r="J291" s="9" t="inlineStr"/>
      <c r="K291" s="8" t="inlineStr">
        <is>
          <t>Copiar en Flexxus: Tipo=MB-EXT | Movimiento=INGRESOS BRUTOS MENDOZA | Monto=189,15 | Fecha: 27/04/2026</t>
        </is>
      </c>
    </row>
    <row r="292">
      <c r="A292" s="8" t="inlineStr">
        <is>
          <t>PEND-EE0A08B4F62A-A001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108792</t>
        </is>
      </c>
      <c r="F292" s="8" t="inlineStr">
        <is>
          <t>GRAVAMEN LEY 25413 S/CRED</t>
        </is>
      </c>
      <c r="G292" s="8" t="inlineStr">
        <is>
          <t>Anticipo Ganancias Ley 25.413 créditos</t>
        </is>
      </c>
      <c r="H292" s="8" t="inlineStr">
        <is>
          <t>Anticipo Impuesto a las Ganancias</t>
        </is>
      </c>
      <c r="I292" s="9" t="n">
        <v>113.49</v>
      </c>
      <c r="J292" s="9" t="inlineStr"/>
      <c r="K292" s="8" t="inlineStr">
        <is>
          <t>Copiar en Flexxus: Tipo=MB-EXT | Movimiento=GRAVAMEN LEY 25.413 S/CRED | Monto=113,49 | Fecha: 27/04/2026</t>
        </is>
      </c>
    </row>
    <row r="293">
      <c r="A293" s="8" t="inlineStr">
        <is>
          <t>PEND-E00377C6213E-A001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108791</t>
        </is>
      </c>
      <c r="F293" s="8" t="inlineStr">
        <is>
          <t>INGRESOS BRUTOS MENDOZA</t>
        </is>
      </c>
      <c r="G293" s="8" t="inlineStr">
        <is>
          <t>Retención Ingresos Brutos Mendoza</t>
        </is>
      </c>
      <c r="H293" s="8" t="inlineStr">
        <is>
          <t>Retención de Ingresos Brutos</t>
        </is>
      </c>
      <c r="I293" s="9" t="n">
        <v>341.66</v>
      </c>
      <c r="J293" s="9" t="inlineStr"/>
      <c r="K293" s="8" t="inlineStr">
        <is>
          <t>Copiar en Flexxus: Tipo=MB-EXT | Movimiento=INGRESOS BRUTOS MENDOZA | Monto=341,66 | Fecha: 27/04/2026</t>
        </is>
      </c>
    </row>
    <row r="294">
      <c r="A294" s="8" t="inlineStr">
        <is>
          <t>PEND-85BC33B095DD-A001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108791</t>
        </is>
      </c>
      <c r="F294" s="8" t="inlineStr">
        <is>
          <t>GRAVAMEN LEY 25413 S/CRED</t>
        </is>
      </c>
      <c r="G294" s="8" t="inlineStr">
        <is>
          <t>Anticipo Ganancias Ley 25.413 créditos</t>
        </is>
      </c>
      <c r="H294" s="8" t="inlineStr">
        <is>
          <t>Anticipo Impuesto a las Ganancias</t>
        </is>
      </c>
      <c r="I294" s="9" t="n">
        <v>205</v>
      </c>
      <c r="J294" s="9" t="inlineStr"/>
      <c r="K294" s="8" t="inlineStr">
        <is>
          <t>Copiar en Flexxus: Tipo=MB-EXT | Movimiento=GRAVAMEN LEY 25.413 S/CRED | Monto=205,00 | Fecha: 27/04/2026</t>
        </is>
      </c>
    </row>
    <row r="295">
      <c r="A295" s="8" t="inlineStr">
        <is>
          <t>PEND-193DAA6500C3-A001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108790</t>
        </is>
      </c>
      <c r="F295" s="8" t="inlineStr">
        <is>
          <t>INGRESOS BRUTOS MENDOZA</t>
        </is>
      </c>
      <c r="G295" s="8" t="inlineStr">
        <is>
          <t>Retención Ingresos Brutos Mendoza</t>
        </is>
      </c>
      <c r="H295" s="8" t="inlineStr">
        <is>
          <t>Retención de Ingresos Brutos</t>
        </is>
      </c>
      <c r="I295" s="9" t="n">
        <v>98.04000000000001</v>
      </c>
      <c r="J295" s="9" t="inlineStr"/>
      <c r="K295" s="8" t="inlineStr">
        <is>
          <t>Copiar en Flexxus: Tipo=MB-EXT | Movimiento=INGRESOS BRUTOS MENDOZA | Monto=98,04 | Fecha: 27/04/2026</t>
        </is>
      </c>
    </row>
    <row r="296">
      <c r="A296" s="8" t="inlineStr">
        <is>
          <t>PEND-43E31EB05D61-A001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108790</t>
        </is>
      </c>
      <c r="F296" s="8" t="inlineStr">
        <is>
          <t>GRAVAMEN LEY 25413 S/CRED</t>
        </is>
      </c>
      <c r="G296" s="8" t="inlineStr">
        <is>
          <t>Anticipo Ganancias Ley 25.413 créditos</t>
        </is>
      </c>
      <c r="H296" s="8" t="inlineStr">
        <is>
          <t>Anticipo Impuesto a las Ganancias</t>
        </is>
      </c>
      <c r="I296" s="9" t="n">
        <v>58.83</v>
      </c>
      <c r="J296" s="9" t="inlineStr"/>
      <c r="K296" s="8" t="inlineStr">
        <is>
          <t>Copiar en Flexxus: Tipo=MB-EXT | Movimiento=GRAVAMEN LEY 25.413 S/CRED | Monto=58,83 | Fecha: 27/04/2026</t>
        </is>
      </c>
    </row>
    <row r="297">
      <c r="A297" s="8" t="inlineStr">
        <is>
          <t>PEND-4EAA14A6D8E8-A001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108789</t>
        </is>
      </c>
      <c r="F297" s="8" t="inlineStr">
        <is>
          <t>INGRESOS BRUTOS MENDOZA</t>
        </is>
      </c>
      <c r="G297" s="8" t="inlineStr">
        <is>
          <t>Retención Ingresos Brutos Mendoza</t>
        </is>
      </c>
      <c r="H297" s="8" t="inlineStr">
        <is>
          <t>Retención de Ingresos Brutos</t>
        </is>
      </c>
      <c r="I297" s="9" t="n">
        <v>247.58</v>
      </c>
      <c r="J297" s="9" t="inlineStr"/>
      <c r="K297" s="8" t="inlineStr">
        <is>
          <t>Copiar en Flexxus: Tipo=MB-EXT | Movimiento=INGRESOS BRUTOS MENDOZA | Monto=247,58 | Fecha: 27/04/2026</t>
        </is>
      </c>
    </row>
    <row r="298">
      <c r="A298" s="8" t="inlineStr">
        <is>
          <t>PEND-856E86024F04-A001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108789</t>
        </is>
      </c>
      <c r="F298" s="8" t="inlineStr">
        <is>
          <t>GRAVAMEN LEY 25413 S/CRED</t>
        </is>
      </c>
      <c r="G298" s="8" t="inlineStr">
        <is>
          <t>Anticipo Ganancias Ley 25.413 créditos</t>
        </is>
      </c>
      <c r="H298" s="8" t="inlineStr">
        <is>
          <t>Anticipo Impuesto a las Ganancias</t>
        </is>
      </c>
      <c r="I298" s="9" t="n">
        <v>148.55</v>
      </c>
      <c r="J298" s="9" t="inlineStr"/>
      <c r="K298" s="8" t="inlineStr">
        <is>
          <t>Copiar en Flexxus: Tipo=MB-EXT | Movimiento=GRAVAMEN LEY 25.413 S/CRED | Monto=148,55 | Fecha: 27/04/2026</t>
        </is>
      </c>
    </row>
    <row r="299">
      <c r="A299" s="8" t="inlineStr">
        <is>
          <t>PEND-DFB0CE1E430A-A001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108788</t>
        </is>
      </c>
      <c r="F299" s="8" t="inlineStr">
        <is>
          <t>INGRESOS BRUTOS MENDOZA</t>
        </is>
      </c>
      <c r="G299" s="8" t="inlineStr">
        <is>
          <t>Retención Ingresos Brutos Mendoza</t>
        </is>
      </c>
      <c r="H299" s="8" t="inlineStr">
        <is>
          <t>Retención de Ingresos Brutos</t>
        </is>
      </c>
      <c r="I299" s="9" t="n">
        <v>104.97</v>
      </c>
      <c r="J299" s="9" t="inlineStr"/>
      <c r="K299" s="8" t="inlineStr">
        <is>
          <t>Copiar en Flexxus: Tipo=MB-EXT | Movimiento=INGRESOS BRUTOS MENDOZA | Monto=104,97 | Fecha: 27/04/2026</t>
        </is>
      </c>
    </row>
    <row r="300">
      <c r="A300" s="8" t="inlineStr">
        <is>
          <t>PEND-AAAFFF96FFD4-A001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108788</t>
        </is>
      </c>
      <c r="F300" s="8" t="inlineStr">
        <is>
          <t>GRAVAMEN LEY 25413 S/CRED</t>
        </is>
      </c>
      <c r="G300" s="8" t="inlineStr">
        <is>
          <t>Anticipo Ganancias Ley 25.413 créditos</t>
        </is>
      </c>
      <c r="H300" s="8" t="inlineStr">
        <is>
          <t>Anticipo Impuesto a las Ganancias</t>
        </is>
      </c>
      <c r="I300" s="9" t="n">
        <v>62.98</v>
      </c>
      <c r="J300" s="9" t="inlineStr"/>
      <c r="K300" s="8" t="inlineStr">
        <is>
          <t>Copiar en Flexxus: Tipo=MB-EXT | Movimiento=GRAVAMEN LEY 25.413 S/CRED | Monto=62,98 | Fecha: 27/04/2026</t>
        </is>
      </c>
    </row>
    <row r="301">
      <c r="A301" s="8" t="inlineStr">
        <is>
          <t>PEND-4AEE7A1B795E-A001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108787</t>
        </is>
      </c>
      <c r="F301" s="8" t="inlineStr">
        <is>
          <t>INGRESOS BRUTOS MENDOZA</t>
        </is>
      </c>
      <c r="G301" s="8" t="inlineStr">
        <is>
          <t>Retención Ingresos Brutos Mendoza</t>
        </is>
      </c>
      <c r="H301" s="8" t="inlineStr">
        <is>
          <t>Retención de Ingresos Brutos</t>
        </is>
      </c>
      <c r="I301" s="9" t="n">
        <v>454.56</v>
      </c>
      <c r="J301" s="9" t="inlineStr"/>
      <c r="K301" s="8" t="inlineStr">
        <is>
          <t>Copiar en Flexxus: Tipo=MB-EXT | Movimiento=INGRESOS BRUTOS MENDOZA | Monto=454,56 | Fecha: 27/04/2026</t>
        </is>
      </c>
    </row>
    <row r="302">
      <c r="A302" s="8" t="inlineStr">
        <is>
          <t>PEND-F1C85895588C-A001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108787</t>
        </is>
      </c>
      <c r="F302" s="8" t="inlineStr">
        <is>
          <t>GRAVAMEN LEY 25413 S/CRED</t>
        </is>
      </c>
      <c r="G302" s="8" t="inlineStr">
        <is>
          <t>Anticipo Ganancias Ley 25.413 créditos</t>
        </is>
      </c>
      <c r="H302" s="8" t="inlineStr">
        <is>
          <t>Anticipo Impuesto a las Ganancias</t>
        </is>
      </c>
      <c r="I302" s="9" t="n">
        <v>272.73</v>
      </c>
      <c r="J302" s="9" t="inlineStr"/>
      <c r="K302" s="8" t="inlineStr">
        <is>
          <t>Copiar en Flexxus: Tipo=MB-EXT | Movimiento=GRAVAMEN LEY 25.413 S/CRED | Monto=272,73 | Fecha: 27/04/2026</t>
        </is>
      </c>
    </row>
    <row r="303">
      <c r="A303" s="8" t="inlineStr">
        <is>
          <t>PEND-696B712D6154-A001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108786</t>
        </is>
      </c>
      <c r="F303" s="8" t="inlineStr">
        <is>
          <t>INGRESOS BRUTOS MENDOZA</t>
        </is>
      </c>
      <c r="G303" s="8" t="inlineStr">
        <is>
          <t>Retención Ingresos Brutos Mendoza</t>
        </is>
      </c>
      <c r="H303" s="8" t="inlineStr">
        <is>
          <t>Retención de Ingresos Brutos</t>
        </is>
      </c>
      <c r="I303" s="9" t="n">
        <v>113.89</v>
      </c>
      <c r="J303" s="9" t="inlineStr"/>
      <c r="K303" s="8" t="inlineStr">
        <is>
          <t>Copiar en Flexxus: Tipo=MB-EXT | Movimiento=INGRESOS BRUTOS MENDOZA | Monto=113,89 | Fecha: 27/04/2026</t>
        </is>
      </c>
    </row>
    <row r="304">
      <c r="A304" s="8" t="inlineStr">
        <is>
          <t>PEND-6C11AC702BB9-A001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108786</t>
        </is>
      </c>
      <c r="F304" s="8" t="inlineStr">
        <is>
          <t>GRAVAMEN LEY 25413 S/CRED</t>
        </is>
      </c>
      <c r="G304" s="8" t="inlineStr">
        <is>
          <t>Anticipo Ganancias Ley 25.413 créditos</t>
        </is>
      </c>
      <c r="H304" s="8" t="inlineStr">
        <is>
          <t>Anticipo Impuesto a las Ganancias</t>
        </is>
      </c>
      <c r="I304" s="9" t="n">
        <v>68.33</v>
      </c>
      <c r="J304" s="9" t="inlineStr"/>
      <c r="K304" s="8" t="inlineStr">
        <is>
          <t>Copiar en Flexxus: Tipo=MB-EXT | Movimiento=GRAVAMEN LEY 25.413 S/CRED | Monto=68,33 | Fecha: 27/04/2026</t>
        </is>
      </c>
    </row>
    <row r="305">
      <c r="A305" s="8" t="inlineStr">
        <is>
          <t>PEND-1151C052366F-A001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108785</t>
        </is>
      </c>
      <c r="F305" s="8" t="inlineStr">
        <is>
          <t>INGRESOS BRUTOS MENDOZA</t>
        </is>
      </c>
      <c r="G305" s="8" t="inlineStr">
        <is>
          <t>Retención Ingresos Brutos Mendoza</t>
        </is>
      </c>
      <c r="H305" s="8" t="inlineStr">
        <is>
          <t>Retención de Ingresos Brutos</t>
        </is>
      </c>
      <c r="I305" s="9" t="n">
        <v>1066.08</v>
      </c>
      <c r="J305" s="9" t="inlineStr"/>
      <c r="K305" s="8" t="inlineStr">
        <is>
          <t>Copiar en Flexxus: Tipo=MB-EXT | Movimiento=INGRESOS BRUTOS MENDOZA | Monto=1.066,08 | Fecha: 27/04/2026</t>
        </is>
      </c>
    </row>
    <row r="306">
      <c r="A306" s="8" t="inlineStr">
        <is>
          <t>PEND-45F9A18014BE-A001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108785</t>
        </is>
      </c>
      <c r="F306" s="8" t="inlineStr">
        <is>
          <t>GRAVAMEN LEY 25413 S/CRED</t>
        </is>
      </c>
      <c r="G306" s="8" t="inlineStr">
        <is>
          <t>Anticipo Ganancias Ley 25.413 créditos</t>
        </is>
      </c>
      <c r="H306" s="8" t="inlineStr">
        <is>
          <t>Anticipo Impuesto a las Ganancias</t>
        </is>
      </c>
      <c r="I306" s="9" t="n">
        <v>639.65</v>
      </c>
      <c r="J306" s="9" t="inlineStr"/>
      <c r="K306" s="8" t="inlineStr">
        <is>
          <t>Copiar en Flexxus: Tipo=MB-EXT | Movimiento=GRAVAMEN LEY 25.413 S/CRED | Monto=639,65 | Fecha: 27/04/2026</t>
        </is>
      </c>
    </row>
    <row r="307">
      <c r="A307" s="8" t="inlineStr">
        <is>
          <t>PEND-9080D001461B-A001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108784</t>
        </is>
      </c>
      <c r="F307" s="8" t="inlineStr">
        <is>
          <t>INGRESOS BRUTOS MENDOZA</t>
        </is>
      </c>
      <c r="G307" s="8" t="inlineStr">
        <is>
          <t>Retención Ingresos Brutos Mendoza</t>
        </is>
      </c>
      <c r="H307" s="8" t="inlineStr">
        <is>
          <t>Retención de Ingresos Brutos</t>
        </is>
      </c>
      <c r="I307" s="9" t="n">
        <v>728.88</v>
      </c>
      <c r="J307" s="9" t="inlineStr"/>
      <c r="K307" s="8" t="inlineStr">
        <is>
          <t>Copiar en Flexxus: Tipo=MB-EXT | Movimiento=INGRESOS BRUTOS MENDOZA | Monto=728,88 | Fecha: 27/04/2026</t>
        </is>
      </c>
    </row>
    <row r="308">
      <c r="A308" s="8" t="inlineStr">
        <is>
          <t>PEND-16B15324D2AE-A001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108784</t>
        </is>
      </c>
      <c r="F308" s="8" t="inlineStr">
        <is>
          <t>GRAVAMEN LEY 25413 S/CRED</t>
        </is>
      </c>
      <c r="G308" s="8" t="inlineStr">
        <is>
          <t>Anticipo Ganancias Ley 25.413 créditos</t>
        </is>
      </c>
      <c r="H308" s="8" t="inlineStr">
        <is>
          <t>Anticipo Impuesto a las Ganancias</t>
        </is>
      </c>
      <c r="I308" s="9" t="n">
        <v>437.33</v>
      </c>
      <c r="J308" s="9" t="inlineStr"/>
      <c r="K308" s="8" t="inlineStr">
        <is>
          <t>Copiar en Flexxus: Tipo=MB-EXT | Movimiento=GRAVAMEN LEY 25.413 S/CRED | Monto=437,33 | Fecha: 27/04/2026</t>
        </is>
      </c>
    </row>
    <row r="309">
      <c r="A309" s="8" t="inlineStr">
        <is>
          <t>PEND-61182E7A4EF0-A001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108783</t>
        </is>
      </c>
      <c r="F309" s="8" t="inlineStr">
        <is>
          <t>INGRESOS BRUTOS MENDOZA</t>
        </is>
      </c>
      <c r="G309" s="8" t="inlineStr">
        <is>
          <t>Retención Ingresos Brutos Mendoza</t>
        </is>
      </c>
      <c r="H309" s="8" t="inlineStr">
        <is>
          <t>Retención de Ingresos Brutos</t>
        </is>
      </c>
      <c r="I309" s="9" t="n">
        <v>315.42</v>
      </c>
      <c r="J309" s="9" t="inlineStr"/>
      <c r="K309" s="8" t="inlineStr">
        <is>
          <t>Copiar en Flexxus: Tipo=MB-EXT | Movimiento=INGRESOS BRUTOS MENDOZA | Monto=315,42 | Fecha: 27/04/2026</t>
        </is>
      </c>
    </row>
    <row r="310">
      <c r="A310" s="8" t="inlineStr">
        <is>
          <t>PEND-E7EF01C551A3-A001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108783</t>
        </is>
      </c>
      <c r="F310" s="8" t="inlineStr">
        <is>
          <t>GRAVAMEN LEY 25413 S/CRED</t>
        </is>
      </c>
      <c r="G310" s="8" t="inlineStr">
        <is>
          <t>Anticipo Ganancias Ley 25.413 créditos</t>
        </is>
      </c>
      <c r="H310" s="8" t="inlineStr">
        <is>
          <t>Anticipo Impuesto a las Ganancias</t>
        </is>
      </c>
      <c r="I310" s="9" t="n">
        <v>189.25</v>
      </c>
      <c r="J310" s="9" t="inlineStr"/>
      <c r="K310" s="8" t="inlineStr">
        <is>
          <t>Copiar en Flexxus: Tipo=MB-EXT | Movimiento=GRAVAMEN LEY 25.413 S/CRED | Monto=189,25 | Fecha: 27/04/2026</t>
        </is>
      </c>
    </row>
    <row r="311">
      <c r="A311" s="8" t="inlineStr">
        <is>
          <t>PEND-A1598A0AF5FE-A001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108782</t>
        </is>
      </c>
      <c r="F311" s="8" t="inlineStr">
        <is>
          <t>INGRESOS BRUTOS MENDOZA</t>
        </is>
      </c>
      <c r="G311" s="8" t="inlineStr">
        <is>
          <t>Retención Ingresos Brutos Mendoza</t>
        </is>
      </c>
      <c r="H311" s="8" t="inlineStr">
        <is>
          <t>Retención de Ingresos Brutos</t>
        </is>
      </c>
      <c r="I311" s="9" t="n">
        <v>630.83</v>
      </c>
      <c r="J311" s="9" t="inlineStr"/>
      <c r="K311" s="8" t="inlineStr">
        <is>
          <t>Copiar en Flexxus: Tipo=MB-EXT | Movimiento=INGRESOS BRUTOS MENDOZA | Monto=630,83 | Fecha: 27/04/2026</t>
        </is>
      </c>
    </row>
    <row r="312">
      <c r="A312" s="8" t="inlineStr">
        <is>
          <t>PEND-9ADC81A6494A-A001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108782</t>
        </is>
      </c>
      <c r="F312" s="8" t="inlineStr">
        <is>
          <t>GRAVAMEN LEY 25413 S/CRED</t>
        </is>
      </c>
      <c r="G312" s="8" t="inlineStr">
        <is>
          <t>Anticipo Ganancias Ley 25.413 créditos</t>
        </is>
      </c>
      <c r="H312" s="8" t="inlineStr">
        <is>
          <t>Anticipo Impuesto a las Ganancias</t>
        </is>
      </c>
      <c r="I312" s="9" t="n">
        <v>378.5</v>
      </c>
      <c r="J312" s="9" t="inlineStr"/>
      <c r="K312" s="8" t="inlineStr">
        <is>
          <t>Copiar en Flexxus: Tipo=MB-EXT | Movimiento=GRAVAMEN LEY 25.413 S/CRED | Monto=378,50 | Fecha: 27/04/2026</t>
        </is>
      </c>
    </row>
    <row r="313">
      <c r="A313" s="8" t="inlineStr">
        <is>
          <t>PEND-13556158C1AB-A001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108781</t>
        </is>
      </c>
      <c r="F313" s="8" t="inlineStr">
        <is>
          <t>INGRESOS BRUTOS MENDOZA</t>
        </is>
      </c>
      <c r="G313" s="8" t="inlineStr">
        <is>
          <t>Retención Ingresos Brutos Mendoza</t>
        </is>
      </c>
      <c r="H313" s="8" t="inlineStr">
        <is>
          <t>Retención de Ingresos Brutos</t>
        </is>
      </c>
      <c r="I313" s="9" t="n">
        <v>578.35</v>
      </c>
      <c r="J313" s="9" t="inlineStr"/>
      <c r="K313" s="8" t="inlineStr">
        <is>
          <t>Copiar en Flexxus: Tipo=MB-EXT | Movimiento=INGRESOS BRUTOS MENDOZA | Monto=578,35 | Fecha: 27/04/2026</t>
        </is>
      </c>
    </row>
    <row r="314">
      <c r="A314" s="8" t="inlineStr">
        <is>
          <t>PEND-430B9F510052-A001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108781</t>
        </is>
      </c>
      <c r="F314" s="8" t="inlineStr">
        <is>
          <t>GRAVAMEN LEY 25413 S/CRED</t>
        </is>
      </c>
      <c r="G314" s="8" t="inlineStr">
        <is>
          <t>Anticipo Ganancias Ley 25.413 créditos</t>
        </is>
      </c>
      <c r="H314" s="8" t="inlineStr">
        <is>
          <t>Anticipo Impuesto a las Ganancias</t>
        </is>
      </c>
      <c r="I314" s="9" t="n">
        <v>347.01</v>
      </c>
      <c r="J314" s="9" t="inlineStr"/>
      <c r="K314" s="8" t="inlineStr">
        <is>
          <t>Copiar en Flexxus: Tipo=MB-EXT | Movimiento=GRAVAMEN LEY 25.413 S/CRED | Monto=347,01 | Fecha: 27/04/2026</t>
        </is>
      </c>
    </row>
    <row r="315">
      <c r="A315" s="8" t="inlineStr">
        <is>
          <t>PEND-B0D9BECD84B2-A001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108780</t>
        </is>
      </c>
      <c r="F315" s="8" t="inlineStr">
        <is>
          <t>INGRESOS BRUTOS MENDOZA</t>
        </is>
      </c>
      <c r="G315" s="8" t="inlineStr">
        <is>
          <t>Retención Ingresos Brutos Mendoza</t>
        </is>
      </c>
      <c r="H315" s="8" t="inlineStr">
        <is>
          <t>Retención de Ingresos Brutos</t>
        </is>
      </c>
      <c r="I315" s="9" t="n">
        <v>659.55</v>
      </c>
      <c r="J315" s="9" t="inlineStr"/>
      <c r="K315" s="8" t="inlineStr">
        <is>
          <t>Copiar en Flexxus: Tipo=MB-EXT | Movimiento=INGRESOS BRUTOS MENDOZA | Monto=659,55 | Fecha: 27/04/2026</t>
        </is>
      </c>
    </row>
    <row r="316">
      <c r="A316" s="8" t="inlineStr">
        <is>
          <t>PEND-7953228046DD-A001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108780</t>
        </is>
      </c>
      <c r="F316" s="8" t="inlineStr">
        <is>
          <t>GRAVAMEN LEY 25413 S/CRED</t>
        </is>
      </c>
      <c r="G316" s="8" t="inlineStr">
        <is>
          <t>Anticipo Ganancias Ley 25.413 créditos</t>
        </is>
      </c>
      <c r="H316" s="8" t="inlineStr">
        <is>
          <t>Anticipo Impuesto a las Ganancias</t>
        </is>
      </c>
      <c r="I316" s="9" t="n">
        <v>395.73</v>
      </c>
      <c r="J316" s="9" t="inlineStr"/>
      <c r="K316" s="8" t="inlineStr">
        <is>
          <t>Copiar en Flexxus: Tipo=MB-EXT | Movimiento=GRAVAMEN LEY 25.413 S/CRED | Monto=395,73 | Fecha: 27/04/2026</t>
        </is>
      </c>
    </row>
    <row r="317">
      <c r="A317" s="8" t="inlineStr">
        <is>
          <t>PEND-F541EC993B51-A001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108779</t>
        </is>
      </c>
      <c r="F317" s="8" t="inlineStr">
        <is>
          <t>INGRESOS BRUTOS MENDOZA</t>
        </is>
      </c>
      <c r="G317" s="8" t="inlineStr">
        <is>
          <t>Retención Ingresos Brutos Mendoza</t>
        </is>
      </c>
      <c r="H317" s="8" t="inlineStr">
        <is>
          <t>Retención de Ingresos Brutos</t>
        </is>
      </c>
      <c r="I317" s="9" t="n">
        <v>122.8</v>
      </c>
      <c r="J317" s="9" t="inlineStr"/>
      <c r="K317" s="8" t="inlineStr">
        <is>
          <t>Copiar en Flexxus: Tipo=MB-EXT | Movimiento=INGRESOS BRUTOS MENDOZA | Monto=122,80 | Fecha: 27/04/2026</t>
        </is>
      </c>
    </row>
    <row r="318">
      <c r="A318" s="8" t="inlineStr">
        <is>
          <t>PEND-AA347C99BFC0-A001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108779</t>
        </is>
      </c>
      <c r="F318" s="8" t="inlineStr">
        <is>
          <t>GRAVAMEN LEY 25413 S/CRED</t>
        </is>
      </c>
      <c r="G318" s="8" t="inlineStr">
        <is>
          <t>Anticipo Ganancias Ley 25.413 créditos</t>
        </is>
      </c>
      <c r="H318" s="8" t="inlineStr">
        <is>
          <t>Anticipo Impuesto a las Ganancias</t>
        </is>
      </c>
      <c r="I318" s="9" t="n">
        <v>73.68000000000001</v>
      </c>
      <c r="J318" s="9" t="inlineStr"/>
      <c r="K318" s="8" t="inlineStr">
        <is>
          <t>Copiar en Flexxus: Tipo=MB-EXT | Movimiento=GRAVAMEN LEY 25.413 S/CRED | Monto=73,68 | Fecha: 27/04/2026</t>
        </is>
      </c>
    </row>
    <row r="319">
      <c r="A319" s="8" t="inlineStr">
        <is>
          <t>PEND-8237B6FF11AB-A001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108778</t>
        </is>
      </c>
      <c r="F319" s="8" t="inlineStr">
        <is>
          <t>INGRESOS BRUTOS MENDOZA</t>
        </is>
      </c>
      <c r="G319" s="8" t="inlineStr">
        <is>
          <t>Retención Ingresos Brutos Mendoza</t>
        </is>
      </c>
      <c r="H319" s="8" t="inlineStr">
        <is>
          <t>Retención de Ingresos Brutos</t>
        </is>
      </c>
      <c r="I319" s="9" t="n">
        <v>331.76</v>
      </c>
      <c r="J319" s="9" t="inlineStr"/>
      <c r="K319" s="8" t="inlineStr">
        <is>
          <t>Copiar en Flexxus: Tipo=MB-EXT | Movimiento=INGRESOS BRUTOS MENDOZA | Monto=331,76 | Fecha: 27/04/2026</t>
        </is>
      </c>
    </row>
    <row r="320">
      <c r="A320" s="8" t="inlineStr">
        <is>
          <t>PEND-B83B1784C1BF-A001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108778</t>
        </is>
      </c>
      <c r="F320" s="8" t="inlineStr">
        <is>
          <t>GRAVAMEN LEY 25413 S/CRED</t>
        </is>
      </c>
      <c r="G320" s="8" t="inlineStr">
        <is>
          <t>Anticipo Ganancias Ley 25.413 créditos</t>
        </is>
      </c>
      <c r="H320" s="8" t="inlineStr">
        <is>
          <t>Anticipo Impuesto a las Ganancias</t>
        </is>
      </c>
      <c r="I320" s="9" t="n">
        <v>199.05</v>
      </c>
      <c r="J320" s="9" t="inlineStr"/>
      <c r="K320" s="8" t="inlineStr">
        <is>
          <t>Copiar en Flexxus: Tipo=MB-EXT | Movimiento=GRAVAMEN LEY 25.413 S/CRED | Monto=199,05 | Fecha: 27/04/2026</t>
        </is>
      </c>
    </row>
    <row r="321">
      <c r="A321" s="8" t="inlineStr">
        <is>
          <t>PEND-8D055DF451EE-A001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108777</t>
        </is>
      </c>
      <c r="F321" s="8" t="inlineStr">
        <is>
          <t>INGRESOS BRUTOS MENDOZA</t>
        </is>
      </c>
      <c r="G321" s="8" t="inlineStr">
        <is>
          <t>Retención Ingresos Brutos Mendoza</t>
        </is>
      </c>
      <c r="H321" s="8" t="inlineStr">
        <is>
          <t>Retención de Ingresos Brutos</t>
        </is>
      </c>
      <c r="I321" s="9" t="n">
        <v>331.76</v>
      </c>
      <c r="J321" s="9" t="inlineStr"/>
      <c r="K321" s="8" t="inlineStr">
        <is>
          <t>Copiar en Flexxus: Tipo=MB-EXT | Movimiento=INGRESOS BRUTOS MENDOZA | Monto=331,76 | Fecha: 27/04/2026</t>
        </is>
      </c>
    </row>
    <row r="322">
      <c r="A322" s="8" t="inlineStr">
        <is>
          <t>PEND-5B6D5BAE6A3C-A001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108777</t>
        </is>
      </c>
      <c r="F322" s="8" t="inlineStr">
        <is>
          <t>GRAVAMEN LEY 25413 S/CRED</t>
        </is>
      </c>
      <c r="G322" s="8" t="inlineStr">
        <is>
          <t>Anticipo Ganancias Ley 25.413 créditos</t>
        </is>
      </c>
      <c r="H322" s="8" t="inlineStr">
        <is>
          <t>Anticipo Impuesto a las Ganancias</t>
        </is>
      </c>
      <c r="I322" s="9" t="n">
        <v>199.05</v>
      </c>
      <c r="J322" s="9" t="inlineStr"/>
      <c r="K322" s="8" t="inlineStr">
        <is>
          <t>Copiar en Flexxus: Tipo=MB-EXT | Movimiento=GRAVAMEN LEY 25.413 S/CRED | Monto=199,05 | Fecha: 27/04/2026</t>
        </is>
      </c>
    </row>
    <row r="323">
      <c r="A323" s="8" t="inlineStr">
        <is>
          <t>PEND-B977B7940F3C-A001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108776</t>
        </is>
      </c>
      <c r="F323" s="8" t="inlineStr">
        <is>
          <t>INGRESOS BRUTOS MENDOZA</t>
        </is>
      </c>
      <c r="G323" s="8" t="inlineStr">
        <is>
          <t>Retención Ingresos Brutos Mendoza</t>
        </is>
      </c>
      <c r="H323" s="8" t="inlineStr">
        <is>
          <t>Retención de Ingresos Brutos</t>
        </is>
      </c>
      <c r="I323" s="9" t="n">
        <v>131.71</v>
      </c>
      <c r="J323" s="9" t="inlineStr"/>
      <c r="K323" s="8" t="inlineStr">
        <is>
          <t>Copiar en Flexxus: Tipo=MB-EXT | Movimiento=INGRESOS BRUTOS MENDOZA | Monto=131,71 | Fecha: 27/04/2026</t>
        </is>
      </c>
    </row>
    <row r="324">
      <c r="A324" s="8" t="inlineStr">
        <is>
          <t>PEND-DE43F438F144-A001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108776</t>
        </is>
      </c>
      <c r="F324" s="8" t="inlineStr">
        <is>
          <t>GRAVAMEN LEY 25413 S/CRED</t>
        </is>
      </c>
      <c r="G324" s="8" t="inlineStr">
        <is>
          <t>Anticipo Ganancias Ley 25.413 créditos</t>
        </is>
      </c>
      <c r="H324" s="8" t="inlineStr">
        <is>
          <t>Anticipo Impuesto a las Ganancias</t>
        </is>
      </c>
      <c r="I324" s="9" t="n">
        <v>79.03</v>
      </c>
      <c r="J324" s="9" t="inlineStr"/>
      <c r="K324" s="8" t="inlineStr">
        <is>
          <t>Copiar en Flexxus: Tipo=MB-EXT | Movimiento=GRAVAMEN LEY 25.413 S/CRED | Monto=79,03 | Fecha: 27/04/2026</t>
        </is>
      </c>
    </row>
    <row r="325">
      <c r="A325" s="8" t="inlineStr">
        <is>
          <t>PEND-014C3176583B-A001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108775</t>
        </is>
      </c>
      <c r="F325" s="8" t="inlineStr">
        <is>
          <t>INGRESOS BRUTOS MENDOZA</t>
        </is>
      </c>
      <c r="G325" s="8" t="inlineStr">
        <is>
          <t>Retención Ingresos Brutos Mendoza</t>
        </is>
      </c>
      <c r="H325" s="8" t="inlineStr">
        <is>
          <t>Retención de Ingresos Brutos</t>
        </is>
      </c>
      <c r="I325" s="9" t="n">
        <v>626.87</v>
      </c>
      <c r="J325" s="9" t="inlineStr"/>
      <c r="K325" s="8" t="inlineStr">
        <is>
          <t>Copiar en Flexxus: Tipo=MB-EXT | Movimiento=INGRESOS BRUTOS MENDOZA | Monto=626,87 | Fecha: 27/04/2026</t>
        </is>
      </c>
    </row>
    <row r="326">
      <c r="A326" s="8" t="inlineStr">
        <is>
          <t>PEND-F6143F5D772F-A001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108775</t>
        </is>
      </c>
      <c r="F326" s="8" t="inlineStr">
        <is>
          <t>GRAVAMEN LEY 25413 S/CRED</t>
        </is>
      </c>
      <c r="G326" s="8" t="inlineStr">
        <is>
          <t>Anticipo Ganancias Ley 25.413 créditos</t>
        </is>
      </c>
      <c r="H326" s="8" t="inlineStr">
        <is>
          <t>Anticipo Impuesto a las Ganancias</t>
        </is>
      </c>
      <c r="I326" s="9" t="n">
        <v>376.12</v>
      </c>
      <c r="J326" s="9" t="inlineStr"/>
      <c r="K326" s="8" t="inlineStr">
        <is>
          <t>Copiar en Flexxus: Tipo=MB-EXT | Movimiento=GRAVAMEN LEY 25.413 S/CRED | Monto=376,12 | Fecha: 27/04/2026</t>
        </is>
      </c>
    </row>
    <row r="327">
      <c r="A327" s="8" t="inlineStr">
        <is>
          <t>PEND-C97AEB341046-A001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108774</t>
        </is>
      </c>
      <c r="F327" s="8" t="inlineStr">
        <is>
          <t>INGRESOS BRUTOS MENDOZA</t>
        </is>
      </c>
      <c r="G327" s="8" t="inlineStr">
        <is>
          <t>Retención Ingresos Brutos Mendoza</t>
        </is>
      </c>
      <c r="H327" s="8" t="inlineStr">
        <is>
          <t>Retención de Ingresos Brutos</t>
        </is>
      </c>
      <c r="I327" s="9" t="n">
        <v>755.61</v>
      </c>
      <c r="J327" s="9" t="inlineStr"/>
      <c r="K327" s="8" t="inlineStr">
        <is>
          <t>Copiar en Flexxus: Tipo=MB-EXT | Movimiento=INGRESOS BRUTOS MENDOZA | Monto=755,61 | Fecha: 27/04/2026</t>
        </is>
      </c>
    </row>
    <row r="328">
      <c r="A328" s="8" t="inlineStr">
        <is>
          <t>PEND-62DE2A4369C7-A001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108774</t>
        </is>
      </c>
      <c r="F328" s="8" t="inlineStr">
        <is>
          <t>GRAVAMEN LEY 25413 S/CRED</t>
        </is>
      </c>
      <c r="G328" s="8" t="inlineStr">
        <is>
          <t>Anticipo Ganancias Ley 25.413 créditos</t>
        </is>
      </c>
      <c r="H328" s="8" t="inlineStr">
        <is>
          <t>Anticipo Impuesto a las Ganancias</t>
        </is>
      </c>
      <c r="I328" s="9" t="n">
        <v>453.37</v>
      </c>
      <c r="J328" s="9" t="inlineStr"/>
      <c r="K328" s="8" t="inlineStr">
        <is>
          <t>Copiar en Flexxus: Tipo=MB-EXT | Movimiento=GRAVAMEN LEY 25.413 S/CRED | Monto=453,37 | Fecha: 27/04/2026</t>
        </is>
      </c>
    </row>
    <row r="329">
      <c r="A329" s="8" t="inlineStr">
        <is>
          <t>PEND-6E098A426B62-A001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108773</t>
        </is>
      </c>
      <c r="F329" s="8" t="inlineStr">
        <is>
          <t>INGRESOS BRUTOS MENDOZA</t>
        </is>
      </c>
      <c r="G329" s="8" t="inlineStr">
        <is>
          <t>Retención Ingresos Brutos Mendoza</t>
        </is>
      </c>
      <c r="H329" s="8" t="inlineStr">
        <is>
          <t>Retención de Ingresos Brutos</t>
        </is>
      </c>
      <c r="I329" s="9" t="n">
        <v>84.18000000000001</v>
      </c>
      <c r="J329" s="9" t="inlineStr"/>
      <c r="K329" s="8" t="inlineStr">
        <is>
          <t>Copiar en Flexxus: Tipo=MB-EXT | Movimiento=INGRESOS BRUTOS MENDOZA | Monto=84,18 | Fecha: 27/04/2026</t>
        </is>
      </c>
    </row>
    <row r="330">
      <c r="A330" s="8" t="inlineStr">
        <is>
          <t>PEND-832B5954CE4D-A001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108773</t>
        </is>
      </c>
      <c r="F330" s="8" t="inlineStr">
        <is>
          <t>GRAVAMEN LEY 25413 S/CRED</t>
        </is>
      </c>
      <c r="G330" s="8" t="inlineStr">
        <is>
          <t>Anticipo Ganancias Ley 25.413 créditos</t>
        </is>
      </c>
      <c r="H330" s="8" t="inlineStr">
        <is>
          <t>Anticipo Impuesto a las Ganancias</t>
        </is>
      </c>
      <c r="I330" s="9" t="n">
        <v>50.51</v>
      </c>
      <c r="J330" s="9" t="inlineStr"/>
      <c r="K330" s="8" t="inlineStr">
        <is>
          <t>Copiar en Flexxus: Tipo=MB-EXT | Movimiento=GRAVAMEN LEY 25.413 S/CRED | Monto=50,51 | Fecha: 27/04/2026</t>
        </is>
      </c>
    </row>
    <row r="331">
      <c r="A331" s="8" t="inlineStr">
        <is>
          <t>PEND-06CD60E593A1-A001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108772</t>
        </is>
      </c>
      <c r="F331" s="8" t="inlineStr">
        <is>
          <t>INGRESOS BRUTOS MENDOZA</t>
        </is>
      </c>
      <c r="G331" s="8" t="inlineStr">
        <is>
          <t>Retención Ingresos Brutos Mendoza</t>
        </is>
      </c>
      <c r="H331" s="8" t="inlineStr">
        <is>
          <t>Retención de Ingresos Brutos</t>
        </is>
      </c>
      <c r="I331" s="9" t="n">
        <v>44.56</v>
      </c>
      <c r="J331" s="9" t="inlineStr"/>
      <c r="K331" s="8" t="inlineStr">
        <is>
          <t>Copiar en Flexxus: Tipo=MB-EXT | Movimiento=INGRESOS BRUTOS MENDOZA | Monto=44,56 | Fecha: 27/04/2026</t>
        </is>
      </c>
    </row>
    <row r="332">
      <c r="A332" s="8" t="inlineStr">
        <is>
          <t>PEND-09B940E60ABC-A001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GRAVAMEN LEY 25413 S/CRED</t>
        </is>
      </c>
      <c r="G332" s="8" t="inlineStr">
        <is>
          <t>Anticipo Ganancias Ley 25.413 créditos</t>
        </is>
      </c>
      <c r="H332" s="8" t="inlineStr">
        <is>
          <t>Anticipo Impuesto a las Ganancias</t>
        </is>
      </c>
      <c r="I332" s="9" t="n">
        <v>26.74</v>
      </c>
      <c r="J332" s="9" t="inlineStr"/>
      <c r="K332" s="8" t="inlineStr">
        <is>
          <t>Copiar en Flexxus: Tipo=MB-EXT | Movimiento=GRAVAMEN LEY 25.413 S/CRED | Monto=26,74 | Fecha: 27/04/2026</t>
        </is>
      </c>
    </row>
    <row r="333">
      <c r="A333" s="8" t="inlineStr">
        <is>
          <t>PEND-DC3A19B8E43F-A001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108771</t>
        </is>
      </c>
      <c r="F333" s="8" t="inlineStr">
        <is>
          <t>INGRESOS BRUTOS MENDOZA</t>
        </is>
      </c>
      <c r="G333" s="8" t="inlineStr">
        <is>
          <t>Retención Ingresos Brutos Mendoza</t>
        </is>
      </c>
      <c r="H333" s="8" t="inlineStr">
        <is>
          <t>Retención de Ingresos Brutos</t>
        </is>
      </c>
      <c r="I333" s="9" t="n">
        <v>459.51</v>
      </c>
      <c r="J333" s="9" t="inlineStr"/>
      <c r="K333" s="8" t="inlineStr">
        <is>
          <t>Copiar en Flexxus: Tipo=MB-EXT | Movimiento=INGRESOS BRUTOS MENDOZA | Monto=459,51 | Fecha: 27/04/2026</t>
        </is>
      </c>
    </row>
    <row r="334">
      <c r="A334" s="8" t="inlineStr">
        <is>
          <t>PEND-DA2EE209C4E0-A001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108771</t>
        </is>
      </c>
      <c r="F334" s="8" t="inlineStr">
        <is>
          <t>GRAVAMEN LEY 25413 S/CRED</t>
        </is>
      </c>
      <c r="G334" s="8" t="inlineStr">
        <is>
          <t>Anticipo Ganancias Ley 25.413 créditos</t>
        </is>
      </c>
      <c r="H334" s="8" t="inlineStr">
        <is>
          <t>Anticipo Impuesto a las Ganancias</t>
        </is>
      </c>
      <c r="I334" s="9" t="n">
        <v>275.71</v>
      </c>
      <c r="J334" s="9" t="inlineStr"/>
      <c r="K334" s="8" t="inlineStr">
        <is>
          <t>Copiar en Flexxus: Tipo=MB-EXT | Movimiento=GRAVAMEN LEY 25.413 S/CRED | Monto=275,71 | Fecha: 27/04/2026</t>
        </is>
      </c>
    </row>
    <row r="335">
      <c r="A335" s="8" t="inlineStr">
        <is>
          <t>PEND-19A32B74E3F8-A001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108770</t>
        </is>
      </c>
      <c r="F335" s="8" t="inlineStr">
        <is>
          <t>INGRESOS BRUTOS MENDOZA</t>
        </is>
      </c>
      <c r="G335" s="8" t="inlineStr">
        <is>
          <t>Retención Ingresos Brutos Mendoza</t>
        </is>
      </c>
      <c r="H335" s="8" t="inlineStr">
        <is>
          <t>Retención de Ingresos Brutos</t>
        </is>
      </c>
      <c r="I335" s="9" t="n">
        <v>524.87</v>
      </c>
      <c r="J335" s="9" t="inlineStr"/>
      <c r="K335" s="8" t="inlineStr">
        <is>
          <t>Copiar en Flexxus: Tipo=MB-EXT | Movimiento=INGRESOS BRUTOS MENDOZA | Monto=524,87 | Fecha: 27/04/2026</t>
        </is>
      </c>
    </row>
    <row r="336">
      <c r="A336" s="8" t="inlineStr">
        <is>
          <t>PEND-5069378194E0-A001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108770</t>
        </is>
      </c>
      <c r="F336" s="8" t="inlineStr">
        <is>
          <t>GRAVAMEN LEY 25413 S/CRED</t>
        </is>
      </c>
      <c r="G336" s="8" t="inlineStr">
        <is>
          <t>Anticipo Ganancias Ley 25.413 créditos</t>
        </is>
      </c>
      <c r="H336" s="8" t="inlineStr">
        <is>
          <t>Anticipo Impuesto a las Ganancias</t>
        </is>
      </c>
      <c r="I336" s="9" t="n">
        <v>314.92</v>
      </c>
      <c r="J336" s="9" t="inlineStr"/>
      <c r="K336" s="8" t="inlineStr">
        <is>
          <t>Copiar en Flexxus: Tipo=MB-EXT | Movimiento=GRAVAMEN LEY 25.413 S/CRED | Monto=314,92 | Fecha: 27/04/2026</t>
        </is>
      </c>
    </row>
    <row r="337">
      <c r="A337" s="8" t="inlineStr">
        <is>
          <t>PEND-D97C5CDCE983-A001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108769</t>
        </is>
      </c>
      <c r="F337" s="8" t="inlineStr">
        <is>
          <t>INGRESOS BRUTOS MENDOZA</t>
        </is>
      </c>
      <c r="G337" s="8" t="inlineStr">
        <is>
          <t>Retención Ingresos Brutos Mendoza</t>
        </is>
      </c>
      <c r="H337" s="8" t="inlineStr">
        <is>
          <t>Retención de Ingresos Brutos</t>
        </is>
      </c>
      <c r="I337" s="9" t="n">
        <v>77.25</v>
      </c>
      <c r="J337" s="9" t="inlineStr"/>
      <c r="K337" s="8" t="inlineStr">
        <is>
          <t>Copiar en Flexxus: Tipo=MB-EXT | Movimiento=INGRESOS BRUTOS MENDOZA | Monto=77,25 | Fecha: 27/04/2026</t>
        </is>
      </c>
    </row>
    <row r="338">
      <c r="A338" s="8" t="inlineStr">
        <is>
          <t>PEND-AE8EDF9569F7-A001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108769</t>
        </is>
      </c>
      <c r="F338" s="8" t="inlineStr">
        <is>
          <t>GRAVAMEN LEY 25413 S/CRED</t>
        </is>
      </c>
      <c r="G338" s="8" t="inlineStr">
        <is>
          <t>Anticipo Ganancias Ley 25.413 créditos</t>
        </is>
      </c>
      <c r="H338" s="8" t="inlineStr">
        <is>
          <t>Anticipo Impuesto a las Ganancias</t>
        </is>
      </c>
      <c r="I338" s="9" t="n">
        <v>46.35</v>
      </c>
      <c r="J338" s="9" t="inlineStr"/>
      <c r="K338" s="8" t="inlineStr">
        <is>
          <t>Copiar en Flexxus: Tipo=MB-EXT | Movimiento=GRAVAMEN LEY 25.413 S/CRED | Monto=46,35 | Fecha: 27/04/2026</t>
        </is>
      </c>
    </row>
    <row r="339">
      <c r="A339" s="8" t="inlineStr">
        <is>
          <t>PEND-6250B9FB6854-A001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108768</t>
        </is>
      </c>
      <c r="F339" s="8" t="inlineStr">
        <is>
          <t>INGRESOS BRUTOS MENDOZA</t>
        </is>
      </c>
      <c r="G339" s="8" t="inlineStr">
        <is>
          <t>Retención Ingresos Brutos Mendoza</t>
        </is>
      </c>
      <c r="H339" s="8" t="inlineStr">
        <is>
          <t>Retención de Ingresos Brutos</t>
        </is>
      </c>
      <c r="I339" s="9" t="n">
        <v>94.08</v>
      </c>
      <c r="J339" s="9" t="inlineStr"/>
      <c r="K339" s="8" t="inlineStr">
        <is>
          <t>Copiar en Flexxus: Tipo=MB-EXT | Movimiento=INGRESOS BRUTOS MENDOZA | Monto=94,08 | Fecha: 27/04/2026</t>
        </is>
      </c>
    </row>
    <row r="340">
      <c r="A340" s="8" t="inlineStr">
        <is>
          <t>PEND-C262E4561BAC-A001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108768</t>
        </is>
      </c>
      <c r="F340" s="8" t="inlineStr">
        <is>
          <t>GRAVAMEN LEY 25413 S/CRED</t>
        </is>
      </c>
      <c r="G340" s="8" t="inlineStr">
        <is>
          <t>Anticipo Ganancias Ley 25.413 créditos</t>
        </is>
      </c>
      <c r="H340" s="8" t="inlineStr">
        <is>
          <t>Anticipo Impuesto a las Ganancias</t>
        </is>
      </c>
      <c r="I340" s="9" t="n">
        <v>56.45</v>
      </c>
      <c r="J340" s="9" t="inlineStr"/>
      <c r="K340" s="8" t="inlineStr">
        <is>
          <t>Copiar en Flexxus: Tipo=MB-EXT | Movimiento=GRAVAMEN LEY 25.413 S/CRED | Monto=56,45 | Fecha: 27/04/2026</t>
        </is>
      </c>
    </row>
    <row r="341">
      <c r="A341" s="8" t="inlineStr">
        <is>
          <t>PEND-1022ECDD6465-A001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108767</t>
        </is>
      </c>
      <c r="F341" s="8" t="inlineStr">
        <is>
          <t>INGRESOS BRUTOS MENDOZA</t>
        </is>
      </c>
      <c r="G341" s="8" t="inlineStr">
        <is>
          <t>Retención Ingresos Brutos Mendoza</t>
        </is>
      </c>
      <c r="H341" s="8" t="inlineStr">
        <is>
          <t>Retención de Ingresos Brutos</t>
        </is>
      </c>
      <c r="I341" s="9" t="n">
        <v>133.69</v>
      </c>
      <c r="J341" s="9" t="inlineStr"/>
      <c r="K341" s="8" t="inlineStr">
        <is>
          <t>Copiar en Flexxus: Tipo=MB-EXT | Movimiento=INGRESOS BRUTOS MENDOZA | Monto=133,69 | Fecha: 27/04/2026</t>
        </is>
      </c>
    </row>
    <row r="342">
      <c r="A342" s="8" t="inlineStr">
        <is>
          <t>PEND-86763E79069D-A001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GRAVAMEN LEY 25413 S/CRED</t>
        </is>
      </c>
      <c r="G342" s="8" t="inlineStr">
        <is>
          <t>Anticipo Ganancias Ley 25.413 créditos</t>
        </is>
      </c>
      <c r="H342" s="8" t="inlineStr">
        <is>
          <t>Anticipo Impuesto a las Ganancias</t>
        </is>
      </c>
      <c r="I342" s="9" t="n">
        <v>80.22</v>
      </c>
      <c r="J342" s="9" t="inlineStr"/>
      <c r="K342" s="8" t="inlineStr">
        <is>
          <t>Copiar en Flexxus: Tipo=MB-EXT | Movimiento=GRAVAMEN LEY 25.413 S/CRED | Monto=80,22 | Fecha: 27/04/2026</t>
        </is>
      </c>
    </row>
    <row r="343">
      <c r="A343" s="8" t="inlineStr">
        <is>
          <t>PEND-333EFC82FC00-A001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108766</t>
        </is>
      </c>
      <c r="F343" s="8" t="inlineStr">
        <is>
          <t>INGRESOS BRUTOS MENDOZA</t>
        </is>
      </c>
      <c r="G343" s="8" t="inlineStr">
        <is>
          <t>Retención Ingresos Brutos Mendoza</t>
        </is>
      </c>
      <c r="H343" s="8" t="inlineStr">
        <is>
          <t>Retención de Ingresos Brutos</t>
        </is>
      </c>
      <c r="I343" s="9" t="n">
        <v>227.77</v>
      </c>
      <c r="J343" s="9" t="inlineStr"/>
      <c r="K343" s="8" t="inlineStr">
        <is>
          <t>Copiar en Flexxus: Tipo=MB-EXT | Movimiento=INGRESOS BRUTOS MENDOZA | Monto=227,77 | Fecha: 27/04/2026</t>
        </is>
      </c>
    </row>
    <row r="344">
      <c r="A344" s="8" t="inlineStr">
        <is>
          <t>PEND-51D6F64164E3-A001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108766</t>
        </is>
      </c>
      <c r="F344" s="8" t="inlineStr">
        <is>
          <t>GRAVAMEN LEY 25413 S/CRED</t>
        </is>
      </c>
      <c r="G344" s="8" t="inlineStr">
        <is>
          <t>Anticipo Ganancias Ley 25.413 créditos</t>
        </is>
      </c>
      <c r="H344" s="8" t="inlineStr">
        <is>
          <t>Anticipo Impuesto a las Ganancias</t>
        </is>
      </c>
      <c r="I344" s="9" t="n">
        <v>136.66</v>
      </c>
      <c r="J344" s="9" t="inlineStr"/>
      <c r="K344" s="8" t="inlineStr">
        <is>
          <t>Copiar en Flexxus: Tipo=MB-EXT | Movimiento=GRAVAMEN LEY 25.413 S/CRED | Monto=136,66 | Fecha: 27/04/2026</t>
        </is>
      </c>
    </row>
    <row r="345">
      <c r="A345" s="8" t="inlineStr">
        <is>
          <t>PEND-3074D7391E79-A001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108765</t>
        </is>
      </c>
      <c r="F345" s="8" t="inlineStr">
        <is>
          <t>INGRESOS BRUTOS MENDOZA</t>
        </is>
      </c>
      <c r="G345" s="8" t="inlineStr">
        <is>
          <t>Retención Ingresos Brutos Mendoza</t>
        </is>
      </c>
      <c r="H345" s="8" t="inlineStr">
        <is>
          <t>Retención de Ingresos Brutos</t>
        </is>
      </c>
      <c r="I345" s="9" t="n">
        <v>267.39</v>
      </c>
      <c r="J345" s="9" t="inlineStr"/>
      <c r="K345" s="8" t="inlineStr">
        <is>
          <t>Copiar en Flexxus: Tipo=MB-EXT | Movimiento=INGRESOS BRUTOS MENDOZA | Monto=267,39 | Fecha: 27/04/2026</t>
        </is>
      </c>
    </row>
    <row r="346">
      <c r="A346" s="8" t="inlineStr">
        <is>
          <t>PEND-E0DD6BAD9E9C-A001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108765</t>
        </is>
      </c>
      <c r="F346" s="8" t="inlineStr">
        <is>
          <t>GRAVAMEN LEY 25413 S/CRED</t>
        </is>
      </c>
      <c r="G346" s="8" t="inlineStr">
        <is>
          <t>Anticipo Ganancias Ley 25.413 créditos</t>
        </is>
      </c>
      <c r="H346" s="8" t="inlineStr">
        <is>
          <t>Anticipo Impuesto a las Ganancias</t>
        </is>
      </c>
      <c r="I346" s="9" t="n">
        <v>160.43</v>
      </c>
      <c r="J346" s="9" t="inlineStr"/>
      <c r="K346" s="8" t="inlineStr">
        <is>
          <t>Copiar en Flexxus: Tipo=MB-EXT | Movimiento=GRAVAMEN LEY 25.413 S/CRED | Monto=160,43 | Fecha: 27/04/2026</t>
        </is>
      </c>
    </row>
    <row r="347">
      <c r="A347" s="8" t="inlineStr">
        <is>
          <t>PEND-80538D71D012-A001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108764</t>
        </is>
      </c>
      <c r="F347" s="8" t="inlineStr">
        <is>
          <t>INGRESOS BRUTOS MENDOZA</t>
        </is>
      </c>
      <c r="G347" s="8" t="inlineStr">
        <is>
          <t>Retención Ingresos Brutos Mendoza</t>
        </is>
      </c>
      <c r="H347" s="8" t="inlineStr">
        <is>
          <t>Retención de Ingresos Brutos</t>
        </is>
      </c>
      <c r="I347" s="9" t="n">
        <v>133.69</v>
      </c>
      <c r="J347" s="9" t="inlineStr"/>
      <c r="K347" s="8" t="inlineStr">
        <is>
          <t>Copiar en Flexxus: Tipo=MB-EXT | Movimiento=INGRESOS BRUTOS MENDOZA | Monto=133,69 | Fecha: 27/04/2026</t>
        </is>
      </c>
    </row>
    <row r="348">
      <c r="A348" s="8" t="inlineStr">
        <is>
          <t>PEND-D507ABE2E4D7-A001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108764</t>
        </is>
      </c>
      <c r="F348" s="8" t="inlineStr">
        <is>
          <t>GRAVAMEN LEY 25413 S/CRED</t>
        </is>
      </c>
      <c r="G348" s="8" t="inlineStr">
        <is>
          <t>Anticipo Ganancias Ley 25.413 créditos</t>
        </is>
      </c>
      <c r="H348" s="8" t="inlineStr">
        <is>
          <t>Anticipo Impuesto a las Ganancias</t>
        </is>
      </c>
      <c r="I348" s="9" t="n">
        <v>80.22</v>
      </c>
      <c r="J348" s="9" t="inlineStr"/>
      <c r="K348" s="8" t="inlineStr">
        <is>
          <t>Copiar en Flexxus: Tipo=MB-EXT | Movimiento=GRAVAMEN LEY 25.413 S/CRED | Monto=80,22 | Fecha: 27/04/2026</t>
        </is>
      </c>
    </row>
    <row r="349">
      <c r="A349" s="8" t="inlineStr">
        <is>
          <t>PEND-DB776A85B8CB-A001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108763</t>
        </is>
      </c>
      <c r="F349" s="8" t="inlineStr">
        <is>
          <t>INGRESOS BRUTOS MENDOZA</t>
        </is>
      </c>
      <c r="G349" s="8" t="inlineStr">
        <is>
          <t>Retención Ingresos Brutos Mendoza</t>
        </is>
      </c>
      <c r="H349" s="8" t="inlineStr">
        <is>
          <t>Retención de Ingresos Brutos</t>
        </is>
      </c>
      <c r="I349" s="9" t="n">
        <v>506.05</v>
      </c>
      <c r="J349" s="9" t="inlineStr"/>
      <c r="K349" s="8" t="inlineStr">
        <is>
          <t>Copiar en Flexxus: Tipo=MB-EXT | Movimiento=INGRESOS BRUTOS MENDOZA | Monto=506,05 | Fecha: 27/04/2026</t>
        </is>
      </c>
    </row>
    <row r="350">
      <c r="A350" s="8" t="inlineStr">
        <is>
          <t>PEND-8895F5DF7603-A001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108763</t>
        </is>
      </c>
      <c r="F350" s="8" t="inlineStr">
        <is>
          <t>GRAVAMEN LEY 25413 S/CRED</t>
        </is>
      </c>
      <c r="G350" s="8" t="inlineStr">
        <is>
          <t>Anticipo Ganancias Ley 25.413 créditos</t>
        </is>
      </c>
      <c r="H350" s="8" t="inlineStr">
        <is>
          <t>Anticipo Impuesto a las Ganancias</t>
        </is>
      </c>
      <c r="I350" s="9" t="n">
        <v>303.63</v>
      </c>
      <c r="J350" s="9" t="inlineStr"/>
      <c r="K350" s="8" t="inlineStr">
        <is>
          <t>Copiar en Flexxus: Tipo=MB-EXT | Movimiento=GRAVAMEN LEY 25.413 S/CRED | Monto=303,63 | Fecha: 27/04/2026</t>
        </is>
      </c>
    </row>
    <row r="351">
      <c r="A351" s="8" t="inlineStr">
        <is>
          <t>PEND-31B7B48BE405-A001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108762</t>
        </is>
      </c>
      <c r="F351" s="8" t="inlineStr">
        <is>
          <t>INGRESOS BRUTOS MENDOZA</t>
        </is>
      </c>
      <c r="G351" s="8" t="inlineStr">
        <is>
          <t>Retención Ingresos Brutos Mendoza</t>
        </is>
      </c>
      <c r="H351" s="8" t="inlineStr">
        <is>
          <t>Retención de Ingresos Brutos</t>
        </is>
      </c>
      <c r="I351" s="9" t="n">
        <v>1093.31</v>
      </c>
      <c r="J351" s="9" t="inlineStr"/>
      <c r="K351" s="8" t="inlineStr">
        <is>
          <t>Copiar en Flexxus: Tipo=MB-EXT | Movimiento=INGRESOS BRUTOS MENDOZA | Monto=1.093,31 | Fecha: 27/04/2026</t>
        </is>
      </c>
    </row>
    <row r="352">
      <c r="A352" s="8" t="inlineStr">
        <is>
          <t>PEND-155978B972C0-A001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108762</t>
        </is>
      </c>
      <c r="F352" s="8" t="inlineStr">
        <is>
          <t>GRAVAMEN LEY 25413 S/CRED</t>
        </is>
      </c>
      <c r="G352" s="8" t="inlineStr">
        <is>
          <t>Anticipo Ganancias Ley 25.413 créditos</t>
        </is>
      </c>
      <c r="H352" s="8" t="inlineStr">
        <is>
          <t>Anticipo Impuesto a las Ganancias</t>
        </is>
      </c>
      <c r="I352" s="9" t="n">
        <v>655.99</v>
      </c>
      <c r="J352" s="9" t="inlineStr"/>
      <c r="K352" s="8" t="inlineStr">
        <is>
          <t>Copiar en Flexxus: Tipo=MB-EXT | Movimiento=GRAVAMEN LEY 25.413 S/CRED | Monto=655,99 | Fecha: 27/04/2026</t>
        </is>
      </c>
    </row>
    <row r="353">
      <c r="A353" s="8" t="inlineStr">
        <is>
          <t>PEND-9DC7167ED0B3-A001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108761</t>
        </is>
      </c>
      <c r="F353" s="8" t="inlineStr">
        <is>
          <t>INGRESOS BRUTOS MENDOZA</t>
        </is>
      </c>
      <c r="G353" s="8" t="inlineStr">
        <is>
          <t>Retención Ingresos Brutos Mendoza</t>
        </is>
      </c>
      <c r="H353" s="8" t="inlineStr">
        <is>
          <t>Retención de Ingresos Brutos</t>
        </is>
      </c>
      <c r="I353" s="9" t="n">
        <v>401.08</v>
      </c>
      <c r="J353" s="9" t="inlineStr"/>
      <c r="K353" s="8" t="inlineStr">
        <is>
          <t>Copiar en Flexxus: Tipo=MB-EXT | Movimiento=INGRESOS BRUTOS MENDOZA | Monto=401,08 | Fecha: 27/04/2026</t>
        </is>
      </c>
    </row>
    <row r="354">
      <c r="A354" s="8" t="inlineStr">
        <is>
          <t>PEND-A21640D32FBD-A001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108761</t>
        </is>
      </c>
      <c r="F354" s="8" t="inlineStr">
        <is>
          <t>GRAVAMEN LEY 25413 S/CRED</t>
        </is>
      </c>
      <c r="G354" s="8" t="inlineStr">
        <is>
          <t>Anticipo Ganancias Ley 25.413 créditos</t>
        </is>
      </c>
      <c r="H354" s="8" t="inlineStr">
        <is>
          <t>Anticipo Impuesto a las Ganancias</t>
        </is>
      </c>
      <c r="I354" s="9" t="n">
        <v>240.65</v>
      </c>
      <c r="J354" s="9" t="inlineStr"/>
      <c r="K354" s="8" t="inlineStr">
        <is>
          <t>Copiar en Flexxus: Tipo=MB-EXT | Movimiento=GRAVAMEN LEY 25.413 S/CRED | Monto=240,65 | Fecha: 27/04/2026</t>
        </is>
      </c>
    </row>
    <row r="355">
      <c r="A355" s="8" t="inlineStr">
        <is>
          <t>PEND-AD2D007C705D-A001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108760</t>
        </is>
      </c>
      <c r="F355" s="8" t="inlineStr">
        <is>
          <t>INGRESOS BRUTOS MENDOZA</t>
        </is>
      </c>
      <c r="G355" s="8" t="inlineStr">
        <is>
          <t>Retención Ingresos Brutos Mendoza</t>
        </is>
      </c>
      <c r="H355" s="8" t="inlineStr">
        <is>
          <t>Retención de Ingresos Brutos</t>
        </is>
      </c>
      <c r="I355" s="9" t="n">
        <v>336.71</v>
      </c>
      <c r="J355" s="9" t="inlineStr"/>
      <c r="K355" s="8" t="inlineStr">
        <is>
          <t>Copiar en Flexxus: Tipo=MB-EXT | Movimiento=INGRESOS BRUTOS MENDOZA | Monto=336,71 | Fecha: 27/04/2026</t>
        </is>
      </c>
    </row>
    <row r="356">
      <c r="A356" s="8" t="inlineStr">
        <is>
          <t>PEND-B3C0B3FBC4FA-A001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108760</t>
        </is>
      </c>
      <c r="F356" s="8" t="inlineStr">
        <is>
          <t>GRAVAMEN LEY 25413 S/CRED</t>
        </is>
      </c>
      <c r="G356" s="8" t="inlineStr">
        <is>
          <t>Anticipo Ganancias Ley 25.413 créditos</t>
        </is>
      </c>
      <c r="H356" s="8" t="inlineStr">
        <is>
          <t>Anticipo Impuesto a las Ganancias</t>
        </is>
      </c>
      <c r="I356" s="9" t="n">
        <v>202.03</v>
      </c>
      <c r="J356" s="9" t="inlineStr"/>
      <c r="K356" s="8" t="inlineStr">
        <is>
          <t>Copiar en Flexxus: Tipo=MB-EXT | Movimiento=GRAVAMEN LEY 25.413 S/CRED | Monto=202,03 | Fecha: 27/04/2026</t>
        </is>
      </c>
    </row>
    <row r="357">
      <c r="A357" s="8" t="inlineStr">
        <is>
          <t>PEND-AA0A7F36A389-A001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108756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1494.39</v>
      </c>
      <c r="J357" s="9" t="inlineStr"/>
      <c r="K357" s="8" t="inlineStr">
        <is>
          <t>Copiar en Flexxus: Tipo=MB-EXT | Movimiento=INGRESOS BRUTOS MENDOZA | Monto=1.494,39 | Fecha: 27/04/2026</t>
        </is>
      </c>
    </row>
    <row r="358">
      <c r="A358" s="8" t="inlineStr">
        <is>
          <t>PEND-12F1867F83B4-A001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108756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896.64</v>
      </c>
      <c r="J358" s="9" t="inlineStr"/>
      <c r="K358" s="8" t="inlineStr">
        <is>
          <t>Copiar en Flexxus: Tipo=MB-EXT | Movimiento=GRAVAMEN LEY 25.413 S/CRED | Monto=896,64 | Fecha: 27/04/2026</t>
        </is>
      </c>
    </row>
    <row r="359">
      <c r="A359" s="8" t="inlineStr">
        <is>
          <t>PEND-0BC9BCD4BCB8-A001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108755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68.33</v>
      </c>
      <c r="J359" s="9" t="inlineStr"/>
      <c r="K359" s="8" t="inlineStr">
        <is>
          <t>Copiar en Flexxus: Tipo=MB-EXT | Movimiento=INGRESOS BRUTOS MENDOZA | Monto=68,33 | Fecha: 27/04/2026</t>
        </is>
      </c>
    </row>
    <row r="360">
      <c r="A360" s="8" t="inlineStr">
        <is>
          <t>PEND-9A33B4803E37-A001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108755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41</v>
      </c>
      <c r="J360" s="9" t="inlineStr"/>
      <c r="K360" s="8" t="inlineStr">
        <is>
          <t>Copiar en Flexxus: Tipo=MB-EXT | Movimiento=GRAVAMEN LEY 25.413 S/CRED | Monto=41,00 | Fecha: 27/04/2026</t>
        </is>
      </c>
    </row>
    <row r="361">
      <c r="A361" s="8" t="inlineStr">
        <is>
          <t>PEND-A467979A5D06-A001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1136.89</v>
      </c>
      <c r="J361" s="9" t="inlineStr"/>
      <c r="K361" s="8" t="inlineStr">
        <is>
          <t>Copiar en Flexxus: Tipo=MB-EXT | Movimiento=INGRESOS BRUTOS MENDOZA | Monto=1.136,89 | Fecha: 27/04/2026</t>
        </is>
      </c>
    </row>
    <row r="362">
      <c r="A362" s="8" t="inlineStr">
        <is>
          <t>PEND-54B0008E4E43-A001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682.13</v>
      </c>
      <c r="J362" s="9" t="inlineStr"/>
      <c r="K362" s="8" t="inlineStr">
        <is>
          <t>Copiar en Flexxus: Tipo=MB-EXT | Movimiento=GRAVAMEN LEY 25.413 S/CRED | Monto=682,13 | Fecha: 27/04/2026</t>
        </is>
      </c>
    </row>
    <row r="363">
      <c r="A363" s="8" t="inlineStr">
        <is>
          <t>PEND-84AE2B66FD24-A001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108880</t>
        </is>
      </c>
      <c r="F363" s="8" t="inlineStr">
        <is>
          <t>I.V.A. BASE</t>
        </is>
      </c>
      <c r="G363" s="8" t="inlineStr">
        <is>
          <t>IVA base / IVA sobre gastos</t>
        </is>
      </c>
      <c r="H363" s="8" t="inlineStr">
        <is>
          <t>IVA crédito fiscal / revisar</t>
        </is>
      </c>
      <c r="I363" s="9" t="n">
        <v>200.76</v>
      </c>
      <c r="J363" s="9" t="inlineStr"/>
      <c r="K363" s="8" t="inlineStr">
        <is>
          <t>Copiar en Flexxus: Tipo=MB-EXT | Movimiento=I.V.A. BASE | Monto=200,76 | Fecha: 27/04/2026</t>
        </is>
      </c>
    </row>
    <row r="364">
      <c r="A364" s="8" t="inlineStr">
        <is>
          <t>PEND-C0BE3804D45E-A001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108879</t>
        </is>
      </c>
      <c r="F364" s="8" t="inlineStr">
        <is>
          <t>COM TRANSFE ELECTRONICA</t>
        </is>
      </c>
      <c r="G364" s="8" t="inlineStr">
        <is>
          <t>Gasto bancario / comisión</t>
        </is>
      </c>
      <c r="H364" s="8" t="inlineStr">
        <is>
          <t>Revisar según concepto</t>
        </is>
      </c>
      <c r="I364" s="9" t="n">
        <v>956</v>
      </c>
      <c r="J364" s="9" t="inlineStr"/>
      <c r="K364" s="8" t="inlineStr">
        <is>
          <t>Copiar en Flexxus: Tipo=MB-EXT | Movimiento=COM TRANSFE ELECTRONICA | Monto=956,00 | Fecha: 27/04/2026</t>
        </is>
      </c>
    </row>
    <row r="365">
      <c r="A365" s="8" t="inlineStr">
        <is>
          <t>PEND-55A697A3357A-A001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32032899</t>
        </is>
      </c>
      <c r="F365" s="8" t="inlineStr">
        <is>
          <t>DEB LIQ MASTERCARD 24H</t>
        </is>
      </c>
      <c r="G365" s="8" t="inlineStr">
        <is>
          <t>Débito liquidación tarjeta</t>
        </is>
      </c>
      <c r="H365" s="8" t="inlineStr">
        <is>
          <t>Revisar según concepto</t>
        </is>
      </c>
      <c r="I365" s="9" t="n">
        <v>145.75</v>
      </c>
      <c r="J365" s="9" t="inlineStr"/>
      <c r="K365" s="8" t="inlineStr">
        <is>
          <t>Copiar en Flexxus: Tipo=MB-EXT | Movimiento=DEB LIQ MASTERCARD 24H | Monto=145,75 | Fecha: 27/04/2026</t>
        </is>
      </c>
    </row>
    <row r="366">
      <c r="A366" s="8" t="inlineStr">
        <is>
          <t>PEND-876ACEE1212D-A001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29841670</t>
        </is>
      </c>
      <c r="F366" s="8" t="inlineStr">
        <is>
          <t>DEB LIQ MASTERCARD 24H</t>
        </is>
      </c>
      <c r="G366" s="8" t="inlineStr">
        <is>
          <t>Débito liquidación tarjeta</t>
        </is>
      </c>
      <c r="H366" s="8" t="inlineStr">
        <is>
          <t>Revisar según concepto</t>
        </is>
      </c>
      <c r="I366" s="9" t="n">
        <v>24.86</v>
      </c>
      <c r="J366" s="9" t="inlineStr"/>
      <c r="K366" s="8" t="inlineStr">
        <is>
          <t>Copiar en Flexxus: Tipo=MB-EXT | Movimiento=DEB LIQ MASTERCARD 24H | Monto=24,86 | Fecha: 27/04/2026</t>
        </is>
      </c>
    </row>
    <row r="367">
      <c r="A367" s="8" t="inlineStr">
        <is>
          <t>PEND-104B629E539D-A001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108759</t>
        </is>
      </c>
      <c r="F367" s="8" t="inlineStr">
        <is>
          <t>PAGO CON TRANSFERENCIA</t>
        </is>
      </c>
      <c r="G367" s="8" t="inlineStr">
        <is>
          <t>Otro</t>
        </is>
      </c>
      <c r="H367" s="8" t="inlineStr">
        <is>
          <t>Revisar según concepto</t>
        </is>
      </c>
      <c r="I367" s="9" t="n">
        <v>0.01</v>
      </c>
      <c r="J367" s="9" t="inlineStr"/>
      <c r="K367" s="8" t="inlineStr">
        <is>
          <t>Registrar asiento / revisar según concepto</t>
        </is>
      </c>
    </row>
    <row r="368">
      <c r="A368" s="8" t="inlineStr">
        <is>
          <t>PEND-0B94CEBFAEEC-A001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29841705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0.26</v>
      </c>
      <c r="J368" s="9" t="inlineStr"/>
      <c r="K368" s="8" t="inlineStr">
        <is>
          <t>Copiar en Flexxus: Tipo=MB-EXT | Movimiento=GRAVAMEN LEY 25.413 S/DEB | Monto=0,26 | Fecha: 27/04/2026</t>
        </is>
      </c>
    </row>
    <row r="369">
      <c r="A369" s="8" t="inlineStr">
        <is>
          <t>PEND-D18F9388236E-A001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27/04/2026</t>
        </is>
      </c>
      <c r="E369" s="8" t="inlineStr">
        <is>
          <t>108842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3.6</v>
      </c>
      <c r="J369" s="9" t="inlineStr"/>
      <c r="K369" s="8" t="inlineStr">
        <is>
          <t>Copiar en Flexxus: Tipo=MB-EXT | Movimiento=GRAVAMEN LEY 25.413 S/DEB | Monto=3,60 | Fecha: 27/04/2026</t>
        </is>
      </c>
    </row>
    <row r="370">
      <c r="A370" s="8" t="inlineStr">
        <is>
          <t>PEND-A64BB20153FF-A001</t>
        </is>
      </c>
      <c r="B370" s="8" t="inlineStr">
        <is>
          <t>CONTROL_CONTINUIDAD_MENOR</t>
        </is>
      </c>
      <c r="C370" s="8" t="inlineStr">
        <is>
          <t>Banco egreso no Flexxus</t>
        </is>
      </c>
      <c r="D370" s="8" t="inlineStr">
        <is>
          <t>27/04/2026</t>
        </is>
      </c>
      <c r="E370" s="8" t="inlineStr">
        <is>
          <t>CTRL-CONTINUIDAD</t>
        </is>
      </c>
      <c r="F370" s="8" t="inlineStr">
        <is>
          <t>Diferencia técnica menor de continuidad/extracto bancario</t>
        </is>
      </c>
      <c r="G370" s="8" t="inlineStr">
        <is>
          <t>Ajuste menor redondeo/extracto</t>
        </is>
      </c>
      <c r="H370" s="8" t="inlineStr">
        <is>
          <t>Revisar según concepto</t>
        </is>
      </c>
      <c r="I370" s="9" t="n">
        <v>3.6</v>
      </c>
      <c r="J370" s="9" t="inlineStr"/>
      <c r="K370" s="8" t="inlineStr">
        <is>
          <t>Registrar asiento / revisar según concepto</t>
        </is>
      </c>
    </row>
  </sheetData>
  <autoFilter ref="A1:K3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25" customWidth="1" min="4" max="4"/>
    <col width="16" customWidth="1" min="5" max="5"/>
    <col width="45" customWidth="1" min="6" max="6"/>
    <col width="14" customWidth="1" min="7" max="7"/>
    <col width="13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PEND-6F07B64EC69E-A001</t>
        </is>
      </c>
      <c r="B3" s="8" t="inlineStr">
        <is>
          <t>FLEXXUS_NO_BANCO</t>
        </is>
      </c>
      <c r="C3" s="8" t="inlineStr">
        <is>
          <t>27/04/2026</t>
        </is>
      </c>
      <c r="D3" s="8" t="inlineStr">
        <is>
          <t>TRANSFERENCIA_ENTRANTE</t>
        </is>
      </c>
      <c r="E3" s="8" t="inlineStr">
        <is>
          <t>4062494</t>
        </is>
      </c>
      <c r="F3" s="8" t="inlineStr">
        <is>
          <t>C BE TR O/BCO-DIS TIT IBK - CUIT/CUIL: 30715221159</t>
        </is>
      </c>
      <c r="G3" s="8" t="inlineStr"/>
      <c r="H3" s="9" t="n">
        <v>2835184.03</v>
      </c>
      <c r="I3" s="8" t="inlineStr">
        <is>
          <t>Regularización Pedidos Ya anterior contra transferencia entrante; sin QR ni tarjeta</t>
        </is>
      </c>
    </row>
    <row r="4">
      <c r="A4" s="8" t="inlineStr">
        <is>
          <t>PEND-1EB6C7B76431-A001,PEND-3F217B5F1BC4-A001,PEND-1F2E88A08DF5-A001,PEND-357613CBA6A6-A001,PEND-15010E76C1EB-A001,PEND-AB156F51A39C-A001,PEND-3D4AB39323AF-A001,PEND-D9920795D5A3-A001,PEND-1AE525CAFE75-A001,PEND-A5244E531DB5-A001,PEND-CE306F3E88B9-A001,PEND-2D48C5FB545B-A001,PEND-1B019F204C34-A001,PEND-00095D39B1AE-A001,PEND-FBE01687E70F-A001,PEND-6FE937B5AFEB-A001,PEND-31EFF87E331A-A001,PEND-EA3C41B0C4D0-A001,PEND-FC2C0EF14C25-A001,PEND-E8A9FAA38EDF-A001,PEND-3A557BEAAB64-A001,PEND-AD270495CB8F-A001,PEND-7D29954264FC-A001,PEND-0EEE9AE105F9-A001,PEND-3F34BDBDA748-A001,PEND-B6493C034932-A001,PEND-39BFF06D23EB-A001,PEND-103FA52F72DB-A001,PEND-BB745DCF5E20-A001,PEND-E5556E7EBA93-A001,PEND-0AC0454DE042-A001,PEND-7BB2C9EA31E1-A001,PEND-2DC320A376A3-A001,PEND-DF8F123BDDE9-A001,PEND-53FE73A62E41-A001,PEND-0F03B872ED43-A001,PEND-012E8154F82E-A001,PEND-73A879566EC2-A001,PEND-5DD35AAAE48B-A001,PEND-76120F1BC40A-A001,PEND-321EA03688D0-A001,PEND-22285A9E85E7-A001,PEND-C68E940EFFB0-A001,PEND-5B64DB14C4FE-A001,PEND-D9FC2859B53A-A001,PEND-B78B8B611146-A001,PEND-6451759866E8-A001,PEND-36A4BCF545A4-A001,PEND-AC95B7294660-A001,PEND-02B9AA37D8AC-A001,PEND-E49DC3A3901D-A001,PEND-B839B1FA27A6-A001,PEND-CE758A0B223F-A001,PEND-30E793F6DBDC-A001,PEND-BF06A9C61EAE-A001,PEND-87DE6B85E66F-A001,PEND-16764461C62F-A001,PEND-D17A7C7EC270-A001,PEND-6039A428A7D7-A001,PEND-58AFF2C9F2A3-A001,PEND-8607F44FE0BE-A001,PEND-79B7234167F1-A001,PEND-9FFC73E80EF2-A001,PEND-2AB4C1AA8E46-A001,PEND-3613775A0B68-A001,PEND-A67A0B325F3F-A001,PEND-605E9691E5C5-A001,PEND-7CBD39B6929D-A001,PEND-73E1A49E5F0F-A001,PEND-5E0DB63EC900-A001,PEND-45F6EE2BE0A1-A001,PEND-95AFDD47A664-A001,PEND-C801B289EB8D-A001,PEND-6C2A8E3A5967-A001,PEND-B7CCE7D02C68-A001,PEND-727F53B13F36-A001,PEND-2436F891CE33-A001,PEND-58314667C511-A001,PEND-D612BA8E234D-A001,PEND-3CE143F2228E-A001,PEND-0B24EF701ACE-A001,PEND-CEF3F938C970-A001,PEND-3E8E4D482DCD-A001,PEND-A071893CB266-A001,PEND-F3E60BFDE42B-A001,PEND-66D6841C279D-A001,PEND-844C2458EC81-A001,PEND-0DF1C65E0AF4-A001,PEND-EFF4C6F73EF3-A001,PEND-B52C20146086-A001,PEND-F12DCA11093B-A001,PEND-F51268A26A29-A001,PEND-14A5B17F8DDB-A001,PEND-9B0738847486-A001,PEND-0096449E0C7A-A001,PEND-2F9698C5211E-A001,PEND-8455FCDA3571-A001,PEND-40DC3F3C593A-A001,PEND-F47CF1874906-A001,PEND-E71648BF5080-A001,PEND-47200598A865-A001,PEND-E75B8FD7B7E9-A001,PEND-C659145B63CA-A001,PEND-C2ED1755EB60-A001,PEND-8612F8DDEBF8-A001,PEND-5BF5BAE49B9F-A001,PEND-7B5DD4290C89-A001,PEND-CB1C91F57990-A001,PEND-2AD064EDE966-A001,PEND-8D514ABD3647-A001,PEND-73DDBD4DD1BF-A001,PEND-5746ECE9ADCF-A001,PEND-63711CA380B2-A001,PEND-A2FC49579A4A-A001,PEND-6DBF5A80B529-A001,PEND-9D90FE3977A2-A001,PEND-7D94FC8A8236-A001,PEND-09EE1E37EA1E-A001,PEND-4C1531C052B9-A001,PEND-FDF212A88B78-A001,PEND-A97F99388C9D-A001,PEND-10B7D18A0EE9-A001,PEND-D467E4759175-A001,PEND-133C9779D723-A001,PEND-610366CDDE9F-A001,PEND-065DFF257515-A001,PEND-69330B526409-A001,PEND-B6DAC574D0D5-A001,PEND-42817DE1340A-A001,PEND-42179216B246-A001,PEND-BD0782EFB5F4-A001,PEND-87C4021CF8B9-A001,PEND-E5919D73E2E6-A001,PEND-89D752445193-A001,PEND-2BA303777926-A001,PEND-FA3691B35504-A001,PEND-977A37A1B4E5-A001,PEND-0112C022B417-A001,PEND-FBEDDC442508-A001,PEND-E45491BD696D-A001,PEND-0E50D7173AAA-A001,PEND-7788139171D0-A001,PEND-7D39C5062E5E-A001,PEND-690AE6A4E2B1-A001,PEND-79197B7BE694-A001,PEND-DCEBCD296967-A001,PEND-1EC525376CCE-A001,PEND-CC96EA981D53-A001,PEND-36E990B85443-A001,PEND-CADF5EA8B3E2-A001,PEND-8E0C6518A751-A001,PEND-205992A4EAD2-A001,PEND-E48001A339C2-A001,PEND-AB4402ECCE5B-A001,PEND-8DC524300B17-A001,PEND-6F708D3874D3-A001,PEND-EA80CE80C04F-A001,PEND-583568B6374C-A001,PEND-587C39E32AC7-A001,PEND-D0C01F060F41-A001,PEND-DD72AFCEDA8A-A001,PEND-A5AAF54945E3-A001,PEND-3C73E36A5FAE-A001,PEND-E832D0E46A64-A001,PEND-F2921D0645EC-A001,PEND-7F763028A5B9-A001,PEND-8CA5B4026EC1-A001,PEND-B5147557FE99-A001,PEND-7B2534C0EDF9-A001,PEND-2A3B9EBE973A-A001,PEND-1FB4504B22A6-A001,PEND-ECFFE8E9D8D3-A001,PEND-1A334643D118-A001,PEND-653EAE1067A3-A001,PEND-326A1B4293AA-A001,PEND-7D4A36F2AC76-A001,PEND-5FE65B6864F2-A001,PEND-A730EFC1B341-A001,PEND-3DB7F1BA3EB0-A001,PEND-6B228223CB3C-A001,PEND-3557A487DE5B-A001,PEND-FD54AF57C59E-A001,PEND-CAA1252985E6-A001,PEND-857B5C80374E-A001,PEND-5AD5BD731C48-A001,PEND-CE6EE1CCB899-A001,PEND-0305B74DADF5-A001,PEND-2CDC882207D5-A001,PEND-E2E7355ACE3B-A001,PEND-EE1BB02F7DED-A001,PEND-5AF01D96B259-A001,PEND-0C7B68334FB5-A001,PEND-A8CDF95AC27B-A001,PEND-E83DF9294074-A001,PEND-92FC279EA4BC-A001,PEND-7A8848EDA80D-A001,PEND-3020296860C1-A001,PEND-2ACA4846F365-A001,PEND-B8877AA138BF-A001,PEND-9E59CEF27F35-A001,PEND-160C2906465F-A001,PEND-D92E1DC860CD-A001,PEND-81900524A500-A001,PEND-3020296860C1-B002,PEND-77C4F24CBC54-A001,PEND-31C2624A73D1-A001,PEND-388E66354707-A001,PEND-57731A846A06-A001,PEND-A35CD150AC2A-A001,PEND-35953911E9E1-A001,PEND-7DD45CC8BCDD-A001,PEND-B8DD7D4B856E-A001,PEND-5D05E67B16E6-A001,PEND-9950D51EB4CC-A001,PEND-9BB707D55D47-A001,PEND-7E954C5B59E1-A001,PEND-C8EFFCBC01C3-A001,PEND-E15D4850BBBC-A001,PEND-B410515931EE-A001,PEND-303A64FF00F9-A001,PEND-74CF75292D68-A001,PEND-1C53F35E87F9-A001,PEND-D267767C3985-A001,PEND-8C17706C87BE-A001,PEND-74732746C96C-A001,PEND-EADE4917599A-A001,PEND-84A974364E36-A001,PEND-3AA44F4B09EB-A001,PEND-FD6016B7163D-A001,PEND-770AB7679886-A001,PEND-BBCBC735535B-A001,PEND-CB0786C38A09-A001,PEND-C604686A9587-A001,PEND-F89C4B712E74-A001,PEND-BB557C712493-A001,PEND-2F12717D098E-A001,PEND-9E709DD114E1-A001,PEND-028C82851E7D-A001,PEND-23428D8B5C74-A001,PEND-C899DB62B5C6-A001,PEND-9397BFD0D67D-A001,PEND-A2D75033725F-A001,PEND-FAA437EA56A8-A001,PEND-15A2F08812D6-A001,PEND-390A730B24E7-A001,PEND-41E85DDA4CBB-A001,PEND-5E63AD8FE40A-A001,PEND-9638E4183846-A001,PEND-59521CCE4176-A001,PEND-F2A873D53855-A001,PEND-0DF24FCB3251-A001,PEND-F2B1EC84ADEB-A001,PEND-F8D32BD7E7CE-A001,PEND-BA8E02FCCDCD-A001,PEND-D07C5C45C721-A001,PEND-1390A97A97E0-A001,PEND-AD9F70734F4B-A001,PEND-C0A4138D2DDD-A001,PEND-6147CD028B9C-A001,PEND-DD235EF7B88E-A001,PEND-E84CC5E5CA05-A001,PEND-2D45222FC158-A001,PEND-58CBE59AD16D-A001,PEND-A315862F50CF-A001,PEND-6C2E493351A5-A001,PEND-65783D3E5586-A001,PEND-352DEBC82993-A001,PEND-E33A88968940-A001,PEND-99493619E3D9-A001,PEND-FB199EC2106E-A001,PEND-014F39FBAADC-A001,PEND-C4A4D787C19F-A001,PEND-A44F1E6B9B21-A001,PEND-917944BA3532-A001,PEND-6B4E048FC485-A001,PEND-AA9A1B838EA0-A001,PEND-A4BC7E289EA2-A001,PEND-58F51C992C16-A001,PEND-8FAF1E51E2AD-A001,PEND-1DC869FEE5F9-A001,PEND-F962F8F5C3AA-A001,PEND-FCE508F3B85E-A001,PEND-0EEA20AAA05E-A001,PEND-5060FAA2F353-A001,PEND-36AD88A341C4-A001,PEND-7AABAED5E661-A001,PEND-21E4C210C028-A001,PEND-73C8734D73FA-A001,PEND-22D62676A7E9-A001,PEND-784B0DF2D8D5-A001,PEND-9E17873D8B76-A001,PEND-5EAB39B9A733-A001,PEND-E933ECCEF1DD-A001,PEND-A13A0C96159B-A001,PEND-58543F406674-A001,PEND-EFE3FFFFD162-A001,PEND-A5DDD11D1694-A001,PEND-1F53E5293A25-A001,PEND-7508CB59B0AB-A001,PEND-270E2AC780C9-A001,PEND-E680A119BD42-A001,PEND-06ECFCD98FC5-A001,PEND-700B22D5137B-A001,PEND-DB0B0E8CF11A-A001,PEND-6DD87C6D8CFE-A001,PEND-13074A28B204-A001,PEND-0DCFDA4AF6B4-A001,PEND-BD612C6D7E71-A001,PEND-1585A7634E4A-A001,PEND-101925A0FEF9-A001,PEND-CE3E09E30D67-A001,PEND-0A716936BE66-A001,PEND-88F9F8A77000-A001,PEND-F590C4D43E0C-A001,PEND-C8F3F68DA84C-A001,PEND-AD8A9626C635-A001,PEND-C07ADE850769-A001,PEND-690160D95E5C-A001,PEND-91ADB1156C47-A001,PEND-DC61F72ADFC2-A001,PEND-9F42C0C52572-A001,PEND-F766157FB448-A001,PEND-0DEAFEE41836-A001,PEND-245BFB49A95A-A001,PEND-AAABFB00C9F5-A001,PEND-FE9F7610633E-A001,PEND-92A1F7C1DCAC-A001,PEND-C34F55548BFB-A001,PEND-5A62E2B2551A-A001,PEND-D6E7149329D5-A001,PEND-58305BEC8C77-A001,PEND-4EC2F505A6F8-A001,PEND-F6D7DD4BAC3D-A001,PEND-D2A0ADB6445D-A001,PEND-614D0DD771C2-A001,PEND-E8C15BCA6801-A001,PEND-09E59577A903-A001,PEND-5566A87E71BF-A001,PEND-00461C3DA67C-A001,PEND-FEB7F675D5B6-A001,PEND-A562BC4CF22D-A001,PEND-BD331351A20A-A001,PEND-6FBD0017D046-A001,PEND-6EA150F6471E-A001,PEND-B95A8A60E446-A001,PEND-5A18203CF106-A001,PEND-FAED785947F1-A001</t>
        </is>
      </c>
      <c r="B4" s="8" t="inlineStr">
        <is>
          <t>BANCO_EGRESO_NO_FLEXXUS_AGREGADO</t>
        </is>
      </c>
      <c r="C4" s="8" t="inlineStr">
        <is>
          <t>27/04/2026</t>
        </is>
      </c>
      <c r="D4" s="8" t="inlineStr">
        <is>
          <t>MB-EXT</t>
        </is>
      </c>
      <c r="E4" s="8" t="inlineStr">
        <is>
          <t>0000-00026811</t>
        </is>
      </c>
      <c r="F4" s="8" t="inlineStr">
        <is>
          <t>EXTRACCION - Retención Ingresos Brutos Mendoza</t>
        </is>
      </c>
      <c r="G4" s="8" t="inlineStr"/>
      <c r="H4" s="9" t="n">
        <v>407424.17</v>
      </c>
      <c r="I4" s="8" t="inlineStr">
        <is>
          <t>Regularización agregada MB-EXT contra 347 pendientes anteriores</t>
        </is>
      </c>
    </row>
    <row r="5">
      <c r="A5" s="8" t="inlineStr">
        <is>
          <t>PEND-93F12A4C2D02-A001,PEND-6375F27720C1-A001,PEND-829CA441D2C1-A001,PEND-A03480487866-A001,PEND-73A5D3E4D0C3-A001,PEND-9E3B1F59512D-A001,PEND-C862E82C3FFF-A001,PEND-B9BAABFC9A1D-A001,PEND-F58EC419CBE7-A001,PEND-B67316409DEB-A001,PEND-4D2FC872E3F5-A001,PEND-E06B81872B01-A001,PEND-2DFE5DCB1C91-A001,PEND-CC80A8DC8E06-A001,PEND-F7E559794D58-A001,PEND-BCC3E6E6D015-A001,PEND-18CA2C17AF31-A001,PEND-EE4DD0D4A7EE-A001,PEND-2712EDC48D67-A001,PEND-2FFFFEDC5F4F-A001,PEND-DCCE5C4ABA73-A001,PEND-B950CA41A87D-A001,PEND-ACF5012EA190-A001,PEND-CD56CFEAB51B-A001,PEND-1B4DCF1E6250-A001,PEND-ECD19B3EC733-A001,PEND-60E237DFE092-A001,PEND-21E55E15D2D9-A001,PEND-63D6EE7B4C22-A001,PEND-B29B66F54E30-A001,PEND-136C918A8D9A-A001,PEND-2BF9CA4393AD-A001,PEND-ED4D97E6E1A1-A001,PEND-FC1022BF24AE-A001,PEND-D88B2992AB83-A001,PEND-ABC160E6106B-A001,PEND-0803AED9F9F8-A001,PEND-413D86DFDAFF-A001,PEND-614F318F3BBC-A001,PEND-866FABB78A09-A001,PEND-F4F65DAD2E92-A001,PEND-0484586D4BEF-A001,PEND-4F92823267BE-A001,PEND-4F23C25F75CC-A001,PEND-A9DB8C4D354D-A001,PEND-655FC02229A2-A001,PEND-FFFD2DFFB31E-A001,PEND-AB1D6B61F3B9-A001,PEND-9011EA0CAC74-A001,PEND-E87E4EF25D78-A001,PEND-754E4C8A6ADA-A001,PEND-A42FA4C74B4A-A001,PEND-1357D4196AA2-A001,PEND-C49DA0BE35F8-A001,PEND-CAABD18451C3-A001,PEND-78D51C328F13-A001,PEND-3778A0D08735-A001,PEND-79FE6ACB1DE1-A001,PEND-10C03F130487-A001,PEND-88A4B651B502-A001,PEND-5EDC2DC1772A-A001,PEND-FEB72A4C577B-A001,PEND-FF2B1719274B-A001,PEND-0AFCA19F61DD-A001,PEND-BB1B3298F175-A001,PEND-60101F91AA09-A001,PEND-BF782C367C67-A001,PEND-5E3753D7443A-A001,PEND-85A1E8816F82-A001,PEND-25768D3D8A94-A001,PEND-9D74A8A1275D-A001,PEND-ABDBA00A05FB-A001,PEND-4065F1EF5CDE-A001,PEND-0790E56D08DB-A001,PEND-FA9416E4BEB1-A001,PEND-7D6686DA04E7-A001,PEND-E8DF8813FC28-A001,PEND-032FD5BC3C03-A001,PEND-578415FFBA91-A001,PEND-55678E945622-A001,PEND-20750F8BA1EF-A001,PEND-5EDC57276D8A-A001,PEND-B163276682DD-A001,PEND-1CD7FE1A62DB-A001,PEND-F5F2BA08B809-A001,PEND-0AD26FC61420-A001,PEND-57AAE391F279-A001,PEND-AF102C16621A-A001,PEND-0563C189A26B-A001,PEND-09A294D980B8-A001,PEND-2B60277C4DAA-A001,PEND-B13F54BFF22D-A001,PEND-55BE4BE1DD6B-A001,PEND-464CD6D7402F-A001,PEND-F12E841A7246-A001,PEND-3504C7F20039-A001,PEND-61ECC689341A-A001,PEND-7F02E8EB5223-A001,PEND-1AF07E249199-A001,PEND-BAB59EDC41E9-A001,PEND-43739AEFA325-A001,PEND-BB9863006A2C-A001,PEND-62D784D3BD1B-A001,PEND-F4084E391227-A001,PEND-769BC2C368F2-A001,PEND-4C1564EB2647-A001,PEND-47511697C2E0-A001,PEND-C2EE0FC6E9BA-A001,PEND-BEB0DC14ED32-A001,PEND-F9EE97DAE96F-A001,PEND-191C0955712F-A001,PEND-39D235B4695D-A001,PEND-7F457D719CE0-A001,PEND-0F57A08294C5-A001,PEND-C298111D4DF0-A001,PEND-5DBE8BD072D2-A001,PEND-2804E35F9ACF-A001,PEND-B1DBD3933A58-A001,PEND-3E42CCC688D3-A001,PEND-BE64C8DD55FD-A001,PEND-3DF3F95CAA12-A001,PEND-5DBE8BD072D2-B002,PEND-536D41766302-A001,PEND-96F565F74233-A001,PEND-55DCB01378EA-A001,PEND-98CC3275C032-A001,PEND-8C1945CD3211-A001,PEND-9162DE995240-A001,PEND-667A9937F150-A001,PEND-8C3F28971C3C-A001,PEND-8433A21C4921-A001,PEND-77000CA7083A-A001,PEND-AB20340E37A6-A001,PEND-7120916915A0-A001,PEND-2046705C4E1C-A001,PEND-18A413D9B4EB-A001,PEND-C86CD696BB63-A001,PEND-8CB01CB01F5C-A001,PEND-76B57631D32E-A001,PEND-3E7C5D577A02-A001,PEND-93F16F124060-A001,PEND-8F0E283F23D0-A001,PEND-6E71A1C1B978-A001,PEND-674CD0C9E699-A001,PEND-33FB25FAC41E-A001,PEND-3C7A916D08BC-A001,PEND-BA55C0C31837-A001,PEND-F7586D9DEFAF-A001,PEND-7B5D3F5DCCBF-A001,PEND-35439C75BBBC-A001,PEND-3A6876CF652C-A001,PEND-396F45F5F256-A001,PEND-FE3839BA2651-A001,PEND-7EF88C7A8AA1-A001,PEND-F26F0BDD9220-A001,PEND-EF3E4EDFAF83-A001,PEND-664704E04355-A001,PEND-5C891BE124D3-A001,PEND-EED7462D5291-A001,PEND-3207EEC6663A-A001,PEND-80FC4C0F6C01-A001,PEND-0728E56034FF-A001,PEND-76B70540B021-A001,PEND-01DC9B57DEF0-A001,PEND-1F3400A2B107-A001,PEND-8F000931B791-A001,PEND-69EB96CB4CC1-A001,PEND-58D71461E30B-A001,PEND-FA3BFAD519D7-A001,PEND-0D476E68945E-A001,PEND-96E932FE5420-A001,PEND-54E94F645A2C-A001,PEND-57C228691B14-A001,PEND-C30994C5308D-A001,PEND-30D769E6EF6F-A001,PEND-50CAA4C16745-A001,PEND-AE531F4C471A-A001,PEND-1BA015C73739-A001,PEND-8C8A64C0D038-A001,PEND-E99B8082F9C6-A001,PEND-EB6C0A654B55-A001,PEND-9728F91CE048-A001,PEND-FEC3A619B1C5-A001,PEND-6E51C1632471-A001,PEND-58CBAF6ED000-A001,PEND-E379D51C7C81-A001,PEND-BB51F13C1870-A001,PEND-DE3CB6AD9A7C-A001,PEND-45EF0DA717F3-A001,PEND-ADA20218B08C-A001,PEND-EA828B65D4EC-A001,PEND-0261C185ED5A-A001,PEND-09B8219FEE27-A001,PEND-AA5616E3346F-A001,PEND-39ED52349C29-A001,PEND-2FA7AB47AD81-A001,PEND-B421FAC093A1-A001,PEND-B09F75F99618-A001,PEND-773F210494C8-A001,PEND-F7444CA606CA-A001,PEND-35DC1C547AD9-A001,PEND-14615BE782FA-A001,PEND-C64E1A191886-A001,PEND-86C2202C3297-A001,PEND-05B24F428BBF-A001,PEND-CDCBBC169D1B-A001,PEND-83EF5C91CDE1-A001,PEND-1C3732789A8D-A001,PEND-09CCDDF78FA4-A001,PEND-1B953E0B06D2-A001,PEND-86C2202C3297-B002,PEND-6A0D4583C388-A001,PEND-BC183E9F9704-A001,PEND-77C544494B19-A001,PEND-B0EA59022BE7-A001,PEND-20509D910DD4-A001,PEND-DC89A12C5CEE-A001,PEND-ECC9179BB316-A001,PEND-6D59350FA1E0-A001,PEND-27E79BE1F778-A001,PEND-B912F78095A3-A001,PEND-2F2E2228D47B-A001,PEND-B745511AEA50-A001,PEND-13837EF4020F-A001,PEND-5E14FD5C2278-A001,PEND-C9FBB4EAFFA4-A001,PEND-64CABA37BAC0-A001,PEND-F0871DF671F8-A001,PEND-28E73622263A-A001,PEND-BDEF57F0D8C5-A001,PEND-72B6A77961BA-A001,PEND-E1EF95A0D3DD-A001,PEND-C05CB3EAF7B2-A001,PEND-4E9EC3F629EF-A001,PEND-57B1ECDAD665-A001,PEND-F32A2C6155C0-A001,PEND-072678D4A0E5-A001,PEND-CADB01A81984-A001,PEND-1AD67086A75A-A001,PEND-21E92CCC46A3-A001,PEND-CD8E4854CA39-A001,PEND-2A089AE2ED71-A001,PEND-C97F341A07EE-A001,PEND-203669930262-A001,PEND-AAE6A3B299EA-A001,PEND-67DB2AEDBBF8-A001,PEND-4A8A1EC95D06-A001,PEND-5D34C2683154-A001,PEND-FBE54C10F9FC-A001,PEND-63A04430EC5B-A001,PEND-A7449BA1604D-A001,PEND-47B14FA9BC86-A001,PEND-A3D397A6D66C-A001,PEND-A96F498953AC-A001,PEND-B6C27D1E32CA-A001,PEND-6A4F42F053C3-A001,PEND-E4BFB8669260-A001,PEND-32705F50AB34-A001,PEND-8FFC371CC680-A001,PEND-03F436B9822C-A001,PEND-639508D7C820-A001,PEND-71AFF45CD30B-A001,PEND-41DE0786E1DC-A001,PEND-F984BBB09A0B-A001,PEND-FF6856CE0509-A001,PEND-A087D213FB8B-A001,PEND-65CE6F4462BE-A001,PEND-7E2034A676B9-A001,PEND-8337D4AAB817-A001,PEND-128582FC4BA0-A001,PEND-70DADFA62E06-A001,PEND-C3594034EBB7-A001,PEND-60794F8BD17D-A001,PEND-069DA34FFA9E-A001,PEND-FEC702CE2D3A-A001,PEND-83B86FB068C0-A001,PEND-EFF1876793B2-A001,PEND-8130C942E31D-A001,PEND-25B2663FC657-A001,PEND-E29BCEF33726-A001,PEND-14B89556A3F5-A001,PEND-094B0C1DB90E-A001,PEND-3926796CD27B-A001,PEND-14DE9D09798E-A001,PEND-19E6E30D8A00-A001,PEND-F2119D7299EC-A001,PEND-3C0C7CE02FCA-A001,PEND-5533735260BD-A001,PEND-52226E5EB79E-A001,PEND-E5E7D1136E82-A001,PEND-C5F4157D3E22-A001,PEND-D80575D5F8D2-A001,PEND-7778C1C42C5C-A001,PEND-9293FBFEAF0A-A001,PEND-5A1E685A8812-A001,PEND-1032A42E1DE9-A001,PEND-D181F289FECB-A001,PEND-4BC919935204-A001,PEND-E598FF30C1E6-A001,PEND-EDA60D9B3E65-A001,PEND-921DE578207B-A001,PEND-6C7A17300CDB-A001,PEND-F29C17797319-A001,PEND-C7DA0B9C3B6C-A001,PEND-C66823785A19-A001,PEND-9837FD9F0AB3-A001,PEND-12B5CF50198F-A001,PEND-7F0A248BA48E-A001,PEND-A1B02652A436-A001,PEND-C15F8E7C01A5-A001,PEND-E13E730029D7-A001,PEND-5BC355694917-A001,PEND-35849163CE64-A001,PEND-C7634D1DB61F-A001,PEND-DA04A2E646E2-A001,PEND-C60FC6EC0216-A001,PEND-0FE5AFF2ACF5-A001,PEND-6A553E95F7CC-A001,PEND-BE5DCD700A65-A001,PEND-0EA7E2C1077F-A001,PEND-54C58EE2F35E-A001,PEND-CC6163ED264B-A001,PEND-A5743E944DD5-A001,PEND-2A711174E0E7-A001,PEND-907C8877A4E7-A001,PEND-7B3EE43F22AC-A001,PEND-97FC97A12C33-A001,PEND-0D3179AAE82B-A001,PEND-6918347F5B6E-A001,PEND-AB2831DC8CBA-A001,PEND-BDD7E480EC72-A001,PEND-52DA77AB8528-A001,PEND-2EA41766245B-A001,PEND-0E6D17841D6E-A001,PEND-013E0AC6C5B0-A001,PEND-CC51FF7B3EAE-A001,PEND-B52E222FD3C5-A001,PEND-3BC16EE872AB-A001,PEND-F62BE4305934-A001,PEND-97C73B956FDB-A001,PEND-5E2CBE48A899-A001,PEND-3B0ADB5401E1-A001,PEND-85CD8E81234E-A001,PEND-EB7E2176412C-A001,PEND-667902F0B825-A001,PEND-C411B371BC08-A001,PEND-C6DF24C3042B-A001,PEND-17391D5CEFE0-A001,PEND-FAFAEB8383D3-A001,PEND-F4AF679AAEA7-A001,PEND-68745F6F4620-A001,PEND-EC58A38A7BFD-A001,PEND-A416162BDCEA-A001,PEND-429130BF04E8-A001,PEND-70E7F87A436A-A001,PEND-CAA8BE1803A2-A001,PEND-B470A8B5D6B3-A001,PEND-279A56DAC9A0-A001,PEND-3F8F6CB769E0-A001</t>
        </is>
      </c>
      <c r="B5" s="8" t="inlineStr">
        <is>
          <t>BANCO_EGRESO_NO_FLEXXUS_AGREGADO</t>
        </is>
      </c>
      <c r="C5" s="8" t="inlineStr">
        <is>
          <t>27/04/2026</t>
        </is>
      </c>
      <c r="D5" s="8" t="inlineStr">
        <is>
          <t>MB-EXT</t>
        </is>
      </c>
      <c r="E5" s="8" t="inlineStr">
        <is>
          <t>0000-00026812</t>
        </is>
      </c>
      <c r="F5" s="8" t="inlineStr">
        <is>
          <t>EXTRACCION - Anticipo Impuesto a las Ganancias - Ley 25.413 déb</t>
        </is>
      </c>
      <c r="G5" s="8" t="inlineStr"/>
      <c r="H5" s="9" t="n">
        <v>106472.89</v>
      </c>
      <c r="I5" s="8" t="inlineStr">
        <is>
          <t>Regularización agregada MB-EXT contra 359 pendientes anteriores</t>
        </is>
      </c>
    </row>
    <row r="6">
      <c r="A6" s="8" t="inlineStr">
        <is>
          <t>PEND-C9FA7E41504C-A001,PEND-B9004B5D9DA0-A001,PEND-7DDAFFE371ED-A001,PEND-3F4521F1D668-A001,PEND-53A68B33D014-A001,PEND-7A6EED727DD8-A001,PEND-6A4C1BC0B6F7-A001,PEND-B64E17842AD9-A001,PEND-488BF1CA1B65-A001,PEND-B23CB765DE51-A001,PEND-EEDC9806C914-A001,PEND-DB40F50EC63C-A001,PEND-DCFB3B79CD8C-A001,PEND-800662BB4FFF-A001,PEND-89A40C20D61E-A001,PEND-4CF3667BB917-A001,PEND-56E181E3D263-A001,PEND-371BA52DEEB6-A001,PEND-09F96CF22DF8-A001,PEND-8B3235605771-A001,PEND-CF4CF246DD71-A001,PEND-8F3F0C748F52-A001,PEND-0C60BF50494C-A001,PEND-337E9517B85B-A001,PEND-89E0545CA479-A001,PEND-B81BEFBC1DCE-A001,PEND-965277CA11A3-A001,PEND-F1519F4227A5-A001,PEND-9806F688C998-A001,PEND-B8E240338905-A001,PEND-07A1D94C3BA1-A001,PEND-C43359D15F17-A001,PEND-6808CA378B0F-A001,PEND-A970C7997724-A001,PEND-958ABF199FA1-A001,PEND-5F9AA3043844-A001,PEND-BD1A46C578D7-A001,PEND-11804B3336DE-A001,PEND-5395045F73A8-A001,PEND-C8A19A14F5C1-A001,PEND-E9A94FE2960C-A001,PEND-32E5B29DF209-A001,PEND-872896D86CB8-A001,PEND-37B5CB1B0C35-A001,PEND-0E66CBC5F8DC-A001,PEND-A5BC8D451A49-A001,PEND-579E460E91C3-A001,PEND-77EBAFE1EC60-A001,PEND-58B6A98E42E4-A001,PEND-3DA753CD875E-A001,PEND-5D7828CDCE7E-A001,PEND-05DDF45DA584-A001,PEND-CB374FF022BB-A001,PEND-BFC1D97E6F28-A001,PEND-4023E4873ABC-A001,PEND-411189236CC8-A001,PEND-8293C5CA3B29-A001,PEND-7E08D5EB3F9B-A001,PEND-55CE9DE919AC-A001,PEND-7C31311EC324-A001,PEND-1ECBD6C8EAD6-A001,PEND-7A779B7C4464-A001,PEND-5692CBBE1024-A001,PEND-200E4EB5C47B-A001,PEND-D53E863D9640-A001,PEND-BE354DF7C1DE-A001,PEND-3EFE3C779F73-A001,PEND-810CE01E6A99-A001,PEND-6C4DB9F894E9-A001,PEND-CD1C5BC3B595-A001,PEND-BA211E922EDB-A001,PEND-03FCA352A61F-A001,PEND-279D148DCB1F-A001,PEND-9D19F71417C6-A001,PEND-39436CBB23EE-A001,PEND-20A445BAC6AE-A001,PEND-3A78D737A17D-A001,PEND-3F94CDA2566A-A001,PEND-B4A59A4AC835-A001,PEND-860EDC432DBC-A001,PEND-8CACA88B735D-A001,PEND-52D252809E31-A001,PEND-EC448271F54A-A001,PEND-5C71B5F7E286-A001,PEND-CC0A15B3E845-A001,PEND-C28B130B61B9-A001,PEND-F5FF21B87185-A001,PEND-1A716D4E4156-A001,PEND-BBE088B7A258-A001,PEND-FF258839468E-A001,PEND-4CF1BE49098D-A001,PEND-E78064627B3F-A001,PEND-59417B18C979-A001,PEND-1B65820E3808-A001,PEND-5B5E35146FB9-A001,PEND-37D72B33A855-A001,PEND-0BEB04E5683E-A001,PEND-F7B226294C48-A001,PEND-5668CFA2D87F-A001,PEND-1AC6A6992E35-A001,PEND-25557B50CCDF-A001,PEND-27B675F56E00-A001,PEND-B160CF9FB996-A001,PEND-15672E56ECAB-A001,PEND-B66DD7E13889-A001,PEND-8A39A603D03E-A001,PEND-86BB3DDADA2F-A001,PEND-FD1B5661AE95-A001,PEND-1B0E69C8C7BA-A001,PEND-0B11B2E7F814-A001,PEND-026B15A23AC2-A001,PEND-2BDD05F3C404-A001,PEND-A47B05F11829-A001,PEND-CBAC0340C1FB-A001,PEND-FBAD747D5654-A001,PEND-883E5A96CCE0-A001,PEND-D3D7C169449B-A001,PEND-7F13D5D9E845-A001,PEND-9509AB658E21-A001,PEND-DD654C9B3F4C-A001,PEND-4ACF92032F3B-A001,PEND-53CF6200DBF2-A001,PEND-F06EE74BF520-A001,PEND-5822DF3C2709-A001,PEND-C769A76AEBB9-A001,PEND-548FE40C39FB-A001,PEND-ADBDB040C673-A001,PEND-EFA3C6362B25-A001,PEND-090640699836-A001,PEND-40942BED405D-A001,PEND-40D55102381C-A001,PEND-96041E8C3178-A001,PEND-6ABB4614FF3E-A001,PEND-3CA45E62CEA4-A001,PEND-676B6F01CAFB-A001,PEND-4B1521086702-A001,PEND-3A07904E166F-A001,PEND-F15BBFBCBD67-A001,PEND-837A6A9E0D42-A001,PEND-424D167166F4-A001,PEND-5B52E07D483B-A001,PEND-77433A86A58C-A001,PEND-2BADF396E222-A001,PEND-A8D1A059B00A-A001,PEND-7D4143F0B215-A001,PEND-C6BF57CCD6D6-A001,PEND-B766CF0A3626-A001,PEND-9DE20E4AE94F-A001,PEND-214501A54A0A-A001,PEND-B27946901A5A-A001,PEND-F5031BA80313-A001,PEND-103B26A05CC8-A001,PEND-39CD73965007-A001,PEND-9C80491FD6A2-A001,PEND-B4011646201E-A001,PEND-8883FE952A9B-A001,PEND-B2207EC30474-A001,PEND-4536CE6DE637-A001,PEND-78C385190033-A001,PEND-1B8AC2624371-A001,PEND-8675F6AF6801-A001,PEND-7CA7FE7D4269-A001,PEND-6C9A8E0AECFD-A001,PEND-D93CC0648986-A001,PEND-B81AB9664E6E-A001,PEND-E052247FBC3B-A001,PEND-6E0D997AAA35-A001,PEND-863FF34F9F87-A001,PEND-A869916F04A7-A001,PEND-2B2F17B63EC8-A001,PEND-F13B91984FC8-A001,PEND-2DE06047C6C7-A001,PEND-1C8D0B41FE06-A001,PEND-4096D478915D-A001,PEND-79033B085D45-A001,PEND-20697BD37BEF-A001,PEND-714BF789B33F-A001,PEND-96ACE3BDA5E9-A001,PEND-A31E9457696E-A001,PEND-96217172FAB1-A001,PEND-A1DC91A27434-A001,PEND-611AA5A14C49-A001,PEND-77FC0B083927-A001,PEND-6923684E7971-A001,PEND-BEAD0BA0A05F-A001,PEND-DACF558AC138-A001,PEND-659E053A15F6-A001,PEND-173D7F569377-A001,PEND-1BFF0E81AF25-A001,PEND-603F4378E114-A001,PEND-A54D3F6DBE3B-A001,PEND-7A54CA64A1ED-A001,PEND-5FD9F06683F4-A001,PEND-5955AEF7874C-A001,PEND-3383C4B4DE84-A001,PEND-F299863F95A3-A001,PEND-93E69363793C-A001,PEND-293C1FD26C6D-A001,PEND-586F3258D7E2-A001,PEND-7FE195FA13F2-A001,PEND-43388214D7FF-A001,PEND-31C739936064-A001,PEND-16C1D1121BF0-A001,PEND-93E69363793C-B002,PEND-41FDF61E5688-A001,PEND-38769EE04806-A001,PEND-32245EE13C30-A001,PEND-9FE65B632FB7-A001,PEND-71FF32935B1A-A001,PEND-64963E15F91F-A001,PEND-4289B2589C51-A001,PEND-57171E6E8059-A001,PEND-80BB5732C530-A001,PEND-261345A6BC01-A001,PEND-7133C285B1A2-A001,PEND-B4A1338F63D1-A001,PEND-AB3BD323BC1C-A001,PEND-FC41B9ADFD06-A001,PEND-6BB99E7A2990-A001,PEND-C2F5111D3032-A001,PEND-C110B6F1EE9D-A001,PEND-6A185D9C3F9F-A001,PEND-90079AABD65B-A001,PEND-41538EA7AD41-A001,PEND-B0A8E44B21FF-A001,PEND-BF980490E368-A001,PEND-7029FAF1ABB6-A001,PEND-B5393A93EA56-A001,PEND-AF046A0822DA-A001,PEND-0B338141CAB5-A001,PEND-358B218D29C2-A001,PEND-55049E4E386B-A001,PEND-421334E9B0B3-A001,PEND-A798231E1F3E-A001,PEND-C1D2B1C27845-A001,PEND-0E69D551110D-A001,PEND-FC47DD93212C-A001,PEND-892FC1FD9C12-A001,PEND-A651732741FA-A001,PEND-78590547F00D-A001,PEND-D23DB57A6F83-A001,PEND-0460717B9437-A001,PEND-1ABAF971946E-A001,PEND-1C55A85906E8-A001,PEND-01CDC300AB1D-A001,PEND-2E5973D64FBE-A001,PEND-C401DA14A050-A001,PEND-CBFBB05761CA-A001,PEND-0C0AF026427B-A001,PEND-488298A5E5AD-A001,PEND-27D1E7A0E51D-A001,PEND-0E6973BB38A1-A001,PEND-BB207330F218-A001,PEND-1F39992770CD-A001,PEND-FF650EF6253E-A001,PEND-2849701367C5-A001,PEND-630FD1C5CDBB-A001,PEND-A1869038B066-A001,PEND-AEF4C04FBB0D-A001,PEND-9F611EC51815-A001,PEND-8D3294E27216-A001,PEND-F10E9E484512-A001,PEND-536E6DBD18B2-A001,PEND-E812B45A0926-A001,PEND-2DB7CD762654-A001,PEND-3B1808EA2668-A001,PEND-D6A99B798765-A001,PEND-F1EE6768FB94-A001,PEND-ECE078E0CEE2-A001,PEND-64B7B13BC28E-A001,PEND-E749E1479C3E-A001,PEND-F4EAD0D846B8-A001,PEND-5F3ADDFE3A87-A001,PEND-0EAC507292D7-A001,PEND-F4B98D4C2194-A001,PEND-3C7299F8D20E-A001,PEND-EBC8EF53FD89-A001,PEND-AFD08C613C0D-A001,PEND-6274BCC05DF4-A001,PEND-0FD0AA7A463B-A001,PEND-B3F757B47DCD-A001,PEND-33AC9E3A3606-A001,PEND-CE0497B50C74-A001,PEND-B01BB3A563A7-A001,PEND-75A0FE4DC6C8-A001,PEND-21BD0B1EA15A-A001,PEND-12D9155A397C-A001,PEND-6481B970DB48-A001,PEND-EEAB8B888D99-A001,PEND-3D6ADC4A8DE5-A001,PEND-D0E2F6459C25-A001,PEND-F28C012FD742-A001,PEND-4FEB63D9429F-A001,PEND-0335DC521291-A001,PEND-BBD002BD472C-A001,PEND-6760EB64C9B2-A001,PEND-0ECEFED690C3-A001,PEND-DB253C4B33ED-A001,PEND-33AEE42A1C12-A001,PEND-33B5014A898B-A001,PEND-3A88CDDC3630-A001,PEND-789D4D395317-A001,PEND-9FB77BCB41F7-A001,PEND-29358FFD58D1-A001,PEND-75D440E92E66-A001,PEND-F34940ECC8A8-A001,PEND-D8FEEACF175F-A001,PEND-49637E1B2937-A001,PEND-4825C2E6FE34-A001,PEND-EC7102E5AA52-A001,PEND-EDCDEF51D7EB-A001,PEND-93146AEC06C9-A001,PEND-EFB5DC3E804D-A001,PEND-90443001633A-A001,PEND-49A2B92A54EF-A001,PEND-FD7ECE179C77-A001,PEND-EE1CF6C34EE6-A001,PEND-BA1D34002D85-A001,PEND-9DC4C65C62CE-A001,PEND-0527C26195B0-A001,PEND-9B41DB699E7B-A001,PEND-93DBC7C05B47-A001,PEND-6EBC7A903BAF-A001,PEND-04C733BDC8AB-A001,PEND-71DFE6F4D595-A001,PEND-DAC10843D1E0-A001,PEND-BCC3EF5E596C-A001,PEND-8CDA95359351-A001,PEND-5D5AA52F4532-A001,PEND-939D700F780C-A001,PEND-8778D371FE75-A001,PEND-92552C39B065-A001,PEND-1AD93CEC280B-A001,PEND-2EB96F529ABC-A001,PEND-DA169CECEF5F-A001,PEND-F245A23FC31A-A001,PEND-7CBDBBAEFEBF-A001,PEND-46CFAB38D615-A001,PEND-61765B1CDD1D-A001,PEND-BC3284C83F87-A001,PEND-5726798700D6-A001,PEND-83019B798F24-A001,PEND-4F98850CAEB8-A001,PEND-5B90D3C11033-A001,PEND-AE6D6C315A25-A001,PEND-EA16D731FE0D-A001,PEND-30B37E91A652-A001</t>
        </is>
      </c>
      <c r="B6" s="8" t="inlineStr">
        <is>
          <t>BANCO_EGRESO_NO_FLEXXUS_AGREGADO</t>
        </is>
      </c>
      <c r="C6" s="8" t="inlineStr">
        <is>
          <t>27/04/2026</t>
        </is>
      </c>
      <c r="D6" s="8" t="inlineStr">
        <is>
          <t>MB-EXT</t>
        </is>
      </c>
      <c r="E6" s="8" t="inlineStr">
        <is>
          <t>0000-00026813</t>
        </is>
      </c>
      <c r="F6" s="8" t="inlineStr">
        <is>
          <t>EXTRACCION - Anticipo Impuesto a las Ganancias - Ley 25.413 cré</t>
        </is>
      </c>
      <c r="G6" s="8" t="inlineStr"/>
      <c r="H6" s="9" t="n">
        <v>244454.46</v>
      </c>
      <c r="I6" s="8" t="inlineStr">
        <is>
          <t>Regularización agregada MB-EXT contra 347 pendientes anteriores</t>
        </is>
      </c>
    </row>
    <row r="7">
      <c r="A7" s="8" t="inlineStr">
        <is>
          <t>PEND-18C7233D4E1D-A001,PEND-BD46DF9B0A71-A001,PEND-EDC6ADB7DF92-A001</t>
        </is>
      </c>
      <c r="B7" s="8" t="inlineStr">
        <is>
          <t>BANCO_EGRESO_NO_FLEXXUS_AGREGADO</t>
        </is>
      </c>
      <c r="C7" s="8" t="inlineStr">
        <is>
          <t>27/04/2026</t>
        </is>
      </c>
      <c r="D7" s="8" t="inlineStr">
        <is>
          <t>MB-EXT</t>
        </is>
      </c>
      <c r="E7" s="8" t="inlineStr">
        <is>
          <t>0000-00026814</t>
        </is>
      </c>
      <c r="F7" s="8" t="inlineStr">
        <is>
          <t>EXTRACCION - Gastos bancarios - comisión transferencia electrón</t>
        </is>
      </c>
      <c r="G7" s="8" t="inlineStr"/>
      <c r="H7" s="9" t="n">
        <v>2868</v>
      </c>
      <c r="I7" s="8" t="inlineStr">
        <is>
          <t>Regularización agregada MB-EXT contra 3 pendientes anteriores</t>
        </is>
      </c>
    </row>
    <row r="8">
      <c r="A8" s="8" t="inlineStr">
        <is>
          <t>PEND-36BFC61AA2D1-A001,PEND-4241375BCF41-A001,PEND-97666B4D7390-A001</t>
        </is>
      </c>
      <c r="B8" s="8" t="inlineStr">
        <is>
          <t>BANCO_EGRESO_NO_FLEXXUS_AGREGADO</t>
        </is>
      </c>
      <c r="C8" s="8" t="inlineStr">
        <is>
          <t>27/04/2026</t>
        </is>
      </c>
      <c r="D8" s="8" t="inlineStr">
        <is>
          <t>MB-EXT</t>
        </is>
      </c>
      <c r="E8" s="8" t="inlineStr">
        <is>
          <t>0000-00026815</t>
        </is>
      </c>
      <c r="F8" s="8" t="inlineStr">
        <is>
          <t>EXTRACCION - IVA sobre gastos/comisiones bancarias</t>
        </is>
      </c>
      <c r="G8" s="8" t="inlineStr"/>
      <c r="H8" s="9" t="n">
        <v>602.28</v>
      </c>
      <c r="I8" s="8" t="inlineStr">
        <is>
          <t>Regularización agregada MB-EXT contra 3 pendientes anteriores</t>
        </is>
      </c>
    </row>
    <row r="9">
      <c r="A9" s="8" t="inlineStr">
        <is>
          <t>PEND-8EC97B1A59A0-A001,PEND-E25AA7037A70-A001,PEND-F8AA8B6DAD3B-A001,PEND-7ED5636D0EFC-A001,PEND-DDE07089D71F-A001,PEND-80FB2BD7AEB8-A001,PEND-020C635AB65F-A001,PEND-9F6B598FAEFA-A001,PEND-FBDAA2086489-A001</t>
        </is>
      </c>
      <c r="B9" s="8" t="inlineStr">
        <is>
          <t>BANCO_EGRESO_NO_FLEXXUS_AGREGADO</t>
        </is>
      </c>
      <c r="C9" s="8" t="inlineStr">
        <is>
          <t>27/04/2026</t>
        </is>
      </c>
      <c r="D9" s="8" t="inlineStr">
        <is>
          <t>MB-EXT</t>
        </is>
      </c>
      <c r="E9" s="8" t="inlineStr">
        <is>
          <t>0000-00026816</t>
        </is>
      </c>
      <c r="F9" s="8" t="inlineStr">
        <is>
          <t>EXTRACCION - Débito liquidación Mastercard 24H</t>
        </is>
      </c>
      <c r="G9" s="8" t="inlineStr"/>
      <c r="H9" s="9" t="n">
        <v>1508.13</v>
      </c>
      <c r="I9" s="8" t="inlineStr">
        <is>
          <t>Regularización agregada MB-EXT contra 9 pendientes anteriores</t>
        </is>
      </c>
    </row>
    <row r="10">
      <c r="A10" s="8" t="inlineStr">
        <is>
          <t>PEND-33F0F7058379-A001</t>
        </is>
      </c>
      <c r="B10" s="8" t="inlineStr">
        <is>
          <t>FLEXXUS_NO_BANCO</t>
        </is>
      </c>
      <c r="C10" s="8" t="inlineStr">
        <is>
          <t>27/04/2026</t>
        </is>
      </c>
      <c r="D10" s="8" t="inlineStr">
        <is>
          <t>QR</t>
        </is>
      </c>
      <c r="E10" s="8" t="inlineStr">
        <is>
          <t>108756</t>
        </is>
      </c>
      <c r="F10" s="8" t="inlineStr">
        <is>
          <t>CR DEBIN SPOT - CUIT/CUIL: 30711424179</t>
        </is>
      </c>
      <c r="G10" s="8" t="inlineStr"/>
      <c r="H10" s="9" t="n">
        <v>149439.29</v>
      </c>
      <c r="I10" s="8" t="inlineStr">
        <is>
          <t>Regulariza Flexxus no Banco anterior</t>
        </is>
      </c>
    </row>
    <row r="11">
      <c r="A11" s="8" t="inlineStr">
        <is>
          <t>PEND-E3352EB2DA7C-A001</t>
        </is>
      </c>
      <c r="B11" s="8" t="inlineStr">
        <is>
          <t>FLEXXUS_NO_BANCO</t>
        </is>
      </c>
      <c r="C11" s="8" t="inlineStr">
        <is>
          <t>27/04/2026</t>
        </is>
      </c>
      <c r="D11" s="8" t="inlineStr">
        <is>
          <t>QR</t>
        </is>
      </c>
      <c r="E11" s="8" t="inlineStr">
        <is>
          <t>108793</t>
        </is>
      </c>
      <c r="F11" s="8" t="inlineStr">
        <is>
          <t>CR DEBIN SPOT - CUIT/CUIL: 30711424179</t>
        </is>
      </c>
      <c r="G11" s="8" t="inlineStr"/>
      <c r="H11" s="9" t="n">
        <v>121413.23</v>
      </c>
      <c r="I11" s="8" t="inlineStr">
        <is>
          <t>Regulariza Flexxus no Banco anterior</t>
        </is>
      </c>
    </row>
    <row r="12">
      <c r="A12" s="8" t="inlineStr">
        <is>
          <t>PEND-9E77A99A275C-A001</t>
        </is>
      </c>
      <c r="B12" s="8" t="inlineStr">
        <is>
          <t>FLEXXUS_NO_BANCO</t>
        </is>
      </c>
      <c r="C12" s="8" t="inlineStr">
        <is>
          <t>27/04/2026</t>
        </is>
      </c>
      <c r="D12" s="8" t="inlineStr">
        <is>
          <t>QR</t>
        </is>
      </c>
      <c r="E12" s="8" t="inlineStr">
        <is>
          <t>108754</t>
        </is>
      </c>
      <c r="F12" s="8" t="inlineStr">
        <is>
          <t>CR DEBIN SPOT - CUIT/CUIL: 30711424179</t>
        </is>
      </c>
      <c r="G12" s="8" t="inlineStr"/>
      <c r="H12" s="9" t="n">
        <v>113688.74</v>
      </c>
      <c r="I12" s="8" t="inlineStr">
        <is>
          <t>Regulariza Flexxus no Banco anterior</t>
        </is>
      </c>
    </row>
    <row r="13">
      <c r="A13" s="8" t="inlineStr">
        <is>
          <t>PEND-36EF0AB72CF4-A001</t>
        </is>
      </c>
      <c r="B13" s="8" t="inlineStr">
        <is>
          <t>FLEXXUS_NO_BANCO</t>
        </is>
      </c>
      <c r="C13" s="8" t="inlineStr">
        <is>
          <t>27/04/2026</t>
        </is>
      </c>
      <c r="D13" s="8" t="inlineStr">
        <is>
          <t>QR</t>
        </is>
      </c>
      <c r="E13" s="8" t="inlineStr">
        <is>
          <t>108785</t>
        </is>
      </c>
      <c r="F13" s="8" t="inlineStr">
        <is>
          <t>CR DEBIN SPOT - CUIT/CUIL: 30711424179</t>
        </is>
      </c>
      <c r="G13" s="8" t="inlineStr"/>
      <c r="H13" s="9" t="n">
        <v>106607.95</v>
      </c>
      <c r="I13" s="8" t="inlineStr">
        <is>
          <t>Regulariza Flexxus no Banco anterior</t>
        </is>
      </c>
    </row>
    <row r="14">
      <c r="A14" s="8" t="inlineStr">
        <is>
          <t>PEND-9764DD199D27-A001</t>
        </is>
      </c>
      <c r="B14" s="8" t="inlineStr">
        <is>
          <t>FLEXXUS_NO_BANCO</t>
        </is>
      </c>
      <c r="C14" s="8" t="inlineStr">
        <is>
          <t>27/04/2026</t>
        </is>
      </c>
      <c r="D14" s="8" t="inlineStr">
        <is>
          <t>QR</t>
        </is>
      </c>
      <c r="E14" s="8" t="inlineStr">
        <is>
          <t>108818</t>
        </is>
      </c>
      <c r="F14" s="8" t="inlineStr">
        <is>
          <t>CR DEBIN SPOT - CUIT/CUIL: 30711424179</t>
        </is>
      </c>
      <c r="G14" s="8" t="inlineStr"/>
      <c r="H14" s="9" t="n">
        <v>94080.39999999999</v>
      </c>
      <c r="I14" s="8" t="inlineStr">
        <is>
          <t>Regulariza Flexxus no Banco anterior</t>
        </is>
      </c>
    </row>
    <row r="15">
      <c r="A15" s="8" t="inlineStr">
        <is>
          <t>PEND-F7930F01B58E-A001</t>
        </is>
      </c>
      <c r="B15" s="8" t="inlineStr">
        <is>
          <t>FLEXXUS_NO_BANCO</t>
        </is>
      </c>
      <c r="C15" s="8" t="inlineStr">
        <is>
          <t>27/04/2026</t>
        </is>
      </c>
      <c r="D15" s="8" t="inlineStr">
        <is>
          <t>QR</t>
        </is>
      </c>
      <c r="E15" s="8" t="inlineStr">
        <is>
          <t>108795</t>
        </is>
      </c>
      <c r="F15" s="8" t="inlineStr">
        <is>
          <t>CR DEBIN SPOT - CUIT/CUIL: 30711424179</t>
        </is>
      </c>
      <c r="G15" s="8" t="inlineStr"/>
      <c r="H15" s="9" t="n">
        <v>84375.25999999999</v>
      </c>
      <c r="I15" s="8" t="inlineStr">
        <is>
          <t>Regulariza Flexxus no Banco anterior</t>
        </is>
      </c>
    </row>
    <row r="16">
      <c r="A16" s="8" t="inlineStr">
        <is>
          <t>PEND-D438BCE2A11F-A001</t>
        </is>
      </c>
      <c r="B16" s="8" t="inlineStr">
        <is>
          <t>FLEXXUS_NO_BANCO</t>
        </is>
      </c>
      <c r="C16" s="8" t="inlineStr">
        <is>
          <t>27/04/2026</t>
        </is>
      </c>
      <c r="D16" s="8" t="inlineStr">
        <is>
          <t>QR</t>
        </is>
      </c>
      <c r="E16" s="8" t="inlineStr">
        <is>
          <t>108821</t>
        </is>
      </c>
      <c r="F16" s="8" t="inlineStr">
        <is>
          <t>CR DEBIN SPOT - CUIT/CUIL: 30711424179</t>
        </is>
      </c>
      <c r="G16" s="8" t="inlineStr"/>
      <c r="H16" s="9" t="n">
        <v>79720.75999999999</v>
      </c>
      <c r="I16" s="8" t="inlineStr">
        <is>
          <t>Regulariza Flexxus no Banco anterior</t>
        </is>
      </c>
    </row>
    <row r="17">
      <c r="A17" s="8" t="inlineStr">
        <is>
          <t>PEND-211ADC7AF4AE-A001</t>
        </is>
      </c>
      <c r="B17" s="8" t="inlineStr">
        <is>
          <t>FLEXXUS_NO_BANCO</t>
        </is>
      </c>
      <c r="C17" s="8" t="inlineStr">
        <is>
          <t>27/04/2026</t>
        </is>
      </c>
      <c r="D17" s="8" t="inlineStr">
        <is>
          <t>QR</t>
        </is>
      </c>
      <c r="E17" s="8" t="inlineStr">
        <is>
          <t>108810</t>
        </is>
      </c>
      <c r="F17" s="8" t="inlineStr">
        <is>
          <t>CR DEBIN SPOT - CUIT/CUIL: 30711424179</t>
        </is>
      </c>
      <c r="G17" s="8" t="inlineStr"/>
      <c r="H17" s="9" t="n">
        <v>75759.48</v>
      </c>
      <c r="I17" s="8" t="inlineStr">
        <is>
          <t>Regulariza Flexxus no Banco anterior</t>
        </is>
      </c>
    </row>
    <row r="18">
      <c r="A18" s="8" t="inlineStr">
        <is>
          <t>PEND-9DD41DA1C692-A001</t>
        </is>
      </c>
      <c r="B18" s="8" t="inlineStr">
        <is>
          <t>FLEXXUS_NO_BANCO</t>
        </is>
      </c>
      <c r="C18" s="8" t="inlineStr">
        <is>
          <t>27/04/2026</t>
        </is>
      </c>
      <c r="D18" s="8" t="inlineStr">
        <is>
          <t>QR</t>
        </is>
      </c>
      <c r="E18" s="8" t="inlineStr">
        <is>
          <t>108774</t>
        </is>
      </c>
      <c r="F18" s="8" t="inlineStr">
        <is>
          <t>CR DEBIN SPOT - CUIT/CUIL: 30711424179</t>
        </is>
      </c>
      <c r="G18" s="8" t="inlineStr"/>
      <c r="H18" s="9" t="n">
        <v>75561.42</v>
      </c>
      <c r="I18" s="8" t="inlineStr">
        <is>
          <t>Regulariza Flexxus no Banco anterior</t>
        </is>
      </c>
    </row>
    <row r="19">
      <c r="A19" s="8" t="inlineStr">
        <is>
          <t>PEND-05F4B02153A9-A001</t>
        </is>
      </c>
      <c r="B19" s="8" t="inlineStr">
        <is>
          <t>FLEXXUS_NO_BANCO</t>
        </is>
      </c>
      <c r="C19" s="8" t="inlineStr">
        <is>
          <t>27/04/2026</t>
        </is>
      </c>
      <c r="D19" s="8" t="inlineStr">
        <is>
          <t>QR</t>
        </is>
      </c>
      <c r="E19" s="8" t="inlineStr">
        <is>
          <t>108784</t>
        </is>
      </c>
      <c r="F19" s="8" t="inlineStr">
        <is>
          <t>CR DEBIN SPOT - CUIT/CUIL: 30711424179</t>
        </is>
      </c>
      <c r="G19" s="8" t="inlineStr"/>
      <c r="H19" s="9" t="n">
        <v>72887.55</v>
      </c>
      <c r="I19" s="8" t="inlineStr">
        <is>
          <t>Regulariza Flexxus no Banco anterior</t>
        </is>
      </c>
    </row>
    <row r="20">
      <c r="A20" s="8" t="inlineStr">
        <is>
          <t>PEND-65448BA94996-A001</t>
        </is>
      </c>
      <c r="B20" s="8" t="inlineStr">
        <is>
          <t>FLEXXUS_NO_BANCO</t>
        </is>
      </c>
      <c r="C20" s="8" t="inlineStr">
        <is>
          <t>27/04/2026</t>
        </is>
      </c>
      <c r="D20" s="8" t="inlineStr">
        <is>
          <t>QR</t>
        </is>
      </c>
      <c r="E20" s="8" t="inlineStr">
        <is>
          <t>108827</t>
        </is>
      </c>
      <c r="F20" s="8" t="inlineStr">
        <is>
          <t>CR DEBIN SPOT - CUIT/CUIL: 30711424179</t>
        </is>
      </c>
      <c r="G20" s="8" t="inlineStr"/>
      <c r="H20" s="9" t="n">
        <v>69916.59</v>
      </c>
      <c r="I20" s="8" t="inlineStr">
        <is>
          <t>Regulariza Flexxus no Banco anterior</t>
        </is>
      </c>
    </row>
    <row r="21">
      <c r="A21" s="8" t="inlineStr">
        <is>
          <t>PEND-EDF70962BE64-A001</t>
        </is>
      </c>
      <c r="B21" s="8" t="inlineStr">
        <is>
          <t>FLEXXUS_NO_BANCO</t>
        </is>
      </c>
      <c r="C21" s="8" t="inlineStr">
        <is>
          <t>27/04/2026</t>
        </is>
      </c>
      <c r="D21" s="8" t="inlineStr">
        <is>
          <t>QR</t>
        </is>
      </c>
      <c r="E21" s="8" t="inlineStr">
        <is>
          <t>108838</t>
        </is>
      </c>
      <c r="F21" s="8" t="inlineStr">
        <is>
          <t>CR DEBIN SPOT - CUIT/CUIL: 30711424179</t>
        </is>
      </c>
      <c r="G21" s="8" t="inlineStr"/>
      <c r="H21" s="9" t="n">
        <v>69520.46000000001</v>
      </c>
      <c r="I21" s="8" t="inlineStr">
        <is>
          <t>Regulariza Flexxus no Banco anterior</t>
        </is>
      </c>
    </row>
    <row r="22">
      <c r="A22" s="8" t="inlineStr">
        <is>
          <t>PEND-5B4124AACBC6-A001</t>
        </is>
      </c>
      <c r="B22" s="8" t="inlineStr">
        <is>
          <t>FLEXXUS_NO_BANCO</t>
        </is>
      </c>
      <c r="C22" s="8" t="inlineStr">
        <is>
          <t>27/04/2026</t>
        </is>
      </c>
      <c r="D22" s="8" t="inlineStr">
        <is>
          <t>QR</t>
        </is>
      </c>
      <c r="E22" s="8" t="inlineStr">
        <is>
          <t>108840</t>
        </is>
      </c>
      <c r="F22" s="8" t="inlineStr">
        <is>
          <t>CR DEBIN SPOT - CUIT/CUIL: 30711424179</t>
        </is>
      </c>
      <c r="G22" s="8" t="inlineStr"/>
      <c r="H22" s="9" t="n">
        <v>67044.66</v>
      </c>
      <c r="I22" s="8" t="inlineStr">
        <is>
          <t>Regulariza Flexxus no Banco anterior</t>
        </is>
      </c>
    </row>
    <row r="23">
      <c r="A23" s="8" t="inlineStr">
        <is>
          <t>PEND-AE5BB3AB0523-A001</t>
        </is>
      </c>
      <c r="B23" s="8" t="inlineStr">
        <is>
          <t>FLEXXUS_NO_BANCO</t>
        </is>
      </c>
      <c r="C23" s="8" t="inlineStr">
        <is>
          <t>27/04/2026</t>
        </is>
      </c>
      <c r="D23" s="8" t="inlineStr">
        <is>
          <t>QR</t>
        </is>
      </c>
      <c r="E23" s="8" t="inlineStr">
        <is>
          <t>108780</t>
        </is>
      </c>
      <c r="F23" s="8" t="inlineStr">
        <is>
          <t>CR DEBIN SPOT - CUIT/CUIL: 30711424179</t>
        </is>
      </c>
      <c r="G23" s="8" t="inlineStr"/>
      <c r="H23" s="9" t="n">
        <v>65955.31</v>
      </c>
      <c r="I23" s="8" t="inlineStr">
        <is>
          <t>Regulariza Flexxus no Banco anterior</t>
        </is>
      </c>
    </row>
    <row r="24">
      <c r="A24" s="8" t="inlineStr">
        <is>
          <t>PEND-07E74145F0AF-A001</t>
        </is>
      </c>
      <c r="B24" s="8" t="inlineStr">
        <is>
          <t>FLEXXUS_NO_BANCO</t>
        </is>
      </c>
      <c r="C24" s="8" t="inlineStr">
        <is>
          <t>27/04/2026</t>
        </is>
      </c>
      <c r="D24" s="8" t="inlineStr">
        <is>
          <t>QR</t>
        </is>
      </c>
      <c r="E24" s="8" t="inlineStr">
        <is>
          <t>108837</t>
        </is>
      </c>
      <c r="F24" s="8" t="inlineStr">
        <is>
          <t>CR DEBIN SPOT - CUIT/CUIL: 30711424179</t>
        </is>
      </c>
      <c r="G24" s="8" t="inlineStr"/>
      <c r="H24" s="9" t="n">
        <v>64568.86</v>
      </c>
      <c r="I24" s="8" t="inlineStr">
        <is>
          <t>Regulariza Flexxus no Banco anterior</t>
        </is>
      </c>
    </row>
    <row r="25">
      <c r="A25" s="8" t="inlineStr">
        <is>
          <t>PEND-86348EE2ACE2-A001</t>
        </is>
      </c>
      <c r="B25" s="8" t="inlineStr">
        <is>
          <t>FLEXXUS_NO_BANCO</t>
        </is>
      </c>
      <c r="C25" s="8" t="inlineStr">
        <is>
          <t>27/04/2026</t>
        </is>
      </c>
      <c r="D25" s="8" t="inlineStr">
        <is>
          <t>QR</t>
        </is>
      </c>
      <c r="E25" s="8" t="inlineStr">
        <is>
          <t>108782</t>
        </is>
      </c>
      <c r="F25" s="8" t="inlineStr">
        <is>
          <t>CR DEBIN SPOT - CUIT/CUIL: 30711424179</t>
        </is>
      </c>
      <c r="G25" s="8" t="inlineStr"/>
      <c r="H25" s="9" t="n">
        <v>63083.38</v>
      </c>
      <c r="I25" s="8" t="inlineStr">
        <is>
          <t>Regulariza Flexxus no Banco anterior</t>
        </is>
      </c>
    </row>
    <row r="26">
      <c r="A26" s="8" t="inlineStr">
        <is>
          <t>PEND-6B486ECC4B99-A001</t>
        </is>
      </c>
      <c r="B26" s="8" t="inlineStr">
        <is>
          <t>FLEXXUS_NO_BANCO</t>
        </is>
      </c>
      <c r="C26" s="8" t="inlineStr">
        <is>
          <t>27/04/2026</t>
        </is>
      </c>
      <c r="D26" s="8" t="inlineStr">
        <is>
          <t>QR</t>
        </is>
      </c>
      <c r="E26" s="8" t="inlineStr">
        <is>
          <t>108775</t>
        </is>
      </c>
      <c r="F26" s="8" t="inlineStr">
        <is>
          <t>CR DEBIN SPOT - CUIT/CUIL: 30711424179</t>
        </is>
      </c>
      <c r="G26" s="8" t="inlineStr"/>
      <c r="H26" s="9" t="n">
        <v>62687.26</v>
      </c>
      <c r="I26" s="8" t="inlineStr">
        <is>
          <t>Regulariza Flexxus no Banco anterior</t>
        </is>
      </c>
    </row>
    <row r="27">
      <c r="A27" s="8" t="inlineStr">
        <is>
          <t>PEND-2317B9BF0D3C-A001</t>
        </is>
      </c>
      <c r="B27" s="8" t="inlineStr">
        <is>
          <t>FLEXXUS_NO_BANCO</t>
        </is>
      </c>
      <c r="C27" s="8" t="inlineStr">
        <is>
          <t>27/04/2026</t>
        </is>
      </c>
      <c r="D27" s="8" t="inlineStr">
        <is>
          <t>QR</t>
        </is>
      </c>
      <c r="E27" s="8" t="inlineStr">
        <is>
          <t>108807</t>
        </is>
      </c>
      <c r="F27" s="8" t="inlineStr">
        <is>
          <t>CR DEBIN SPOT - CUIT/CUIL: 30711424179</t>
        </is>
      </c>
      <c r="G27" s="8" t="inlineStr"/>
      <c r="H27" s="9" t="n">
        <v>60904.68</v>
      </c>
      <c r="I27" s="8" t="inlineStr">
        <is>
          <t>Regulariza Flexxus no Banco anterior</t>
        </is>
      </c>
    </row>
    <row r="28">
      <c r="A28" s="8" t="inlineStr">
        <is>
          <t>PEND-2688AE8326B2-A001</t>
        </is>
      </c>
      <c r="B28" s="8" t="inlineStr">
        <is>
          <t>FLEXXUS_NO_BANCO</t>
        </is>
      </c>
      <c r="C28" s="8" t="inlineStr">
        <is>
          <t>27/04/2026</t>
        </is>
      </c>
      <c r="D28" s="8" t="inlineStr">
        <is>
          <t>QR</t>
        </is>
      </c>
      <c r="E28" s="8" t="inlineStr">
        <is>
          <t>108842</t>
        </is>
      </c>
      <c r="F28" s="8" t="inlineStr">
        <is>
          <t>CR DEBIN SPOT - CUIT/CUIL: 30711424179</t>
        </is>
      </c>
      <c r="G28" s="8" t="inlineStr"/>
      <c r="H28" s="9" t="n">
        <v>60013.39</v>
      </c>
      <c r="I28" s="8" t="inlineStr">
        <is>
          <t>Regulariza Flexxus no Banco anterior</t>
        </is>
      </c>
    </row>
    <row r="29">
      <c r="A29" s="8" t="inlineStr">
        <is>
          <t>PEND-FFA1C4B74821-A001</t>
        </is>
      </c>
      <c r="B29" s="8" t="inlineStr">
        <is>
          <t>FLEXXUS_NO_BANCO</t>
        </is>
      </c>
      <c r="C29" s="8" t="inlineStr">
        <is>
          <t>27/04/2026</t>
        </is>
      </c>
      <c r="D29" s="8" t="inlineStr">
        <is>
          <t>QR</t>
        </is>
      </c>
      <c r="E29" s="8" t="inlineStr">
        <is>
          <t>108781</t>
        </is>
      </c>
      <c r="F29" s="8" t="inlineStr">
        <is>
          <t>CR DEBIN SPOT - CUIT/CUIL: 30711424179</t>
        </is>
      </c>
      <c r="G29" s="8" t="inlineStr"/>
      <c r="H29" s="9" t="n">
        <v>57834.69</v>
      </c>
      <c r="I29" s="8" t="inlineStr">
        <is>
          <t>Regulariza Flexxus no Banco anterior</t>
        </is>
      </c>
    </row>
    <row r="30">
      <c r="A30" s="8" t="inlineStr">
        <is>
          <t>PEND-F4B36288C786-A001</t>
        </is>
      </c>
      <c r="B30" s="8" t="inlineStr">
        <is>
          <t>FLEXXUS_NO_BANCO</t>
        </is>
      </c>
      <c r="C30" s="8" t="inlineStr">
        <is>
          <t>27/04/2026</t>
        </is>
      </c>
      <c r="D30" s="8" t="inlineStr">
        <is>
          <t>QR</t>
        </is>
      </c>
      <c r="E30" s="8" t="inlineStr">
        <is>
          <t>108841</t>
        </is>
      </c>
      <c r="F30" s="8" t="inlineStr">
        <is>
          <t>CR DEBIN SPOT - CUIT/CUIL: 30711424179</t>
        </is>
      </c>
      <c r="G30" s="8" t="inlineStr"/>
      <c r="H30" s="9" t="n">
        <v>57636.62</v>
      </c>
      <c r="I30" s="8" t="inlineStr">
        <is>
          <t>Regulariza Flexxus no Banco anterior</t>
        </is>
      </c>
    </row>
    <row r="31">
      <c r="A31" s="8" t="inlineStr">
        <is>
          <t>PEND-51E4FE9CCA4D-A001</t>
        </is>
      </c>
      <c r="B31" s="8" t="inlineStr">
        <is>
          <t>FLEXXUS_NO_BANCO</t>
        </is>
      </c>
      <c r="C31" s="8" t="inlineStr">
        <is>
          <t>27/04/2026</t>
        </is>
      </c>
      <c r="D31" s="8" t="inlineStr">
        <is>
          <t>QR</t>
        </is>
      </c>
      <c r="E31" s="8" t="inlineStr">
        <is>
          <t>108830</t>
        </is>
      </c>
      <c r="F31" s="8" t="inlineStr">
        <is>
          <t>CR DEBIN SPOT - CUIT/CUIL: 30711424179</t>
        </is>
      </c>
      <c r="G31" s="8" t="inlineStr"/>
      <c r="H31" s="9" t="n">
        <v>54962.76</v>
      </c>
      <c r="I31" s="8" t="inlineStr">
        <is>
          <t>Regulariza Flexxus no Banco anterior</t>
        </is>
      </c>
    </row>
    <row r="32">
      <c r="A32" s="8" t="inlineStr">
        <is>
          <t>PEND-6058F1D1FE28-A001</t>
        </is>
      </c>
      <c r="B32" s="8" t="inlineStr">
        <is>
          <t>FLEXXUS_NO_BANCO</t>
        </is>
      </c>
      <c r="C32" s="8" t="inlineStr">
        <is>
          <t>27/04/2026</t>
        </is>
      </c>
      <c r="D32" s="8" t="inlineStr">
        <is>
          <t>QR</t>
        </is>
      </c>
      <c r="E32" s="8" t="inlineStr">
        <is>
          <t>108770</t>
        </is>
      </c>
      <c r="F32" s="8" t="inlineStr">
        <is>
          <t>CR DEBIN SPOT - CUIT/CUIL: 30711424179</t>
        </is>
      </c>
      <c r="G32" s="8" t="inlineStr"/>
      <c r="H32" s="9" t="n">
        <v>52486.96</v>
      </c>
      <c r="I32" s="8" t="inlineStr">
        <is>
          <t>Regulariza Flexxus no Banco anterior</t>
        </is>
      </c>
    </row>
    <row r="33">
      <c r="A33" s="8" t="inlineStr">
        <is>
          <t>PEND-13C2884393FE-A001</t>
        </is>
      </c>
      <c r="B33" s="8" t="inlineStr">
        <is>
          <t>FLEXXUS_NO_BANCO</t>
        </is>
      </c>
      <c r="C33" s="8" t="inlineStr">
        <is>
          <t>27/04/2026</t>
        </is>
      </c>
      <c r="D33" s="8" t="inlineStr">
        <is>
          <t>QR</t>
        </is>
      </c>
      <c r="E33" s="8" t="inlineStr">
        <is>
          <t>108811</t>
        </is>
      </c>
      <c r="F33" s="8" t="inlineStr">
        <is>
          <t>CR DEBIN SPOT - CUIT/CUIL: 30711424179</t>
        </is>
      </c>
      <c r="G33" s="8" t="inlineStr"/>
      <c r="H33" s="9" t="n">
        <v>51298.58</v>
      </c>
      <c r="I33" s="8" t="inlineStr">
        <is>
          <t>Regulariza Flexxus no Banco anterior</t>
        </is>
      </c>
    </row>
    <row r="34">
      <c r="A34" s="8" t="inlineStr">
        <is>
          <t>PEND-1249FE691999-A001</t>
        </is>
      </c>
      <c r="B34" s="8" t="inlineStr">
        <is>
          <t>FLEXXUS_NO_BANCO</t>
        </is>
      </c>
      <c r="C34" s="8" t="inlineStr">
        <is>
          <t>27/04/2026</t>
        </is>
      </c>
      <c r="D34" s="8" t="inlineStr">
        <is>
          <t>QR</t>
        </is>
      </c>
      <c r="E34" s="8" t="inlineStr">
        <is>
          <t>108763</t>
        </is>
      </c>
      <c r="F34" s="8" t="inlineStr">
        <is>
          <t>CR DEBIN SPOT - CUIT/CUIL: 30711424179</t>
        </is>
      </c>
      <c r="G34" s="8" t="inlineStr"/>
      <c r="H34" s="9" t="n">
        <v>50605.35</v>
      </c>
      <c r="I34" s="8" t="inlineStr">
        <is>
          <t>Regulariza Flexxus no Banco anterior</t>
        </is>
      </c>
    </row>
    <row r="35">
      <c r="A35" s="8" t="inlineStr">
        <is>
          <t>PEND-86EF1DC4B0E8-A001</t>
        </is>
      </c>
      <c r="B35" s="8" t="inlineStr">
        <is>
          <t>FLEXXUS_NO_BANCO</t>
        </is>
      </c>
      <c r="C35" s="8" t="inlineStr">
        <is>
          <t>27/04/2026</t>
        </is>
      </c>
      <c r="D35" s="8" t="inlineStr">
        <is>
          <t>QR</t>
        </is>
      </c>
      <c r="E35" s="8" t="inlineStr">
        <is>
          <t>108812</t>
        </is>
      </c>
      <c r="F35" s="8" t="inlineStr">
        <is>
          <t>CR DEBIN SPOT - CUIT/CUIL: 30711424179</t>
        </is>
      </c>
      <c r="G35" s="8" t="inlineStr"/>
      <c r="H35" s="9" t="n">
        <v>49516</v>
      </c>
      <c r="I35" s="8" t="inlineStr">
        <is>
          <t>Regulariza Flexxus no Banco anterior</t>
        </is>
      </c>
    </row>
    <row r="36">
      <c r="A36" s="8" t="inlineStr">
        <is>
          <t>PEND-858043280EA1-A001</t>
        </is>
      </c>
      <c r="B36" s="8" t="inlineStr">
        <is>
          <t>FLEXXUS_NO_BANCO</t>
        </is>
      </c>
      <c r="C36" s="8" t="inlineStr">
        <is>
          <t>27/04/2026</t>
        </is>
      </c>
      <c r="D36" s="8" t="inlineStr">
        <is>
          <t>QR</t>
        </is>
      </c>
      <c r="E36" s="8" t="inlineStr">
        <is>
          <t>108771</t>
        </is>
      </c>
      <c r="F36" s="8" t="inlineStr">
        <is>
          <t>CR DEBIN SPOT - CUIT/CUIL: 30711424179</t>
        </is>
      </c>
      <c r="G36" s="8" t="inlineStr"/>
      <c r="H36" s="9" t="n">
        <v>45950.85</v>
      </c>
      <c r="I36" s="8" t="inlineStr">
        <is>
          <t>Regulariza Flexxus no Banco anterior</t>
        </is>
      </c>
    </row>
    <row r="37">
      <c r="A37" s="8" t="inlineStr">
        <is>
          <t>PEND-6F717CC2E3F4-A001</t>
        </is>
      </c>
      <c r="B37" s="8" t="inlineStr">
        <is>
          <t>FLEXXUS_NO_BANCO</t>
        </is>
      </c>
      <c r="C37" s="8" t="inlineStr">
        <is>
          <t>27/04/2026</t>
        </is>
      </c>
      <c r="D37" s="8" t="inlineStr">
        <is>
          <t>QR</t>
        </is>
      </c>
      <c r="E37" s="8" t="inlineStr">
        <is>
          <t>108817</t>
        </is>
      </c>
      <c r="F37" s="8" t="inlineStr">
        <is>
          <t>CR DEBIN SPOT - CUIT/CUIL: 30711424179</t>
        </is>
      </c>
      <c r="G37" s="8" t="inlineStr"/>
      <c r="H37" s="9" t="n">
        <v>43376.02</v>
      </c>
      <c r="I37" s="8" t="inlineStr">
        <is>
          <t>Regulariza Flexxus no Banco anterior</t>
        </is>
      </c>
    </row>
    <row r="38">
      <c r="A38" s="8" t="inlineStr">
        <is>
          <t>PEND-49F71C428ABD-A001</t>
        </is>
      </c>
      <c r="B38" s="8" t="inlineStr">
        <is>
          <t>FLEXXUS_NO_BANCO</t>
        </is>
      </c>
      <c r="C38" s="8" t="inlineStr">
        <is>
          <t>27/04/2026</t>
        </is>
      </c>
      <c r="D38" s="8" t="inlineStr">
        <is>
          <t>QR</t>
        </is>
      </c>
      <c r="E38" s="8" t="inlineStr">
        <is>
          <t>108798</t>
        </is>
      </c>
      <c r="F38" s="8" t="inlineStr">
        <is>
          <t>CR DEBIN SPOT - CUIT/CUIL: 30711424179</t>
        </is>
      </c>
      <c r="G38" s="8" t="inlineStr"/>
      <c r="H38" s="9" t="n">
        <v>42979.89</v>
      </c>
      <c r="I38" s="8" t="inlineStr">
        <is>
          <t>Regulariza Flexxus no Banco anterior</t>
        </is>
      </c>
    </row>
    <row r="39">
      <c r="A39" s="8" t="inlineStr">
        <is>
          <t>PEND-49691F506556-A001</t>
        </is>
      </c>
      <c r="B39" s="8" t="inlineStr">
        <is>
          <t>FLEXXUS_NO_BANCO</t>
        </is>
      </c>
      <c r="C39" s="8" t="inlineStr">
        <is>
          <t>27/04/2026</t>
        </is>
      </c>
      <c r="D39" s="8" t="inlineStr">
        <is>
          <t>QR</t>
        </is>
      </c>
      <c r="E39" s="8" t="inlineStr">
        <is>
          <t>108804</t>
        </is>
      </c>
      <c r="F39" s="8" t="inlineStr">
        <is>
          <t>CR DEBIN SPOT - CUIT/CUIL: 30711424179</t>
        </is>
      </c>
      <c r="G39" s="8" t="inlineStr"/>
      <c r="H39" s="9" t="n">
        <v>38820.54</v>
      </c>
      <c r="I39" s="8" t="inlineStr">
        <is>
          <t>Regulariza Flexxus no Banco anterior</t>
        </is>
      </c>
    </row>
    <row r="40">
      <c r="A40" s="8" t="inlineStr">
        <is>
          <t>PEND-2C73EC80C239-A001</t>
        </is>
      </c>
      <c r="B40" s="8" t="inlineStr">
        <is>
          <t>FLEXXUS_NO_BANCO</t>
        </is>
      </c>
      <c r="C40" s="8" t="inlineStr">
        <is>
          <t>27/04/2026</t>
        </is>
      </c>
      <c r="D40" s="8" t="inlineStr">
        <is>
          <t>QR</t>
        </is>
      </c>
      <c r="E40" s="8" t="inlineStr">
        <is>
          <t>108833</t>
        </is>
      </c>
      <c r="F40" s="8" t="inlineStr">
        <is>
          <t>CR DEBIN SPOT - CUIT/CUIL: 30711424179</t>
        </is>
      </c>
      <c r="G40" s="8" t="inlineStr"/>
      <c r="H40" s="9" t="n">
        <v>38721.51</v>
      </c>
      <c r="I40" s="8" t="inlineStr">
        <is>
          <t>Regulariza Flexxus no Banco anterior</t>
        </is>
      </c>
    </row>
    <row r="41">
      <c r="A41" s="8" t="inlineStr">
        <is>
          <t>PEND-BD706BA09F7F-A001</t>
        </is>
      </c>
      <c r="B41" s="8" t="inlineStr">
        <is>
          <t>FLEXXUS_NO_BANCO</t>
        </is>
      </c>
      <c r="C41" s="8" t="inlineStr">
        <is>
          <t>27/04/2026</t>
        </is>
      </c>
      <c r="D41" s="8" t="inlineStr">
        <is>
          <t>QR</t>
        </is>
      </c>
      <c r="E41" s="8" t="inlineStr">
        <is>
          <t>108836</t>
        </is>
      </c>
      <c r="F41" s="8" t="inlineStr">
        <is>
          <t>CR DEBIN SPOT - CUIT/CUIL: 30711424179</t>
        </is>
      </c>
      <c r="G41" s="8" t="inlineStr"/>
      <c r="H41" s="9" t="n">
        <v>34463.14</v>
      </c>
      <c r="I41" s="8" t="inlineStr">
        <is>
          <t>Regulariza Flexxus no Banco anterior</t>
        </is>
      </c>
    </row>
    <row r="42">
      <c r="A42" s="8" t="inlineStr">
        <is>
          <t>PEND-9748194786D3-A001</t>
        </is>
      </c>
      <c r="B42" s="8" t="inlineStr">
        <is>
          <t>FLEXXUS_NO_BANCO</t>
        </is>
      </c>
      <c r="C42" s="8" t="inlineStr">
        <is>
          <t>27/04/2026</t>
        </is>
      </c>
      <c r="D42" s="8" t="inlineStr">
        <is>
          <t>QR</t>
        </is>
      </c>
      <c r="E42" s="8" t="inlineStr">
        <is>
          <t>108760</t>
        </is>
      </c>
      <c r="F42" s="8" t="inlineStr">
        <is>
          <t>CR DEBIN SPOT - CUIT/CUIL: 30711424179</t>
        </is>
      </c>
      <c r="G42" s="8" t="inlineStr"/>
      <c r="H42" s="9" t="n">
        <v>33670.88</v>
      </c>
      <c r="I42" s="8" t="inlineStr">
        <is>
          <t>Regulariza Flexxus no Banco anterior</t>
        </is>
      </c>
    </row>
    <row r="43">
      <c r="A43" s="8" t="inlineStr">
        <is>
          <t>PEND-13D09F33D05A-A001</t>
        </is>
      </c>
      <c r="B43" s="8" t="inlineStr">
        <is>
          <t>FLEXXUS_NO_BANCO</t>
        </is>
      </c>
      <c r="C43" s="8" t="inlineStr">
        <is>
          <t>27/04/2026</t>
        </is>
      </c>
      <c r="D43" s="8" t="inlineStr">
        <is>
          <t>QR</t>
        </is>
      </c>
      <c r="E43" s="8" t="inlineStr">
        <is>
          <t>108777</t>
        </is>
      </c>
      <c r="F43" s="8" t="inlineStr">
        <is>
          <t>CR DEBIN SPOT - CUIT/CUIL: 30711424179</t>
        </is>
      </c>
      <c r="G43" s="8" t="inlineStr"/>
      <c r="H43" s="9" t="n">
        <v>33175.72</v>
      </c>
      <c r="I43" s="8" t="inlineStr">
        <is>
          <t>Regulariza Flexxus no Banco anterior</t>
        </is>
      </c>
    </row>
    <row r="44">
      <c r="A44" s="8" t="inlineStr">
        <is>
          <t>PEND-8886F49FCAB5-A001</t>
        </is>
      </c>
      <c r="B44" s="8" t="inlineStr">
        <is>
          <t>FLEXXUS_NO_BANCO</t>
        </is>
      </c>
      <c r="C44" s="8" t="inlineStr">
        <is>
          <t>27/04/2026</t>
        </is>
      </c>
      <c r="D44" s="8" t="inlineStr">
        <is>
          <t>QR</t>
        </is>
      </c>
      <c r="E44" s="8" t="inlineStr">
        <is>
          <t>108783</t>
        </is>
      </c>
      <c r="F44" s="8" t="inlineStr">
        <is>
          <t>CR DEBIN SPOT - CUIT/CUIL: 30711424179</t>
        </is>
      </c>
      <c r="G44" s="8" t="inlineStr"/>
      <c r="H44" s="9" t="n">
        <v>31541.69</v>
      </c>
      <c r="I44" s="8" t="inlineStr">
        <is>
          <t>Regulariza Flexxus no Banco anterior</t>
        </is>
      </c>
    </row>
    <row r="45">
      <c r="A45" s="8" t="inlineStr">
        <is>
          <t>PEND-72D9C41F98FA-A001</t>
        </is>
      </c>
      <c r="B45" s="8" t="inlineStr">
        <is>
          <t>FLEXXUS_NO_BANCO</t>
        </is>
      </c>
      <c r="C45" s="8" t="inlineStr">
        <is>
          <t>27/04/2026</t>
        </is>
      </c>
      <c r="D45" s="8" t="inlineStr">
        <is>
          <t>QR</t>
        </is>
      </c>
      <c r="E45" s="8" t="inlineStr">
        <is>
          <t>108806</t>
        </is>
      </c>
      <c r="F45" s="8" t="inlineStr">
        <is>
          <t>CR DEBIN SPOT - CUIT/CUIL: 30711424179</t>
        </is>
      </c>
      <c r="G45" s="8" t="inlineStr"/>
      <c r="H45" s="9" t="n">
        <v>28026.06</v>
      </c>
      <c r="I45" s="8" t="inlineStr">
        <is>
          <t>Regulariza Flexxus no Banco anterior</t>
        </is>
      </c>
    </row>
    <row r="46">
      <c r="A46" s="8" t="inlineStr">
        <is>
          <t>PEND-0B06AD44C588-A001</t>
        </is>
      </c>
      <c r="B46" s="8" t="inlineStr">
        <is>
          <t>FLEXXUS_NO_BANCO</t>
        </is>
      </c>
      <c r="C46" s="8" t="inlineStr">
        <is>
          <t>27/04/2026</t>
        </is>
      </c>
      <c r="D46" s="8" t="inlineStr">
        <is>
          <t>QR</t>
        </is>
      </c>
      <c r="E46" s="8" t="inlineStr">
        <is>
          <t>108834</t>
        </is>
      </c>
      <c r="F46" s="8" t="inlineStr">
        <is>
          <t>CR DEBIN SPOT - CUIT/CUIL: 30711424179</t>
        </is>
      </c>
      <c r="G46" s="8" t="inlineStr"/>
      <c r="H46" s="9" t="n">
        <v>26837.67</v>
      </c>
      <c r="I46" s="8" t="inlineStr">
        <is>
          <t>Regulariza Flexxus no Banco anterior</t>
        </is>
      </c>
    </row>
    <row r="47">
      <c r="A47" s="8" t="inlineStr">
        <is>
          <t>PEND-55E1645872E5-A001</t>
        </is>
      </c>
      <c r="B47" s="8" t="inlineStr">
        <is>
          <t>FLEXXUS_NO_BANCO</t>
        </is>
      </c>
      <c r="C47" s="8" t="inlineStr">
        <is>
          <t>27/04/2026</t>
        </is>
      </c>
      <c r="D47" s="8" t="inlineStr">
        <is>
          <t>QR</t>
        </is>
      </c>
      <c r="E47" s="8" t="inlineStr">
        <is>
          <t>108797</t>
        </is>
      </c>
      <c r="F47" s="8" t="inlineStr">
        <is>
          <t>CR DEBIN SPOT - CUIT/CUIL: 30711424179</t>
        </is>
      </c>
      <c r="G47" s="8" t="inlineStr"/>
      <c r="H47" s="9" t="n">
        <v>25550.26</v>
      </c>
      <c r="I47" s="8" t="inlineStr">
        <is>
          <t>Regulariza Flexxus no Banco anterior</t>
        </is>
      </c>
    </row>
    <row r="48">
      <c r="A48" s="8" t="inlineStr">
        <is>
          <t>PEND-381263096B06-A001</t>
        </is>
      </c>
      <c r="B48" s="8" t="inlineStr">
        <is>
          <t>FLEXXUS_NO_BANCO</t>
        </is>
      </c>
      <c r="C48" s="8" t="inlineStr">
        <is>
          <t>27/04/2026</t>
        </is>
      </c>
      <c r="D48" s="8" t="inlineStr">
        <is>
          <t>QR</t>
        </is>
      </c>
      <c r="E48" s="8" t="inlineStr">
        <is>
          <t>108809</t>
        </is>
      </c>
      <c r="F48" s="8" t="inlineStr">
        <is>
          <t>CR DEBIN SPOT - CUIT/CUIL: 30711424179</t>
        </is>
      </c>
      <c r="G48" s="8" t="inlineStr"/>
      <c r="H48" s="9" t="n">
        <v>24559.94</v>
      </c>
      <c r="I48" s="8" t="inlineStr">
        <is>
          <t>Regulariza Flexxus no Banco anterior</t>
        </is>
      </c>
    </row>
    <row r="49">
      <c r="A49" s="8" t="inlineStr">
        <is>
          <t>PEND-DB0C927B5812-A001</t>
        </is>
      </c>
      <c r="B49" s="8" t="inlineStr">
        <is>
          <t>FLEXXUS_NO_BANCO</t>
        </is>
      </c>
      <c r="C49" s="8" t="inlineStr">
        <is>
          <t>27/04/2026</t>
        </is>
      </c>
      <c r="D49" s="8" t="inlineStr">
        <is>
          <t>QR</t>
        </is>
      </c>
      <c r="E49" s="8" t="inlineStr">
        <is>
          <t>108844</t>
        </is>
      </c>
      <c r="F49" s="8" t="inlineStr">
        <is>
          <t>CR DEBIN SPOT - CUIT/CUIL: 30711424179</t>
        </is>
      </c>
      <c r="G49" s="8" t="inlineStr"/>
      <c r="H49" s="9" t="n">
        <v>24361.87</v>
      </c>
      <c r="I49" s="8" t="inlineStr">
        <is>
          <t>Regulariza Flexxus no Banco anterior</t>
        </is>
      </c>
    </row>
    <row r="50">
      <c r="A50" s="8" t="inlineStr">
        <is>
          <t>PEND-11BBDDC1F32E-A001</t>
        </is>
      </c>
      <c r="B50" s="8" t="inlineStr">
        <is>
          <t>FLEXXUS_NO_BANCO</t>
        </is>
      </c>
      <c r="C50" s="8" t="inlineStr">
        <is>
          <t>27/04/2026</t>
        </is>
      </c>
      <c r="D50" s="8" t="inlineStr">
        <is>
          <t>QR</t>
        </is>
      </c>
      <c r="E50" s="8" t="inlineStr">
        <is>
          <t>108803</t>
        </is>
      </c>
      <c r="F50" s="8" t="inlineStr">
        <is>
          <t>CR DEBIN SPOT - CUIT/CUIL: 30711424179</t>
        </is>
      </c>
      <c r="G50" s="8" t="inlineStr"/>
      <c r="H50" s="9" t="n">
        <v>24262.84</v>
      </c>
      <c r="I50" s="8" t="inlineStr">
        <is>
          <t>Regulariza Flexxus no Banco anterior</t>
        </is>
      </c>
    </row>
    <row r="51">
      <c r="A51" s="8" t="inlineStr">
        <is>
          <t>PEND-405CD7283D24-A001</t>
        </is>
      </c>
      <c r="B51" s="8" t="inlineStr">
        <is>
          <t>FLEXXUS_NO_BANCO</t>
        </is>
      </c>
      <c r="C51" s="8" t="inlineStr">
        <is>
          <t>27/04/2026</t>
        </is>
      </c>
      <c r="D51" s="8" t="inlineStr">
        <is>
          <t>QR</t>
        </is>
      </c>
      <c r="E51" s="8" t="inlineStr">
        <is>
          <t>108828</t>
        </is>
      </c>
      <c r="F51" s="8" t="inlineStr">
        <is>
          <t>CR DEBIN SPOT - CUIT/CUIL: 30711424179</t>
        </is>
      </c>
      <c r="G51" s="8" t="inlineStr"/>
      <c r="H51" s="9" t="n">
        <v>23767.68</v>
      </c>
      <c r="I51" s="8" t="inlineStr">
        <is>
          <t>Regulariza Flexxus no Banco anterior</t>
        </is>
      </c>
    </row>
    <row r="52">
      <c r="A52" s="8" t="inlineStr">
        <is>
          <t>PEND-F9DF13E1D9E0-A001</t>
        </is>
      </c>
      <c r="B52" s="8" t="inlineStr">
        <is>
          <t>FLEXXUS_NO_BANCO</t>
        </is>
      </c>
      <c r="C52" s="8" t="inlineStr">
        <is>
          <t>27/04/2026</t>
        </is>
      </c>
      <c r="D52" s="8" t="inlineStr">
        <is>
          <t>QR</t>
        </is>
      </c>
      <c r="E52" s="8" t="inlineStr">
        <is>
          <t>108819</t>
        </is>
      </c>
      <c r="F52" s="8" t="inlineStr">
        <is>
          <t>CR DEBIN SPOT - CUIT/CUIL: 30711424179</t>
        </is>
      </c>
      <c r="G52" s="8" t="inlineStr"/>
      <c r="H52" s="9" t="n">
        <v>16637.38</v>
      </c>
      <c r="I52" s="8" t="inlineStr">
        <is>
          <t>Regulariza Flexxus no Banco anterior</t>
        </is>
      </c>
    </row>
    <row r="53">
      <c r="A53" s="8" t="inlineStr">
        <is>
          <t>PEND-2816E97A2DFB-A001</t>
        </is>
      </c>
      <c r="B53" s="8" t="inlineStr">
        <is>
          <t>FLEXXUS_NO_BANCO</t>
        </is>
      </c>
      <c r="C53" s="8" t="inlineStr">
        <is>
          <t>27/04/2026</t>
        </is>
      </c>
      <c r="D53" s="8" t="inlineStr">
        <is>
          <t>QR</t>
        </is>
      </c>
      <c r="E53" s="8" t="inlineStr">
        <is>
          <t>108815</t>
        </is>
      </c>
      <c r="F53" s="8" t="inlineStr">
        <is>
          <t>CR DEBIN SPOT - CUIT/CUIL: 30711424179</t>
        </is>
      </c>
      <c r="G53" s="8" t="inlineStr"/>
      <c r="H53" s="9" t="n">
        <v>14656.74</v>
      </c>
      <c r="I53" s="8" t="inlineStr">
        <is>
          <t>Regulariza Flexxus no Banco anterior</t>
        </is>
      </c>
    </row>
    <row r="54">
      <c r="A54" s="8" t="inlineStr">
        <is>
          <t>PEND-B73B971493F1-A001</t>
        </is>
      </c>
      <c r="B54" s="8" t="inlineStr">
        <is>
          <t>FLEXXUS_NO_BANCO</t>
        </is>
      </c>
      <c r="C54" s="8" t="inlineStr">
        <is>
          <t>27/04/2026</t>
        </is>
      </c>
      <c r="D54" s="8" t="inlineStr">
        <is>
          <t>QR</t>
        </is>
      </c>
      <c r="E54" s="8" t="inlineStr">
        <is>
          <t>108776</t>
        </is>
      </c>
      <c r="F54" s="8" t="inlineStr">
        <is>
          <t>CR DEBIN SPOT - CUIT/CUIL: 30711424179</t>
        </is>
      </c>
      <c r="G54" s="8" t="inlineStr"/>
      <c r="H54" s="9" t="n">
        <v>13171.26</v>
      </c>
      <c r="I54" s="8" t="inlineStr">
        <is>
          <t>Regulariza Flexxus no Banco anterior</t>
        </is>
      </c>
    </row>
    <row r="55">
      <c r="A55" s="8" t="inlineStr">
        <is>
          <t>PEND-8B96A8F68434-A001</t>
        </is>
      </c>
      <c r="B55" s="8" t="inlineStr">
        <is>
          <t>FLEXXUS_NO_BANCO</t>
        </is>
      </c>
      <c r="C55" s="8" t="inlineStr">
        <is>
          <t>27/04/2026</t>
        </is>
      </c>
      <c r="D55" s="8" t="inlineStr">
        <is>
          <t>QR</t>
        </is>
      </c>
      <c r="E55" s="8" t="inlineStr">
        <is>
          <t>108794</t>
        </is>
      </c>
      <c r="F55" s="8" t="inlineStr">
        <is>
          <t>CR DEBIN SPOT - CUIT/CUIL: 30711424179</t>
        </is>
      </c>
      <c r="G55" s="8" t="inlineStr"/>
      <c r="H55" s="9" t="n">
        <v>12577.06</v>
      </c>
      <c r="I55" s="8" t="inlineStr">
        <is>
          <t>Regulariza Flexxus no Banco anterior</t>
        </is>
      </c>
    </row>
    <row r="56">
      <c r="A56" s="8" t="inlineStr">
        <is>
          <t>PEND-4C001F8A1279-A001</t>
        </is>
      </c>
      <c r="B56" s="8" t="inlineStr">
        <is>
          <t>FLEXXUS_NO_BANCO</t>
        </is>
      </c>
      <c r="C56" s="8" t="inlineStr">
        <is>
          <t>27/04/2026</t>
        </is>
      </c>
      <c r="D56" s="8" t="inlineStr">
        <is>
          <t>QR</t>
        </is>
      </c>
      <c r="E56" s="8" t="inlineStr">
        <is>
          <t>108831</t>
        </is>
      </c>
      <c r="F56" s="8" t="inlineStr">
        <is>
          <t>CR DEBIN SPOT - CUIT/CUIL: 30711424179</t>
        </is>
      </c>
      <c r="G56" s="8" t="inlineStr"/>
      <c r="H56" s="9" t="n">
        <v>12379</v>
      </c>
      <c r="I56" s="8" t="inlineStr">
        <is>
          <t>Regulariza Flexxus no Banco anterior</t>
        </is>
      </c>
    </row>
    <row r="57">
      <c r="A57" s="8" t="inlineStr">
        <is>
          <t>PEND-71234A3ADAE8-A001</t>
        </is>
      </c>
      <c r="B57" s="8" t="inlineStr">
        <is>
          <t>FLEXXUS_NO_BANCO</t>
        </is>
      </c>
      <c r="C57" s="8" t="inlineStr">
        <is>
          <t>27/04/2026</t>
        </is>
      </c>
      <c r="D57" s="8" t="inlineStr">
        <is>
          <t>QR</t>
        </is>
      </c>
      <c r="E57" s="8" t="inlineStr">
        <is>
          <t>108779</t>
        </is>
      </c>
      <c r="F57" s="8" t="inlineStr">
        <is>
          <t>CR DEBIN SPOT - CUIT/CUIL: 30711424179</t>
        </is>
      </c>
      <c r="G57" s="8" t="inlineStr"/>
      <c r="H57" s="9" t="n">
        <v>12279.97</v>
      </c>
      <c r="I57" s="8" t="inlineStr">
        <is>
          <t>Regulariza Flexxus no Banco anterior</t>
        </is>
      </c>
    </row>
    <row r="58">
      <c r="A58" s="8" t="inlineStr">
        <is>
          <t>PEND-ECEABC94F02D-A001</t>
        </is>
      </c>
      <c r="B58" s="8" t="inlineStr">
        <is>
          <t>FLEXXUS_NO_BANCO</t>
        </is>
      </c>
      <c r="C58" s="8" t="inlineStr">
        <is>
          <t>27/04/2026</t>
        </is>
      </c>
      <c r="D58" s="8" t="inlineStr">
        <is>
          <t>QR</t>
        </is>
      </c>
      <c r="E58" s="8" t="inlineStr">
        <is>
          <t>108832</t>
        </is>
      </c>
      <c r="F58" s="8" t="inlineStr">
        <is>
          <t>CR DEBIN SPOT - CUIT/CUIL: 30711424179</t>
        </is>
      </c>
      <c r="G58" s="8" t="inlineStr"/>
      <c r="H58" s="9" t="n">
        <v>11685.78</v>
      </c>
      <c r="I58" s="8" t="inlineStr">
        <is>
          <t>Regulariza Flexxus no Banco anterior</t>
        </is>
      </c>
    </row>
    <row r="59">
      <c r="A59" s="8" t="inlineStr">
        <is>
          <t>PEND-054422237AA2-A001</t>
        </is>
      </c>
      <c r="B59" s="8" t="inlineStr">
        <is>
          <t>FLEXXUS_NO_BANCO</t>
        </is>
      </c>
      <c r="C59" s="8" t="inlineStr">
        <is>
          <t>27/04/2026</t>
        </is>
      </c>
      <c r="D59" s="8" t="inlineStr">
        <is>
          <t>QR</t>
        </is>
      </c>
      <c r="E59" s="8" t="inlineStr">
        <is>
          <t>108788</t>
        </is>
      </c>
      <c r="F59" s="8" t="inlineStr">
        <is>
          <t>CR DEBIN SPOT - CUIT/CUIL: 30711424179</t>
        </is>
      </c>
      <c r="G59" s="8" t="inlineStr"/>
      <c r="H59" s="9" t="n">
        <v>10497.39</v>
      </c>
      <c r="I59" s="8" t="inlineStr">
        <is>
          <t>Regulariza Flexxus no Banco anterior</t>
        </is>
      </c>
    </row>
    <row r="60">
      <c r="A60" s="8" t="inlineStr">
        <is>
          <t>PEND-BB100ACD8AD2-A001</t>
        </is>
      </c>
      <c r="B60" s="8" t="inlineStr">
        <is>
          <t>FLEXXUS_NO_BANCO</t>
        </is>
      </c>
      <c r="C60" s="8" t="inlineStr">
        <is>
          <t>27/04/2026</t>
        </is>
      </c>
      <c r="D60" s="8" t="inlineStr">
        <is>
          <t>QR</t>
        </is>
      </c>
      <c r="E60" s="8" t="inlineStr">
        <is>
          <t>108790</t>
        </is>
      </c>
      <c r="F60" s="8" t="inlineStr">
        <is>
          <t>CR DEBIN SPOT - CUIT/CUIL: 30711424179</t>
        </is>
      </c>
      <c r="G60" s="8" t="inlineStr"/>
      <c r="H60" s="9" t="n">
        <v>9804.17</v>
      </c>
      <c r="I60" s="8" t="inlineStr">
        <is>
          <t>Regulariza Flexxus no Banco anterior</t>
        </is>
      </c>
    </row>
    <row r="61">
      <c r="A61" s="8" t="inlineStr">
        <is>
          <t>PEND-E481D4F49189-A001</t>
        </is>
      </c>
      <c r="B61" s="8" t="inlineStr">
        <is>
          <t>FLEXXUS_NO_BANCO</t>
        </is>
      </c>
      <c r="C61" s="8" t="inlineStr">
        <is>
          <t>27/04/2026</t>
        </is>
      </c>
      <c r="D61" s="8" t="inlineStr">
        <is>
          <t>QR</t>
        </is>
      </c>
      <c r="E61" s="8" t="inlineStr">
        <is>
          <t>108768</t>
        </is>
      </c>
      <c r="F61" s="8" t="inlineStr">
        <is>
          <t>CR DEBIN SPOT - CUIT/CUIL: 30711424179</t>
        </is>
      </c>
      <c r="G61" s="8" t="inlineStr"/>
      <c r="H61" s="9" t="n">
        <v>9408.040000000001</v>
      </c>
      <c r="I61" s="8" t="inlineStr">
        <is>
          <t>Regulariza Flexxus no Banco anterior</t>
        </is>
      </c>
    </row>
    <row r="62">
      <c r="A62" s="8" t="inlineStr">
        <is>
          <t>PEND-2075C4605E07-A001</t>
        </is>
      </c>
      <c r="B62" s="8" t="inlineStr">
        <is>
          <t>FLEXXUS_NO_BANCO</t>
        </is>
      </c>
      <c r="C62" s="8" t="inlineStr">
        <is>
          <t>27/04/2026</t>
        </is>
      </c>
      <c r="D62" s="8" t="inlineStr">
        <is>
          <t>QR</t>
        </is>
      </c>
      <c r="E62" s="8" t="inlineStr">
        <is>
          <t>108799</t>
        </is>
      </c>
      <c r="F62" s="8" t="inlineStr">
        <is>
          <t>CR DEBIN SPOT - CUIT/CUIL: 30711424179</t>
        </is>
      </c>
      <c r="G62" s="8" t="inlineStr"/>
      <c r="H62" s="9" t="n">
        <v>8912.879999999999</v>
      </c>
      <c r="I62" s="8" t="inlineStr">
        <is>
          <t>Regulariza Flexxus no Banco anterior</t>
        </is>
      </c>
    </row>
    <row r="63">
      <c r="A63" s="8" t="inlineStr">
        <is>
          <t>PEND-AB01F26DE461-A001</t>
        </is>
      </c>
      <c r="B63" s="8" t="inlineStr">
        <is>
          <t>FLEXXUS_NO_BANCO</t>
        </is>
      </c>
      <c r="C63" s="8" t="inlineStr">
        <is>
          <t>27/04/2026</t>
        </is>
      </c>
      <c r="D63" s="8" t="inlineStr">
        <is>
          <t>QR</t>
        </is>
      </c>
      <c r="E63" s="8" t="inlineStr">
        <is>
          <t>108878</t>
        </is>
      </c>
      <c r="F63" s="8" t="inlineStr">
        <is>
          <t>CR DEBIN SPOT</t>
        </is>
      </c>
      <c r="G63" s="8" t="inlineStr"/>
      <c r="H63" s="9" t="n">
        <v>4456.44</v>
      </c>
      <c r="I63" s="8" t="inlineStr">
        <is>
          <t>Regulariza Flexxus no Banco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10</v>
      </c>
      <c r="C2" s="4" t="n">
        <v>296593.75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12</v>
      </c>
      <c r="C5" s="4" t="n">
        <v>12658013.75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27/04/2026</t>
        </is>
      </c>
      <c r="B7" s="8" t="inlineStr">
        <is>
          <t>MB-ENT-EX</t>
        </is>
      </c>
      <c r="C7" s="8" t="inlineStr">
        <is>
          <t>0000-00026805</t>
        </is>
      </c>
      <c r="D7" s="9" t="n">
        <v>10000000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DEB.TRAN.INTERBMISMO TIT</t>
        </is>
      </c>
      <c r="H7" s="8" t="inlineStr">
        <is>
          <t>108757</t>
        </is>
      </c>
      <c r="I7" s="8" t="inlineStr">
        <is>
          <t>No</t>
        </is>
      </c>
    </row>
    <row r="8">
      <c r="A8" s="8" t="inlineStr">
        <is>
          <t>27/04/2026</t>
        </is>
      </c>
      <c r="B8" s="8" t="inlineStr">
        <is>
          <t>MB-ENT-EX</t>
        </is>
      </c>
      <c r="C8" s="8" t="inlineStr">
        <is>
          <t>0000-00026810</t>
        </is>
      </c>
      <c r="D8" s="9" t="n">
        <v>2361420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DB DEBIN PREAU/PROGRAMADO</t>
        </is>
      </c>
      <c r="H8" s="8" t="inlineStr">
        <is>
          <t>108845</t>
        </is>
      </c>
      <c r="I8" s="8" t="inlineStr">
        <is>
          <t>No</t>
        </is>
      </c>
    </row>
    <row r="9">
      <c r="A9" s="8" t="inlineStr">
        <is>
          <t>27/04/2026</t>
        </is>
      </c>
      <c r="B9" s="8" t="inlineStr">
        <is>
          <t>PAV</t>
        </is>
      </c>
      <c r="C9" s="8" t="inlineStr">
        <is>
          <t>2100058161</t>
        </is>
      </c>
      <c r="D9" s="9" t="n">
        <v>24758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108789</t>
        </is>
      </c>
      <c r="I9" s="8" t="inlineStr">
        <is>
          <t>No</t>
        </is>
      </c>
    </row>
    <row r="10">
      <c r="A10" s="8" t="inlineStr">
        <is>
          <t>27/04/2026</t>
        </is>
      </c>
      <c r="B10" s="8" t="inlineStr">
        <is>
          <t>PAV</t>
        </is>
      </c>
      <c r="C10" s="8" t="inlineStr">
        <is>
          <t>2100058162</t>
        </is>
      </c>
      <c r="D10" s="9" t="n">
        <v>18879.65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LIQ MASTER DEB 24H</t>
        </is>
      </c>
      <c r="H10" s="8" t="inlineStr">
        <is>
          <t>29841642</t>
        </is>
      </c>
      <c r="I10" s="8" t="inlineStr">
        <is>
          <t>No</t>
        </is>
      </c>
    </row>
    <row r="11">
      <c r="A11" s="8" t="inlineStr">
        <is>
          <t>27/04/2026</t>
        </is>
      </c>
      <c r="B11" s="8" t="inlineStr">
        <is>
          <t>PAV</t>
        </is>
      </c>
      <c r="C11" s="8" t="inlineStr">
        <is>
          <t>2100058163</t>
        </is>
      </c>
      <c r="D11" s="9" t="n">
        <v>133267.71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LIQ MASTER DEB 24H</t>
        </is>
      </c>
      <c r="H11" s="8" t="inlineStr">
        <is>
          <t>29841642</t>
        </is>
      </c>
      <c r="I11" s="8" t="inlineStr">
        <is>
          <t>No</t>
        </is>
      </c>
    </row>
    <row r="12">
      <c r="A12" s="8" t="inlineStr">
        <is>
          <t>27/04/2026</t>
        </is>
      </c>
      <c r="B12" s="8" t="inlineStr">
        <is>
          <t>PAV</t>
        </is>
      </c>
      <c r="C12" s="8" t="inlineStr">
        <is>
          <t>3400068666</t>
        </is>
      </c>
      <c r="D12" s="9" t="n">
        <v>9195.27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LIQ MASTERCARD 24H</t>
        </is>
      </c>
      <c r="H12" s="8" t="inlineStr">
        <is>
          <t>29841705</t>
        </is>
      </c>
      <c r="I12" s="8" t="inlineStr">
        <is>
          <t>No</t>
        </is>
      </c>
    </row>
    <row r="13">
      <c r="A13" s="8" t="inlineStr">
        <is>
          <t>27/04/2026</t>
        </is>
      </c>
      <c r="B13" s="8" t="inlineStr">
        <is>
          <t>PAV</t>
        </is>
      </c>
      <c r="C13" s="8" t="inlineStr">
        <is>
          <t>3400068667</t>
        </is>
      </c>
      <c r="D13" s="9" t="n">
        <v>6520.14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27/04/2026</t>
        </is>
      </c>
      <c r="B14" s="8" t="inlineStr">
        <is>
          <t>PAV</t>
        </is>
      </c>
      <c r="C14" s="8" t="inlineStr">
        <is>
          <t>3400068668</t>
        </is>
      </c>
      <c r="D14" s="9" t="n">
        <v>4401.99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27/04/2026</t>
        </is>
      </c>
      <c r="B15" s="8" t="inlineStr">
        <is>
          <t>PAV</t>
        </is>
      </c>
      <c r="C15" s="8" t="inlineStr">
        <is>
          <t>3400068669</t>
        </is>
      </c>
      <c r="D15" s="9" t="n">
        <v>30031.35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LIQ MASTER DEB 24H</t>
        </is>
      </c>
      <c r="H15" s="8" t="inlineStr">
        <is>
          <t>29841705</t>
        </is>
      </c>
      <c r="I15" s="8" t="inlineStr">
        <is>
          <t>No</t>
        </is>
      </c>
    </row>
    <row r="16">
      <c r="A16" s="8" t="inlineStr">
        <is>
          <t>27/04/2026</t>
        </is>
      </c>
      <c r="B16" s="8" t="inlineStr">
        <is>
          <t>PAV</t>
        </is>
      </c>
      <c r="C16" s="8" t="inlineStr">
        <is>
          <t>3400068670</t>
        </is>
      </c>
      <c r="D16" s="9" t="n">
        <v>32600.7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LIQ MASTER DEB 24H</t>
        </is>
      </c>
      <c r="H16" s="8" t="inlineStr">
        <is>
          <t>29841705</t>
        </is>
      </c>
      <c r="I16" s="8" t="inlineStr">
        <is>
          <t>No</t>
        </is>
      </c>
    </row>
    <row r="17">
      <c r="A17" s="8" t="inlineStr">
        <is>
          <t>27/04/2026</t>
        </is>
      </c>
      <c r="B17" s="8" t="inlineStr">
        <is>
          <t>PAV</t>
        </is>
      </c>
      <c r="C17" s="8" t="inlineStr">
        <is>
          <t>3400068671</t>
        </is>
      </c>
      <c r="D17" s="9" t="n">
        <v>32482.5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108846</t>
        </is>
      </c>
      <c r="I17" s="8" t="inlineStr">
        <is>
          <t>No</t>
        </is>
      </c>
    </row>
    <row r="18">
      <c r="A18" s="8" t="inlineStr">
        <is>
          <t>27/04/2026</t>
        </is>
      </c>
      <c r="B18" s="8" t="inlineStr">
        <is>
          <t>PAV</t>
        </is>
      </c>
      <c r="C18" s="8" t="inlineStr">
        <is>
          <t>3400068676</t>
        </is>
      </c>
      <c r="D18" s="9" t="n">
        <v>4456.44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108800</t>
        </is>
      </c>
      <c r="I18" s="8" t="inlineStr">
        <is>
          <t>No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4" customWidth="1" min="10" max="10"/>
    <col width="20" customWidth="1" min="11" max="11"/>
    <col width="16" customWidth="1" min="12" max="12"/>
    <col width="13" customWidth="1" min="13" max="13"/>
    <col width="16" customWidth="1" min="14" max="14"/>
    <col width="14" customWidth="1" min="15" max="15"/>
    <col width="18" customWidth="1" min="16" max="16"/>
    <col width="15" customWidth="1" min="17" max="17"/>
    <col width="30" customWidth="1" min="18" max="18"/>
    <col width="39" customWidth="1" min="19" max="19"/>
  </cols>
  <sheetData>
    <row r="1">
      <c r="A1" s="7" t="inlineStr">
        <is>
          <t>Fecha QR</t>
        </is>
      </c>
      <c r="B1" s="7" t="inlineStr">
        <is>
          <t>Estado QR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Fecha banco</t>
        </is>
      </c>
      <c r="K1" s="7" t="inlineStr">
        <is>
          <t>Comprobante banco</t>
        </is>
      </c>
      <c r="L1" s="7" t="inlineStr">
        <is>
          <t>Importe banco</t>
        </is>
      </c>
      <c r="M1" s="7" t="inlineStr">
        <is>
          <t>En Flexxus</t>
        </is>
      </c>
      <c r="N1" s="7" t="inlineStr">
        <is>
          <t>Fecha Flexxus</t>
        </is>
      </c>
      <c r="O1" s="7" t="inlineStr">
        <is>
          <t>PAV Flexxus</t>
        </is>
      </c>
      <c r="P1" s="7" t="inlineStr">
        <is>
          <t>Importe Flexxus</t>
        </is>
      </c>
      <c r="Q1" s="7" t="inlineStr">
        <is>
          <t>Estado Match</t>
        </is>
      </c>
      <c r="R1" s="7" t="inlineStr">
        <is>
          <t>Tratamiento contable</t>
        </is>
      </c>
      <c r="S1" s="7" t="inlineStr">
        <is>
          <t>Diagnóstico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27/04/2026</t>
        </is>
      </c>
      <c r="K2" s="8" t="inlineStr">
        <is>
          <t>108847</t>
        </is>
      </c>
      <c r="L2" s="9" t="n">
        <v>24758</v>
      </c>
      <c r="M2" s="8" t="inlineStr">
        <is>
          <t>Sí</t>
        </is>
      </c>
      <c r="N2" s="8" t="inlineStr">
        <is>
          <t>27/04/2026</t>
        </is>
      </c>
      <c r="O2" s="8" t="inlineStr">
        <is>
          <t>2100058161</t>
        </is>
      </c>
      <c r="P2" s="9" t="n">
        <v>24758</v>
      </c>
      <c r="Q2" s="8" t="inlineStr">
        <is>
          <t>CERRADO</t>
        </is>
      </c>
      <c r="R2" s="8" t="inlineStr">
        <is>
          <t>Cerrado; no va a pendientes</t>
        </is>
      </c>
      <c r="S2" s="8" t="inlineStr">
        <is>
          <t>QR en Transacciones,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27/04/2026</t>
        </is>
      </c>
      <c r="K3" s="8" t="inlineStr">
        <is>
          <t>108846</t>
        </is>
      </c>
      <c r="L3" s="9" t="n">
        <v>32482.5</v>
      </c>
      <c r="M3" s="8" t="inlineStr">
        <is>
          <t>Sí</t>
        </is>
      </c>
      <c r="N3" s="8" t="inlineStr">
        <is>
          <t>27/04/2026</t>
        </is>
      </c>
      <c r="O3" s="8" t="inlineStr">
        <is>
          <t>3400068671</t>
        </is>
      </c>
      <c r="P3" s="9" t="n">
        <v>32482.5</v>
      </c>
      <c r="Q3" s="8" t="inlineStr">
        <is>
          <t>CERRADO</t>
        </is>
      </c>
      <c r="R3" s="8" t="inlineStr">
        <is>
          <t>Cerrado; no va a pendientes</t>
        </is>
      </c>
      <c r="S3" s="8" t="inlineStr">
        <is>
          <t>QR en Transacciones, Banco y Flexxus</t>
        </is>
      </c>
    </row>
  </sheetData>
  <autoFilter ref="A1:S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365</v>
      </c>
      <c r="C5" s="9" t="n">
        <v>1918878.27</v>
      </c>
      <c r="D5" s="9" t="n">
        <v>0</v>
      </c>
      <c r="E5" s="9" t="n">
        <v>0</v>
      </c>
      <c r="F5" s="9" t="n">
        <v>1918878.27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2</v>
      </c>
      <c r="C6" s="9" t="n">
        <v>23215.65</v>
      </c>
      <c r="D6" s="9" t="n">
        <v>23215.65</v>
      </c>
      <c r="E6" s="9" t="n">
        <v>0</v>
      </c>
      <c r="F6" s="9" t="n">
        <v>0</v>
      </c>
      <c r="G6" s="8" t="inlineStr">
        <is>
          <t>Liquidación tarjeta</t>
        </is>
      </c>
      <c r="H6" s="11" t="inlineStr">
        <is>
          <t>BAJA</t>
        </is>
      </c>
      <c r="I6" s="8" t="inlineStr">
        <is>
          <t>Local 2: revisar carga pendiente en Flexxus por ingresos bancarios no registrados y cierre administrativo.</t>
        </is>
      </c>
    </row>
    <row r="7">
      <c r="A7" s="8" t="inlineStr">
        <is>
          <t>Local 3</t>
        </is>
      </c>
      <c r="B7" s="8" t="n">
        <v>2</v>
      </c>
      <c r="C7" s="9" t="n">
        <v>108831.84</v>
      </c>
      <c r="D7" s="9" t="n">
        <v>108831.84</v>
      </c>
      <c r="E7" s="9" t="n">
        <v>0</v>
      </c>
      <c r="F7" s="9" t="n">
        <v>0</v>
      </c>
      <c r="G7" s="8" t="inlineStr">
        <is>
          <t>Liquidación tarjeta</t>
        </is>
      </c>
      <c r="H7" s="12" t="inlineStr">
        <is>
          <t>MEDIA</t>
        </is>
      </c>
      <c r="I7" s="8" t="inlineStr">
        <is>
          <t>Local 3: revisar carga pendiente en Flexxus por ingresos bancarios no registrados y cierre administrativo.</t>
        </is>
      </c>
    </row>
    <row r="8">
      <c r="A8" s="8" t="inlineStr">
        <is>
          <t>Local 5</t>
        </is>
      </c>
      <c r="B8" s="8" t="n">
        <v>6</v>
      </c>
      <c r="C8" s="9" t="n">
        <v>342638.14</v>
      </c>
      <c r="D8" s="9" t="n">
        <v>274176.67</v>
      </c>
      <c r="E8" s="9" t="n">
        <v>68461.47</v>
      </c>
      <c r="F8" s="9" t="n">
        <v>0</v>
      </c>
      <c r="G8" s="8" t="inlineStr">
        <is>
          <t>Liquidación tarjeta</t>
        </is>
      </c>
      <c r="H8" s="12" t="inlineStr">
        <is>
          <t>MEDIA</t>
        </is>
      </c>
      <c r="I8" s="8" t="inlineStr">
        <is>
          <t>Local 5: revisar carga pendiente en Flexxus por ingresos bancarios no registrados y cierre administrativo.</t>
        </is>
      </c>
    </row>
    <row r="9">
      <c r="A9" s="8" t="inlineStr">
        <is>
          <t>Local 7</t>
        </is>
      </c>
      <c r="B9" s="8" t="n">
        <v>7</v>
      </c>
      <c r="C9" s="9" t="n">
        <v>1706538.28</v>
      </c>
      <c r="D9" s="9" t="n">
        <v>1706538.28</v>
      </c>
      <c r="E9" s="9" t="n">
        <v>0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7: revisar carga pendiente en Flexxus por ingresos bancarios no registrados y cierre administrativo.</t>
        </is>
      </c>
    </row>
    <row r="10">
      <c r="A10" s="8" t="inlineStr">
        <is>
          <t>Local 8</t>
        </is>
      </c>
      <c r="B10" s="8" t="n">
        <v>6</v>
      </c>
      <c r="C10" s="9" t="n">
        <v>1872091.26</v>
      </c>
      <c r="D10" s="9" t="n">
        <v>1872091.26</v>
      </c>
      <c r="E10" s="9" t="n">
        <v>0</v>
      </c>
      <c r="F10" s="9" t="n">
        <v>0</v>
      </c>
      <c r="G10" s="8" t="inlineStr">
        <is>
          <t>Liquidación tarjeta</t>
        </is>
      </c>
      <c r="H10" s="10" t="inlineStr">
        <is>
          <t>ALTA</t>
        </is>
      </c>
      <c r="I10" s="8" t="inlineStr">
        <is>
          <t>Local 8: revisar carga pendiente en Flexxus por ingresos bancarios no registrados y cierre administrativo.</t>
        </is>
      </c>
    </row>
    <row r="11">
      <c r="A11" s="8" t="inlineStr">
        <is>
          <t>No identificado</t>
        </is>
      </c>
      <c r="B11" s="8" t="n">
        <v>36</v>
      </c>
      <c r="C11" s="9" t="n">
        <v>668447.2799999999</v>
      </c>
      <c r="D11" s="9" t="n">
        <v>629556.46</v>
      </c>
      <c r="E11" s="9" t="n">
        <v>38886.97</v>
      </c>
      <c r="F11" s="9" t="n">
        <v>3.85</v>
      </c>
      <c r="G11" s="8" t="inlineStr">
        <is>
          <t>QR / CR DEBIN SPOT</t>
        </is>
      </c>
      <c r="H11" s="10" t="inlineStr">
        <is>
          <t>ALTA</t>
        </is>
      </c>
      <c r="I11" s="8" t="inlineStr">
        <is>
          <t>Identificar origen/local de movimientos bancarios no registrados antes del cierre.</t>
        </is>
      </c>
    </row>
    <row r="12"/>
    <row r="13"/>
    <row r="14">
      <c r="A14" s="6" t="inlineStr">
        <is>
          <t>Detalle de hallazgos por local</t>
        </is>
      </c>
    </row>
    <row r="15">
      <c r="A15" s="7" t="inlineStr">
        <is>
          <t>Local</t>
        </is>
      </c>
      <c r="B15" s="7" t="inlineStr">
        <is>
          <t>Bloque</t>
        </is>
      </c>
      <c r="C15" s="7" t="inlineStr">
        <is>
          <t>Categoría</t>
        </is>
      </c>
      <c r="D15" s="7" t="inlineStr">
        <is>
          <t>Importe</t>
        </is>
      </c>
      <c r="E15" s="7" t="inlineStr">
        <is>
          <t>Estado trazabilidad</t>
        </is>
      </c>
      <c r="F15" s="7" t="inlineStr">
        <is>
          <t>Origen detectado</t>
        </is>
      </c>
      <c r="G15" s="7" t="inlineStr">
        <is>
          <t>Acción sugerida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26.74</v>
      </c>
      <c r="E16" s="8" t="inlineStr">
        <is>
          <t>ABIERTO_NUEVO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Monto=26,74 | Fecha: 27/04/2026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3885.71</v>
      </c>
      <c r="E17" s="8" t="inlineStr">
        <is>
          <t>ABIERTO_NUEVO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Monto=3.885,71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2158.11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Monto=2.158,11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195.6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Monto=195,60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696.47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Monto=696,47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799.61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Monto=799,61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80.02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Monto=80,02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1149.32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Monto=1.149,32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39.12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Monto=39,12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512.13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Monto=512,13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59.27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Monto=59,27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413.2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Monto=413,20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592.8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Monto=592,80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26.41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Monto=26,41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140.86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Monto=140,86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753.2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Monto=753,20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325.84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Monto=325,84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2831.56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Monto=2.831,56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1771.56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Monto=1.771,56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2720.69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Monto=2.720,69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2851.7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Monto=2.851,70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180.19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Monto=180,19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238.29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Monto=238,29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113.28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Monto=113,28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841.2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Monto=841,20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929.77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Monto=929,77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660.33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Monto=660,33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55.17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Monto=55,17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17011.1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Monto=17.011,10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148.55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Monto=148,55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194.9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Monto=194,90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146.17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Monto=146,17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68.33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Monto=68,33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360.08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Monto=360,08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345.82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Monto=345,82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402.27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Monto=402,27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45.75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Monto=45,75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417.12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Monto=417,12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387.41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Monto=387,41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206.78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Monto=206,78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160.43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Monto=160,43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161.03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Monto=161,03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232.33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Monto=232,33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70.11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Monto=70,11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74.27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Monto=74,27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329.78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Monto=329,78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165.78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Monto=165,78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142.61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Monto=142,61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419.5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Monto=419,50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137.26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Monto=137,26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80.22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Monto=80,22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205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Monto=205,00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148.55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Monto=148,55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68.33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Monto=68,33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478.32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Monto=478,32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142.61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Monto=142,61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99.81999999999999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Monto=99,82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564.48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Monto=564,48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260.26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Monto=260,26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80.22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Monto=80,22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87.94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Monto=87,94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136.66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Monto=136,66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160.43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Monto=160,43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297.1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Monto=297,10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307.79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Monto=307,79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454.56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Monto=454,56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147.36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Monto=147,36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89.13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Monto=89,13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365.43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Monto=365,43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168.16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Monto=168,16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160.43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Monto=160,43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232.92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Monto=232,92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145.58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Monto=145,58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228.76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Monto=228,76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53.48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Monto=53,48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26.74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Monto=26,74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53.48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Monto=53,48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257.88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Monto=257,88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153.3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Monto=153,30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468.22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Monto=468,22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506.25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Monto=506,25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75.45999999999999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Monto=75,46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728.48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Monto=728,48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113.49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Monto=113,49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205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Monto=205,00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58.83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Monto=58,83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148.55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Monto=148,55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62.98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Monto=62,98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272.73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Monto=272,73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68.33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Monto=68,33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639.65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Monto=639,65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437.33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Monto=437,33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189.25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Monto=189,25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378.5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Monto=378,50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347.01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Monto=347,01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395.73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Monto=395,73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73.68000000000001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Monto=73,68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199.05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Monto=199,05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199.05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Monto=199,05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79.03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Monto=79,03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376.12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Monto=376,12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453.37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Monto=453,37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50.51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Monto=50,51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26.74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Monto=26,74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275.71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Monto=275,71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314.92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Monto=314,92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46.35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Monto=46,35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56.45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Monto=56,45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80.22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Monto=80,22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136.66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Monto=136,66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160.43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Monto=160,43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80.22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Monto=80,22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303.63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Monto=303,63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655.99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Monto=655,99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240.65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Monto=240,65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202.03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Monto=202,03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896.64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Monto=896,64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41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Monto=41,00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682.13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Monto=682,13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débitos</t>
        </is>
      </c>
      <c r="D135" s="9" t="n">
        <v>0.27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S/DEB | Monto=0,27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débitos</t>
        </is>
      </c>
      <c r="D136" s="9" t="n">
        <v>38.86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S/DEB | Monto=38,86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débitos</t>
        </is>
      </c>
      <c r="D137" s="9" t="n">
        <v>21.58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S/DEB | Monto=21,58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débitos</t>
        </is>
      </c>
      <c r="D138" s="9" t="n">
        <v>1.96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S/DEB | Monto=1,96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débitos</t>
        </is>
      </c>
      <c r="D139" s="9" t="n">
        <v>6.96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S/DEB | Monto=6,96 | Fecha: 27/04/2026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débitos</t>
        </is>
      </c>
      <c r="D140" s="9" t="n">
        <v>8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S/DEB | Monto=8,00 | Fecha: 27/04/2026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débitos</t>
        </is>
      </c>
      <c r="D141" s="9" t="n">
        <v>0.8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S/DEB | Monto=0,80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débitos</t>
        </is>
      </c>
      <c r="D142" s="9" t="n">
        <v>11.49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S/DEB | Monto=11,49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débitos</t>
        </is>
      </c>
      <c r="D143" s="9" t="n">
        <v>0.39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S/DEB | Monto=0,39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débitos</t>
        </is>
      </c>
      <c r="D144" s="9" t="n">
        <v>5.12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S/DEB | Monto=5,12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débitos</t>
        </is>
      </c>
      <c r="D145" s="9" t="n">
        <v>0.59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S/DEB | Monto=0,59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débitos</t>
        </is>
      </c>
      <c r="D146" s="9" t="n">
        <v>4.13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S/DEB | Monto=4,13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débitos</t>
        </is>
      </c>
      <c r="D147" s="9" t="n">
        <v>5.93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S/DEB | Monto=5,93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débitos</t>
        </is>
      </c>
      <c r="D148" s="9" t="n">
        <v>1.41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S/DEB | Monto=1,41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débitos</t>
        </is>
      </c>
      <c r="D149" s="9" t="n">
        <v>7.53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S/DEB | Monto=7,53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débitos</t>
        </is>
      </c>
      <c r="D150" s="9" t="n">
        <v>3.26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S/DEB | Monto=3,26 | Fecha: 27/04/2026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débitos</t>
        </is>
      </c>
      <c r="D151" s="9" t="n">
        <v>28.32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S/DEB | Monto=28,32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débitos</t>
        </is>
      </c>
      <c r="D152" s="9" t="n">
        <v>17.72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S/DEB | Monto=17,72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débitos</t>
        </is>
      </c>
      <c r="D153" s="9" t="n">
        <v>27.21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S/DEB | Monto=27,21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débitos</t>
        </is>
      </c>
      <c r="D154" s="9" t="n">
        <v>28.52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S/DEB | Monto=28,52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débitos</t>
        </is>
      </c>
      <c r="D155" s="9" t="n">
        <v>1.8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S/DEB | Monto=1,80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débitos</t>
        </is>
      </c>
      <c r="D156" s="9" t="n">
        <v>2.38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S/DEB | Monto=2,38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débitos</t>
        </is>
      </c>
      <c r="D157" s="9" t="n">
        <v>1.13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S/DEB | Monto=1,13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débitos</t>
        </is>
      </c>
      <c r="D158" s="9" t="n">
        <v>8.41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S/DEB | Monto=8,41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débitos</t>
        </is>
      </c>
      <c r="D159" s="9" t="n">
        <v>9.300000000000001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S/DEB | Monto=9,30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débitos</t>
        </is>
      </c>
      <c r="D160" s="9" t="n">
        <v>6.6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S/DEB | Monto=6,60 | Fecha: 27/04/2026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débitos</t>
        </is>
      </c>
      <c r="D161" s="9" t="n">
        <v>0.55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S/DEB | Monto=0,55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débitos</t>
        </is>
      </c>
      <c r="D162" s="9" t="n">
        <v>170.11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S/DEB | Monto=170,11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débitos</t>
        </is>
      </c>
      <c r="D163" s="9" t="n">
        <v>1.49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S/DEB | Monto=1,49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débitos</t>
        </is>
      </c>
      <c r="D164" s="9" t="n">
        <v>1.95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S/DEB | Monto=1,95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débitos</t>
        </is>
      </c>
      <c r="D165" s="9" t="n">
        <v>1.46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S/DEB | Monto=1,46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débitos</t>
        </is>
      </c>
      <c r="D166" s="9" t="n">
        <v>0.68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S/DEB | Monto=0,68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débitos</t>
        </is>
      </c>
      <c r="D167" s="9" t="n">
        <v>3.46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S/DEB | Monto=3,46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débitos</t>
        </is>
      </c>
      <c r="D168" s="9" t="n">
        <v>4.02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S/DEB | Monto=4,02 | Fecha: 27/04/2026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débitos</t>
        </is>
      </c>
      <c r="D169" s="9" t="n">
        <v>0.46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S/DEB | Monto=0,46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débitos</t>
        </is>
      </c>
      <c r="D170" s="9" t="n">
        <v>4.17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S/DEB | Monto=4,17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débitos</t>
        </is>
      </c>
      <c r="D171" s="9" t="n">
        <v>3.87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S/DEB | Monto=3,87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débitos</t>
        </is>
      </c>
      <c r="D172" s="9" t="n">
        <v>2.07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S/DEB | Monto=2,07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débitos</t>
        </is>
      </c>
      <c r="D173" s="9" t="n">
        <v>1.6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S/DEB | Monto=1,60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débitos</t>
        </is>
      </c>
      <c r="D174" s="9" t="n">
        <v>1.61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S/DEB | Monto=1,61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débitos</t>
        </is>
      </c>
      <c r="D175" s="9" t="n">
        <v>2.32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S/DEB | Monto=2,32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débitos</t>
        </is>
      </c>
      <c r="D176" s="9" t="n">
        <v>0.7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S/DEB | Monto=0,70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débitos</t>
        </is>
      </c>
      <c r="D177" s="9" t="n">
        <v>0.74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S/DEB | Monto=0,74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débitos</t>
        </is>
      </c>
      <c r="D178" s="9" t="n">
        <v>3.3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S/DEB | Monto=3,30 | Fecha: 27/04/2026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1.66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Monto=1,66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1.43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Monto=1,43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4.2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Monto=4,20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1.37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Monto=1,37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0.8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Monto=0,80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2.05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Monto=2,05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1.49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Monto=1,49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0.68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Monto=0,68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4.78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Monto=4,78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1.43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Monto=1,43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1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Monto=1,00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5.64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Monto=5,64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2.6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Monto=2,60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0.8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Monto=0,80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0.88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Monto=0,88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1.37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Monto=1,37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1.6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Monto=1,60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2.97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Monto=2,97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3.08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Monto=3,08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4.55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Monto=4,55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1.47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Monto=1,47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0.89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Monto=0,89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3.65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Monto=3,65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1.68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Monto=1,68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1.6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Monto=1,60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2.33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Monto=2,33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1.46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Monto=1,46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2.29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Monto=2,29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0.53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Monto=0,53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0.27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Monto=0,27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0.53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Monto=0,53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2.58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Monto=2,58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1.53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Monto=1,53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4.68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Monto=4,68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5.06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Monto=5,06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0.75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Monto=0,75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7.28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Monto=7,28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1.13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Monto=1,13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2.05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Monto=2,05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0.59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Monto=0,59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1.49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Monto=1,49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0.63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Monto=0,63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2.73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Monto=2,73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0.68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Monto=0,68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6.4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Monto=6,40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4.37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Monto=4,37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1.89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Monto=1,89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3.78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Monto=3,78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3.47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Monto=3,47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3.96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Monto=3,96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0.74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Monto=0,74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1.99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Monto=1,99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1.99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Monto=1,99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0.79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Monto=0,79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3.76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Monto=3,76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4.53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Monto=4,53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0.51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Monto=0,51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0.27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Monto=0,27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2.76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Monto=2,76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3.15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Monto=3,15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0.46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Monto=0,46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0.5600000000000001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Monto=0,56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0.8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Monto=0,80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1.37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Monto=1,37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1.6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Monto=1,60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0.8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Monto=0,80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3.04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Monto=3,04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6.56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Monto=6,56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2.41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Monto=2,41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2.02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Monto=2,02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8.970000000000001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Monto=8,97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0.41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Monto=0,41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6.82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Monto=6,82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1.2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Monto=1,20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5.74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Monto=5,74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14168.52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Monto=14.168,52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0.26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Monto=0,26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3.6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Monto=3,60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Débito liquidación tarjeta</t>
        </is>
      </c>
      <c r="D257" s="9" t="n">
        <v>145.75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Movimiento=DEB LIQ MASTERCARD 24H | Monto=145,75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Débito liquidación tarjeta</t>
        </is>
      </c>
      <c r="D258" s="9" t="n">
        <v>24.86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Movimiento=DEB LIQ MASTERCARD 24H | Monto=24,86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Débito pago directo</t>
        </is>
      </c>
      <c r="D259" s="9" t="n">
        <v>1734593.38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Movimiento=DEBITO PAGO DIRECTO | Monto=1.734.593,38 | Fecha: 24/04/2026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Gasto bancario / comisión</t>
        </is>
      </c>
      <c r="D260" s="9" t="n">
        <v>956</v>
      </c>
      <c r="E260" s="8" t="inlineStr">
        <is>
          <t>ABIERTO_NUEVO</t>
        </is>
      </c>
      <c r="F260" s="8" t="inlineStr">
        <is>
          <t>Banco / impuesto / gasto</t>
        </is>
      </c>
      <c r="G260" s="8" t="inlineStr">
        <is>
          <t>Copiar en Flexxus: Tipo=MB-EXT | Movimiento=COM TRANSFE ELECTRONICA | Monto=956,00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IVA base / IVA sobre gastos</t>
        </is>
      </c>
      <c r="D261" s="9" t="n">
        <v>200.76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Movimiento=I.V.A. BASE | Monto=200,76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Retención Ingresos Brutos Mendoza</t>
        </is>
      </c>
      <c r="D262" s="9" t="n">
        <v>44.56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Movimiento=INGRESOS BRUTOS MENDOZA | Monto=44,56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Retención Ingresos Brutos Mendoza</t>
        </is>
      </c>
      <c r="D263" s="9" t="n">
        <v>6476.19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Movimiento=INGRESOS BRUTOS MENDOZA | Monto=6.476,19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Retención Ingresos Brutos Mendoza</t>
        </is>
      </c>
      <c r="D264" s="9" t="n">
        <v>3596.85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Movimiento=INGRESOS BRUTOS MENDOZA | Monto=3.596,85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Retención Ingresos Brutos Mendoza</t>
        </is>
      </c>
      <c r="D265" s="9" t="n">
        <v>326.01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Movimiento=INGRESOS BRUTOS MENDOZA | Monto=326,01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Retención Ingresos Brutos Mendoza</t>
        </is>
      </c>
      <c r="D266" s="9" t="n">
        <v>1160.78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Movimiento=INGRESOS BRUTOS MENDOZA | Monto=1.160,78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Retención Ingresos Brutos Mendoza</t>
        </is>
      </c>
      <c r="D267" s="9" t="n">
        <v>1332.68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Movimiento=INGRESOS BRUTOS MENDOZA | Monto=1.332,68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Retención Ingresos Brutos Mendoza</t>
        </is>
      </c>
      <c r="D268" s="9" t="n">
        <v>133.37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Movimiento=INGRESOS BRUTOS MENDOZA | Monto=133,37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Retención Ingresos Brutos Mendoza</t>
        </is>
      </c>
      <c r="D269" s="9" t="n">
        <v>1915.54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Movimiento=INGRESOS BRUTOS MENDOZA | Monto=1.915,54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Retención Ingresos Brutos Mendoza</t>
        </is>
      </c>
      <c r="D270" s="9" t="n">
        <v>65.2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Movimiento=INGRESOS BRUTOS MENDOZA | Monto=65,20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Retención Ingresos Brutos Mendoza</t>
        </is>
      </c>
      <c r="D271" s="9" t="n">
        <v>853.55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Movimiento=INGRESOS BRUTOS MENDOZA | Monto=853,55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Retención Ingresos Brutos Mendoza</t>
        </is>
      </c>
      <c r="D272" s="9" t="n">
        <v>98.79000000000001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Movimiento=INGRESOS BRUTOS MENDOZA | Monto=98,79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Retención Ingresos Brutos Mendoza</t>
        </is>
      </c>
      <c r="D273" s="9" t="n">
        <v>688.67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Movimiento=INGRESOS BRUTOS MENDOZA | Monto=688,67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Retención Ingresos Brutos Mendoza</t>
        </is>
      </c>
      <c r="D274" s="9" t="n">
        <v>988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Movimiento=INGRESOS BRUTOS MENDOZA | Monto=988,00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Retención Ingresos Brutos Mendoza</t>
        </is>
      </c>
      <c r="D275" s="9" t="n">
        <v>44.02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Movimiento=INGRESOS BRUTOS MENDOZA | Monto=44,02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Retención Ingresos Brutos Mendoza</t>
        </is>
      </c>
      <c r="D276" s="9" t="n">
        <v>234.77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Movimiento=INGRESOS BRUTOS MENDOZA | Monto=234,77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Retención Ingresos Brutos Mendoza</t>
        </is>
      </c>
      <c r="D277" s="9" t="n">
        <v>1255.34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Movimiento=INGRESOS BRUTOS MENDOZA | Monto=1.255,34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Retención Ingresos Brutos Mendoza</t>
        </is>
      </c>
      <c r="D278" s="9" t="n">
        <v>543.0599999999999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Movimiento=INGRESOS BRUTOS MENDOZA | Monto=543,06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Retención Ingresos Brutos Mendoza</t>
        </is>
      </c>
      <c r="D279" s="9" t="n">
        <v>4719.26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Movimiento=INGRESOS BRUTOS MENDOZA | Monto=4.719,26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Retención Ingresos Brutos Mendoza</t>
        </is>
      </c>
      <c r="D280" s="9" t="n">
        <v>2952.59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Movimiento=INGRESOS BRUTOS MENDOZA | Monto=2.952,59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Retención Ingresos Brutos Mendoza</t>
        </is>
      </c>
      <c r="D281" s="9" t="n">
        <v>4534.48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Movimiento=INGRESOS BRUTOS MENDOZA | Monto=4.534,48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Retención Ingresos Brutos Mendoza</t>
        </is>
      </c>
      <c r="D282" s="9" t="n">
        <v>4752.83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Movimiento=INGRESOS BRUTOS MENDOZA | Monto=4.752,83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Retención Ingresos Brutos Mendoza</t>
        </is>
      </c>
      <c r="D283" s="9" t="n">
        <v>300.31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Movimiento=INGRESOS BRUTOS MENDOZA | Monto=300,31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Retención Ingresos Brutos Mendoza</t>
        </is>
      </c>
      <c r="D284" s="9" t="n">
        <v>397.16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Movimiento=INGRESOS BRUTOS MENDOZA | Monto=397,16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Retención Ingresos Brutos Mendoza</t>
        </is>
      </c>
      <c r="D285" s="9" t="n">
        <v>188.8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Movimiento=INGRESOS BRUTOS MENDOZA | Monto=188,80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Retención Ingresos Brutos Mendoza</t>
        </is>
      </c>
      <c r="D286" s="9" t="n">
        <v>1401.99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Movimiento=INGRESOS BRUTOS MENDOZA | Monto=1.401,99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Retención Ingresos Brutos Mendoza</t>
        </is>
      </c>
      <c r="D287" s="9" t="n">
        <v>1549.62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Movimiento=INGRESOS BRUTOS MENDOZA | Monto=1.549,62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Retención Ingresos Brutos Mendoza</t>
        </is>
      </c>
      <c r="D288" s="9" t="n">
        <v>1100.54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Movimiento=INGRESOS BRUTOS MENDOZA | Monto=1.100,54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Retención Ingresos Brutos Mendoza</t>
        </is>
      </c>
      <c r="D289" s="9" t="n">
        <v>91.95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Movimiento=INGRESOS BRUTOS MENDOZA | Monto=91,95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Retención Ingresos Brutos Mendoza</t>
        </is>
      </c>
      <c r="D290" s="9" t="n">
        <v>28351.84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Movimiento=INGRESOS BRUTOS MENDOZA | Monto=28.351,84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Retención Ingresos Brutos Mendoza</t>
        </is>
      </c>
      <c r="D291" s="9" t="n">
        <v>247.58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Movimiento=INGRESOS BRUTOS MENDOZA | Monto=247,58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Retención Ingresos Brutos Mendoza</t>
        </is>
      </c>
      <c r="D292" s="9" t="n">
        <v>324.83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Movimiento=INGRESOS BRUTOS MENDOZA | Monto=324,83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Retención Ingresos Brutos Mendoza</t>
        </is>
      </c>
      <c r="D293" s="9" t="n">
        <v>243.62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Movimiento=INGRESOS BRUTOS MENDOZA | Monto=243,62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Retención Ingresos Brutos Mendoza</t>
        </is>
      </c>
      <c r="D294" s="9" t="n">
        <v>113.89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Movimiento=INGRESOS BRUTOS MENDOZA | Monto=113,89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Retención Ingresos Brutos Mendoza</t>
        </is>
      </c>
      <c r="D295" s="9" t="n">
        <v>600.13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Movimiento=INGRESOS BRUTOS MENDOZA | Monto=600,13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Retención Ingresos Brutos Mendoza</t>
        </is>
      </c>
      <c r="D296" s="9" t="n">
        <v>576.37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Movimiento=INGRESOS BRUTOS MENDOZA | Monto=576,37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Retención Ingresos Brutos Mendoza</t>
        </is>
      </c>
      <c r="D297" s="9" t="n">
        <v>670.45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Movimiento=INGRESOS BRUTOS MENDOZA | Monto=670,45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Retención Ingresos Brutos Mendoza</t>
        </is>
      </c>
      <c r="D298" s="9" t="n">
        <v>76.25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Movimiento=INGRESOS BRUTOS MENDOZA | Monto=76,25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Retención Ingresos Brutos Mendoza</t>
        </is>
      </c>
      <c r="D299" s="9" t="n">
        <v>695.2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Movimiento=INGRESOS BRUTOS MENDOZA | Monto=695,20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Retención Ingresos Brutos Mendoza</t>
        </is>
      </c>
      <c r="D300" s="9" t="n">
        <v>645.6900000000001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Movimiento=INGRESOS BRUTOS MENDOZA | Monto=645,69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Retención Ingresos Brutos Mendoza</t>
        </is>
      </c>
      <c r="D301" s="9" t="n">
        <v>344.63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Movimiento=INGRESOS BRUTOS MENDOZA | Monto=344,63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Retención Ingresos Brutos Mendoza</t>
        </is>
      </c>
      <c r="D302" s="9" t="n">
        <v>267.39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Movimiento=INGRESOS BRUTOS MENDOZA | Monto=267,39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Retención Ingresos Brutos Mendoza</t>
        </is>
      </c>
      <c r="D303" s="9" t="n">
        <v>268.38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Movimiento=INGRESOS BRUTOS MENDOZA | Monto=268,38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Retención Ingresos Brutos Mendoza</t>
        </is>
      </c>
      <c r="D304" s="9" t="n">
        <v>387.22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Movimiento=INGRESOS BRUTOS MENDOZA | Monto=387,22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Retención Ingresos Brutos Mendoza</t>
        </is>
      </c>
      <c r="D305" s="9" t="n">
        <v>116.86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Movimiento=INGRESOS BRUTOS MENDOZA | Monto=116,86 | Fecha: 27/04/2026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Retención Ingresos Brutos Mendoza</t>
        </is>
      </c>
      <c r="D306" s="9" t="n">
        <v>123.79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Movimiento=INGRESOS BRUTOS MENDOZA | Monto=123,79 | Fecha: 27/04/2026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Retención Ingresos Brutos Mendoza</t>
        </is>
      </c>
      <c r="D307" s="9" t="n">
        <v>549.63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Movimiento=INGRESOS BRUTOS MENDOZA | Monto=549,63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Retención Ingresos Brutos Mendoza</t>
        </is>
      </c>
      <c r="D308" s="9" t="n">
        <v>276.3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Movimiento=INGRESOS BRUTOS MENDOZA | Monto=276,30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Retención Ingresos Brutos Mendoza</t>
        </is>
      </c>
      <c r="D309" s="9" t="n">
        <v>237.68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Movimiento=INGRESOS BRUTOS MENDOZA | Monto=237,68 | Fecha: 27/04/2026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Retención Ingresos Brutos Mendoza</t>
        </is>
      </c>
      <c r="D310" s="9" t="n">
        <v>699.17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Movimiento=INGRESOS BRUTOS MENDOZA | Monto=699,17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Retención Ingresos Brutos Mendoza</t>
        </is>
      </c>
      <c r="D311" s="9" t="n">
        <v>228.76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Movimiento=INGRESOS BRUTOS MENDOZA | Monto=228,76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Retención Ingresos Brutos Mendoza</t>
        </is>
      </c>
      <c r="D312" s="9" t="n">
        <v>133.69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Movimiento=INGRESOS BRUTOS MENDOZA | Monto=133,69 | Fecha: 27/04/2026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Retención Ingresos Brutos Mendoza</t>
        </is>
      </c>
      <c r="D313" s="9" t="n">
        <v>341.66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Movimiento=INGRESOS BRUTOS MENDOZA | Monto=341,66 | Fecha: 27/04/2026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Retención Ingresos Brutos Mendoza</t>
        </is>
      </c>
      <c r="D314" s="9" t="n">
        <v>247.58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Movimiento=INGRESOS BRUTOS MENDOZA | Monto=247,58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Retención Ingresos Brutos Mendoza</t>
        </is>
      </c>
      <c r="D315" s="9" t="n">
        <v>113.89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Movimiento=INGRESOS BRUTOS MENDOZA | Monto=113,89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Retención Ingresos Brutos Mendoza</t>
        </is>
      </c>
      <c r="D316" s="9" t="n">
        <v>797.21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Movimiento=INGRESOS BRUTOS MENDOZA | Monto=797,21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Retención Ingresos Brutos Mendoza</t>
        </is>
      </c>
      <c r="D317" s="9" t="n">
        <v>237.68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Movimiento=INGRESOS BRUTOS MENDOZA | Monto=237,68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Retención Ingresos Brutos Mendoza</t>
        </is>
      </c>
      <c r="D318" s="9" t="n">
        <v>166.37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Movimiento=INGRESOS BRUTOS MENDOZA | Monto=166,37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Retención Ingresos Brutos Mendoza</t>
        </is>
      </c>
      <c r="D319" s="9" t="n">
        <v>940.8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Movimiento=INGRESOS BRUTOS MENDOZA | Monto=940,80 | Fecha: 27/04/2026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Retención Ingresos Brutos Mendoza</t>
        </is>
      </c>
      <c r="D320" s="9" t="n">
        <v>433.76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Movimiento=INGRESOS BRUTOS MENDOZA | Monto=433,76 | Fecha: 27/04/2026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Retención Ingresos Brutos Mendoza</t>
        </is>
      </c>
      <c r="D321" s="9" t="n">
        <v>133.69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Movimiento=INGRESOS BRUTOS MENDOZA | Monto=133,69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Retención Ingresos Brutos Mendoza</t>
        </is>
      </c>
      <c r="D322" s="9" t="n">
        <v>146.57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Movimiento=INGRESOS BRUTOS MENDOZA | Monto=146,57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Retención Ingresos Brutos Mendoza</t>
        </is>
      </c>
      <c r="D323" s="9" t="n">
        <v>227.77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Movimiento=INGRESOS BRUTOS MENDOZA | Monto=227,77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Retención Ingresos Brutos Mendoza</t>
        </is>
      </c>
      <c r="D324" s="9" t="n">
        <v>267.39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Movimiento=INGRESOS BRUTOS MENDOZA | Monto=267,39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Retención Ingresos Brutos Mendoza</t>
        </is>
      </c>
      <c r="D325" s="9" t="n">
        <v>495.16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Movimiento=INGRESOS BRUTOS MENDOZA | Monto=495,16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Retención Ingresos Brutos Mendoza</t>
        </is>
      </c>
      <c r="D326" s="9" t="n">
        <v>512.99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Movimiento=INGRESOS BRUTOS MENDOZA | Monto=512,99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Retención Ingresos Brutos Mendoza</t>
        </is>
      </c>
      <c r="D327" s="9" t="n">
        <v>757.59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Movimiento=INGRESOS BRUTOS MENDOZA | Monto=757,59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Retención Ingresos Brutos Mendoza</t>
        </is>
      </c>
      <c r="D328" s="9" t="n">
        <v>245.6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Movimiento=INGRESOS BRUTOS MENDOZA | Monto=245,60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Retención Ingresos Brutos Mendoza</t>
        </is>
      </c>
      <c r="D329" s="9" t="n">
        <v>148.55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Movimiento=INGRESOS BRUTOS MENDOZA | Monto=148,55 | Fecha: 27/04/2026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Retención Ingresos Brutos Mendoza</t>
        </is>
      </c>
      <c r="D330" s="9" t="n">
        <v>609.05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Movimiento=INGRESOS BRUTOS MENDOZA | Monto=609,05 | Fecha: 27/04/2026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Retención Ingresos Brutos Mendoza</t>
        </is>
      </c>
      <c r="D331" s="9" t="n">
        <v>280.26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Movimiento=INGRESOS BRUTOS MENDOZA | Monto=280,26 | Fecha: 27/04/2026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Retención Ingresos Brutos Mendoza</t>
        </is>
      </c>
      <c r="D332" s="9" t="n">
        <v>267.39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Movimiento=INGRESOS BRUTOS MENDOZA | Monto=267,39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Retención Ingresos Brutos Mendoza</t>
        </is>
      </c>
      <c r="D333" s="9" t="n">
        <v>388.21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Movimiento=INGRESOS BRUTOS MENDOZA | Monto=388,21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Retención Ingresos Brutos Mendoza</t>
        </is>
      </c>
      <c r="D334" s="9" t="n">
        <v>242.63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Movimiento=INGRESOS BRUTOS MENDOZA | Monto=242,63 | Fecha: 27/04/2026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Retención Ingresos Brutos Mendoza</t>
        </is>
      </c>
      <c r="D335" s="9" t="n">
        <v>381.27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Movimiento=INGRESOS BRUTOS MENDOZA | Monto=381,27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Retención Ingresos Brutos Mendoza</t>
        </is>
      </c>
      <c r="D336" s="9" t="n">
        <v>89.13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Movimiento=INGRESOS BRUTOS MENDOZA | Monto=89,13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Retención Ingresos Brutos Mendoza</t>
        </is>
      </c>
      <c r="D337" s="9" t="n">
        <v>44.56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Movimiento=INGRESOS BRUTOS MENDOZA | Monto=44,56 | Fecha: 27/04/2026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Retención Ingresos Brutos Mendoza</t>
        </is>
      </c>
      <c r="D338" s="9" t="n">
        <v>89.13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Movimiento=INGRESOS BRUTOS MENDOZA | Monto=89,13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Retención Ingresos Brutos Mendoza</t>
        </is>
      </c>
      <c r="D339" s="9" t="n">
        <v>429.8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Movimiento=INGRESOS BRUTOS MENDOZA | Monto=429,80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Retención Ingresos Brutos Mendoza</t>
        </is>
      </c>
      <c r="D340" s="9" t="n">
        <v>255.5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Movimiento=INGRESOS BRUTOS MENDOZA | Monto=255,50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Retención Ingresos Brutos Mendoza</t>
        </is>
      </c>
      <c r="D341" s="9" t="n">
        <v>780.37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Movimiento=INGRESOS BRUTOS MENDOZA | Monto=780,37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Retención Ingresos Brutos Mendoza</t>
        </is>
      </c>
      <c r="D342" s="9" t="n">
        <v>843.75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Movimiento=INGRESOS BRUTOS MENDOZA | Monto=843,75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Retención Ingresos Brutos Mendoza</t>
        </is>
      </c>
      <c r="D343" s="9" t="n">
        <v>125.77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Movimiento=INGRESOS BRUTOS MENDOZA | Monto=125,77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Retención Ingresos Brutos Mendoza</t>
        </is>
      </c>
      <c r="D344" s="9" t="n">
        <v>1214.13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Movimiento=INGRESOS BRUTOS MENDOZA | Monto=1.214,13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Retención Ingresos Brutos Mendoza</t>
        </is>
      </c>
      <c r="D345" s="9" t="n">
        <v>189.15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Movimiento=INGRESOS BRUTOS MENDOZA | Monto=189,15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Retención Ingresos Brutos Mendoza</t>
        </is>
      </c>
      <c r="D346" s="9" t="n">
        <v>341.66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Movimiento=INGRESOS BRUTOS MENDOZA | Monto=341,66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Retención Ingresos Brutos Mendoza</t>
        </is>
      </c>
      <c r="D347" s="9" t="n">
        <v>98.04000000000001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Movimiento=INGRESOS BRUTOS MENDOZA | Monto=98,04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Retención Ingresos Brutos Mendoza</t>
        </is>
      </c>
      <c r="D348" s="9" t="n">
        <v>247.58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Movimiento=INGRESOS BRUTOS MENDOZA | Monto=247,58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Retención Ingresos Brutos Mendoza</t>
        </is>
      </c>
      <c r="D349" s="9" t="n">
        <v>104.97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Movimiento=INGRESOS BRUTOS MENDOZA | Monto=104,97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Retención Ingresos Brutos Mendoza</t>
        </is>
      </c>
      <c r="D350" s="9" t="n">
        <v>454.56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Movimiento=INGRESOS BRUTOS MENDOZA | Monto=454,56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Retención Ingresos Brutos Mendoza</t>
        </is>
      </c>
      <c r="D351" s="9" t="n">
        <v>113.89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Movimiento=INGRESOS BRUTOS MENDOZA | Monto=113,89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Retención Ingresos Brutos Mendoza</t>
        </is>
      </c>
      <c r="D352" s="9" t="n">
        <v>1066.08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Movimiento=INGRESOS BRUTOS MENDOZA | Monto=1.066,08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728.88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Monto=728,88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315.42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Monto=315,42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630.83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Monto=630,83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578.35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Monto=578,35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659.55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Monto=659,55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122.8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Monto=122,80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331.76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Monto=331,76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331.76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Monto=331,76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131.71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Monto=131,71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626.87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Monto=626,87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755.61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Monto=755,61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84.18000000000001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Monto=84,18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44.56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Monto=44,56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459.51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Monto=459,51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524.87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Monto=524,87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77.25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Monto=77,25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94.08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Monto=94,08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133.69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Monto=133,69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227.77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Monto=227,77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267.39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Monto=267,39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133.69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Monto=133,69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506.05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Monto=506,05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1093.31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Monto=1.093,31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401.08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Monto=401,08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336.71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Monto=336,71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1494.39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Monto=1.494,39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68.33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Monto=68,33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1136.89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Monto=1.136,89 | Fecha: 27/04/2026</t>
        </is>
      </c>
    </row>
    <row r="381">
      <c r="A381" s="8" t="inlineStr">
        <is>
          <t>Local 2</t>
        </is>
      </c>
      <c r="B381" s="8" t="inlineStr">
        <is>
          <t>Banco ingreso no Flexxus</t>
        </is>
      </c>
      <c r="C381" s="8" t="inlineStr">
        <is>
          <t>Liquidación tarjeta</t>
        </is>
      </c>
      <c r="D381" s="9" t="n">
        <v>13336.65</v>
      </c>
      <c r="E381" s="8" t="inlineStr">
        <is>
          <t>ABIERTO_NUEVO</t>
        </is>
      </c>
      <c r="F381" s="8" t="inlineStr">
        <is>
          <t>Identificado por TRX / liquidación tarjeta</t>
        </is>
      </c>
      <c r="G381" s="8" t="inlineStr">
        <is>
          <t>Revisar carga pendiente en Flexxus / cierre administrativo del local</t>
        </is>
      </c>
    </row>
    <row r="382">
      <c r="A382" s="8" t="inlineStr">
        <is>
          <t>Local 2</t>
        </is>
      </c>
      <c r="B382" s="8" t="inlineStr">
        <is>
          <t>Banco ingreso no Flexxus</t>
        </is>
      </c>
      <c r="C382" s="8" t="inlineStr">
        <is>
          <t>Liquidación tarjeta</t>
        </is>
      </c>
      <c r="D382" s="9" t="n">
        <v>9879</v>
      </c>
      <c r="E382" s="8" t="inlineStr">
        <is>
          <t>ABIERTO_NUEVO</t>
        </is>
      </c>
      <c r="F382" s="8" t="inlineStr">
        <is>
          <t>Identificado por TRX / liquidación tarjeta</t>
        </is>
      </c>
      <c r="G382" s="8" t="inlineStr">
        <is>
          <t>Revisar carga pendiente en Flexxus / cierre administrativo del local</t>
        </is>
      </c>
    </row>
    <row r="383">
      <c r="A383" s="8" t="inlineStr">
        <is>
          <t>Local 3</t>
        </is>
      </c>
      <c r="B383" s="8" t="inlineStr">
        <is>
          <t>Banco ingreso no Flexxus</t>
        </is>
      </c>
      <c r="C383" s="8" t="inlineStr">
        <is>
          <t>Liquidación tarjeta</t>
        </is>
      </c>
      <c r="D383" s="9" t="n">
        <v>85354.56</v>
      </c>
      <c r="E383" s="8" t="inlineStr">
        <is>
          <t>ABIERTO_NUEVO</t>
        </is>
      </c>
      <c r="F383" s="8" t="inlineStr">
        <is>
          <t>Identificado por TRX / liquidación tarjeta</t>
        </is>
      </c>
      <c r="G383" s="8" t="inlineStr">
        <is>
          <t>Revisar carga pendiente en Flexxus / cierre administrativo del local</t>
        </is>
      </c>
    </row>
    <row r="384">
      <c r="A384" s="8" t="inlineStr">
        <is>
          <t>Local 3</t>
        </is>
      </c>
      <c r="B384" s="8" t="inlineStr">
        <is>
          <t>Banco ingreso no Flexxus</t>
        </is>
      </c>
      <c r="C384" s="8" t="inlineStr">
        <is>
          <t>Liquidación tarjeta</t>
        </is>
      </c>
      <c r="D384" s="9" t="n">
        <v>23477.28</v>
      </c>
      <c r="E384" s="8" t="inlineStr">
        <is>
          <t>ABIERTO_NUEVO</t>
        </is>
      </c>
      <c r="F384" s="8" t="inlineStr">
        <is>
          <t>Identificado por TRX / liquidación tarjeta</t>
        </is>
      </c>
      <c r="G384" s="8" t="inlineStr">
        <is>
          <t>Revisar carga pendiente en Flexxus / cierre administrativo del local</t>
        </is>
      </c>
    </row>
    <row r="385">
      <c r="A385" s="8" t="inlineStr">
        <is>
          <t>Local 5</t>
        </is>
      </c>
      <c r="B385" s="8" t="inlineStr">
        <is>
          <t>Banco ingreso no Flexxus</t>
        </is>
      </c>
      <c r="C385" s="8" t="inlineStr">
        <is>
          <t>Liquidación tarjeta</t>
        </is>
      </c>
      <c r="D385" s="9" t="n">
        <v>116078.25</v>
      </c>
      <c r="E385" s="8" t="inlineStr">
        <is>
          <t>ABIERTO_NUEVO</t>
        </is>
      </c>
      <c r="F385" s="8" t="inlineStr">
        <is>
          <t>Identificado por TRX / liquidación tarjeta</t>
        </is>
      </c>
      <c r="G385" s="8" t="inlineStr">
        <is>
          <t>Revisar carga pendiente en Flexxus / cierre administrativo del local</t>
        </is>
      </c>
    </row>
    <row r="386">
      <c r="A386" s="8" t="inlineStr">
        <is>
          <t>Local 5</t>
        </is>
      </c>
      <c r="B386" s="8" t="inlineStr">
        <is>
          <t>Banco ingreso no Flexxus</t>
        </is>
      </c>
      <c r="C386" s="8" t="inlineStr">
        <is>
          <t>Liquidación tarjeta</t>
        </is>
      </c>
      <c r="D386" s="9" t="n">
        <v>68866.69</v>
      </c>
      <c r="E386" s="8" t="inlineStr">
        <is>
          <t>ABIERTO_NUEVO</t>
        </is>
      </c>
      <c r="F386" s="8" t="inlineStr">
        <is>
          <t>Identificado por TRX / liquidación tarjeta</t>
        </is>
      </c>
      <c r="G386" s="8" t="inlineStr">
        <is>
          <t>Revisar carga pendiente en Flexxus / cierre administrativo del local</t>
        </is>
      </c>
    </row>
    <row r="387">
      <c r="A387" s="8" t="inlineStr">
        <is>
          <t>Local 5</t>
        </is>
      </c>
      <c r="B387" s="8" t="inlineStr">
        <is>
          <t>Banco ingreso no Flexxus</t>
        </is>
      </c>
      <c r="C387" s="8" t="inlineStr">
        <is>
          <t>Liquidación tarjeta</t>
        </is>
      </c>
      <c r="D387" s="9" t="n">
        <v>39715.73</v>
      </c>
      <c r="E387" s="8" t="inlineStr">
        <is>
          <t>ABIERTO_NUEVO</t>
        </is>
      </c>
      <c r="F387" s="8" t="inlineStr">
        <is>
          <t>Identificado por TRX / liquidación tarjeta</t>
        </is>
      </c>
      <c r="G387" s="8" t="inlineStr">
        <is>
          <t>Revisar carga pendiente en Flexxus / cierre administrativo del local</t>
        </is>
      </c>
    </row>
    <row r="388">
      <c r="A388" s="8" t="inlineStr">
        <is>
          <t>Local 5</t>
        </is>
      </c>
      <c r="B388" s="8" t="inlineStr">
        <is>
          <t>Banco ingreso no Flexxus</t>
        </is>
      </c>
      <c r="C388" s="8" t="inlineStr">
        <is>
          <t>QR / CR DEBIN SPOT</t>
        </is>
      </c>
      <c r="D388" s="9" t="n">
        <v>24758</v>
      </c>
      <c r="E388" s="8" t="inlineStr">
        <is>
          <t>ABIERTO_NUEVO</t>
        </is>
      </c>
      <c r="F388" s="8" t="inlineStr">
        <is>
          <t>Identificado por Transacciones QR</t>
        </is>
      </c>
      <c r="G388" s="8" t="inlineStr">
        <is>
          <t>Revisar carga pendiente en Flexxus / cierre administrativo del local</t>
        </is>
      </c>
    </row>
    <row r="389">
      <c r="A389" s="8" t="inlineStr">
        <is>
          <t>Local 5</t>
        </is>
      </c>
      <c r="B389" s="8" t="inlineStr">
        <is>
          <t>Banco ingreso no Flexxus</t>
        </is>
      </c>
      <c r="C389" s="8" t="inlineStr">
        <is>
          <t>QR / CR DEBIN SPOT</t>
        </is>
      </c>
      <c r="D389" s="9" t="n">
        <v>24758</v>
      </c>
      <c r="E389" s="8" t="inlineStr">
        <is>
          <t>ABIERTO_NUEVO</t>
        </is>
      </c>
      <c r="F389" s="8" t="inlineStr">
        <is>
          <t>Identificado por Transacciones QR</t>
        </is>
      </c>
      <c r="G389" s="8" t="inlineStr">
        <is>
          <t>Revisar carga pendiente en Flexxus / cierre administrativo del local</t>
        </is>
      </c>
    </row>
    <row r="390">
      <c r="A390" s="8" t="inlineStr">
        <is>
          <t>Local 5</t>
        </is>
      </c>
      <c r="B390" s="8" t="inlineStr">
        <is>
          <t>Flexxus no Banco</t>
        </is>
      </c>
      <c r="C390" s="8" t="inlineStr">
        <is>
          <t>PAV</t>
        </is>
      </c>
      <c r="D390" s="9" t="n">
        <v>68461.47</v>
      </c>
      <c r="E390" s="8" t="inlineStr">
        <is>
          <t>ABIERTO</t>
        </is>
      </c>
      <c r="F390" s="8" t="inlineStr">
        <is>
          <t>Detectado desde Flexxus/TRX/QR</t>
        </is>
      </c>
      <c r="G390" s="8" t="inlineStr">
        <is>
          <t>Verificar acreditación bancaria o fecha de cierre</t>
        </is>
      </c>
    </row>
    <row r="391">
      <c r="A391" s="8" t="inlineStr">
        <is>
          <t>Local 7</t>
        </is>
      </c>
      <c r="B391" s="8" t="inlineStr">
        <is>
          <t>Banco ingreso no Flexxus</t>
        </is>
      </c>
      <c r="C391" s="8" t="inlineStr">
        <is>
          <t>Liquidación tarjeta</t>
        </is>
      </c>
      <c r="D391" s="9" t="n">
        <v>359684.79</v>
      </c>
      <c r="E391" s="8" t="inlineStr">
        <is>
          <t>ABIERTO_NUEVO</t>
        </is>
      </c>
      <c r="F391" s="8" t="inlineStr">
        <is>
          <t>Identificado por TRX / liquidación tarjeta</t>
        </is>
      </c>
      <c r="G391" s="8" t="inlineStr">
        <is>
          <t>Revisar carga pendiente en Flexxus / cierre administrativo del local</t>
        </is>
      </c>
    </row>
    <row r="392">
      <c r="A392" s="8" t="inlineStr">
        <is>
          <t>Local 7</t>
        </is>
      </c>
      <c r="B392" s="8" t="inlineStr">
        <is>
          <t>Banco ingreso no Flexxus</t>
        </is>
      </c>
      <c r="C392" s="8" t="inlineStr">
        <is>
          <t>Liquidación tarjeta</t>
        </is>
      </c>
      <c r="D392" s="9" t="n">
        <v>98800.22</v>
      </c>
      <c r="E392" s="8" t="inlineStr">
        <is>
          <t>ABIERTO_NUEVO</t>
        </is>
      </c>
      <c r="F392" s="8" t="inlineStr">
        <is>
          <t>Identificado por TRX / liquidación tarjeta</t>
        </is>
      </c>
      <c r="G392" s="8" t="inlineStr">
        <is>
          <t>Revisar carga pendiente en Flexxus / cierre administrativo del local</t>
        </is>
      </c>
    </row>
    <row r="393">
      <c r="A393" s="8" t="inlineStr">
        <is>
          <t>Local 7</t>
        </is>
      </c>
      <c r="B393" s="8" t="inlineStr">
        <is>
          <t>Banco ingreso no Flexxus</t>
        </is>
      </c>
      <c r="C393" s="8" t="inlineStr">
        <is>
          <t>Liquidación tarjeta</t>
        </is>
      </c>
      <c r="D393" s="9" t="n">
        <v>54306</v>
      </c>
      <c r="E393" s="8" t="inlineStr">
        <is>
          <t>ABIERTO_NUEVO</t>
        </is>
      </c>
      <c r="F393" s="8" t="inlineStr">
        <is>
          <t>Identificado por TRX / liquidación tarjeta</t>
        </is>
      </c>
      <c r="G393" s="8" t="inlineStr">
        <is>
          <t>Revisar carga pendiente en Flexxus / cierre administrativo del local</t>
        </is>
      </c>
    </row>
    <row r="394">
      <c r="A394" s="8" t="inlineStr">
        <is>
          <t>Local 7</t>
        </is>
      </c>
      <c r="B394" s="8" t="inlineStr">
        <is>
          <t>Banco ingreso no Flexxus</t>
        </is>
      </c>
      <c r="C394" s="8" t="inlineStr">
        <is>
          <t>Liquidación tarjeta</t>
        </is>
      </c>
      <c r="D394" s="9" t="n">
        <v>453447.98</v>
      </c>
      <c r="E394" s="8" t="inlineStr">
        <is>
          <t>ABIERTO_NUEVO</t>
        </is>
      </c>
      <c r="F394" s="8" t="inlineStr">
        <is>
          <t>Identificado por TRX / liquidación tarjeta</t>
        </is>
      </c>
      <c r="G394" s="8" t="inlineStr">
        <is>
          <t>Revisar carga pendiente en Flexxus / cierre administrativo del local</t>
        </is>
      </c>
    </row>
    <row r="395">
      <c r="A395" s="8" t="inlineStr">
        <is>
          <t>Local 7</t>
        </is>
      </c>
      <c r="B395" s="8" t="inlineStr">
        <is>
          <t>Banco ingreso no Flexxus</t>
        </is>
      </c>
      <c r="C395" s="8" t="inlineStr">
        <is>
          <t>Liquidación tarjeta</t>
        </is>
      </c>
      <c r="D395" s="9" t="n">
        <v>475282.85</v>
      </c>
      <c r="E395" s="8" t="inlineStr">
        <is>
          <t>ABIERTO_NUEVO</t>
        </is>
      </c>
      <c r="F395" s="8" t="inlineStr">
        <is>
          <t>Identificado por TRX / liquidación tarjeta</t>
        </is>
      </c>
      <c r="G395" s="8" t="inlineStr">
        <is>
          <t>Revisar carga pendiente en Flexxus / cierre administrativo del local</t>
        </is>
      </c>
    </row>
    <row r="396">
      <c r="A396" s="8" t="inlineStr">
        <is>
          <t>Local 7</t>
        </is>
      </c>
      <c r="B396" s="8" t="inlineStr">
        <is>
          <t>Banco ingreso no Flexxus</t>
        </is>
      </c>
      <c r="C396" s="8" t="inlineStr">
        <is>
          <t>Liquidación tarjeta</t>
        </is>
      </c>
      <c r="D396" s="9" t="n">
        <v>154962.27</v>
      </c>
      <c r="E396" s="8" t="inlineStr">
        <is>
          <t>ABIERTO_NUEVO</t>
        </is>
      </c>
      <c r="F396" s="8" t="inlineStr">
        <is>
          <t>Identificado por TRX / liquidación tarjeta</t>
        </is>
      </c>
      <c r="G396" s="8" t="inlineStr">
        <is>
          <t>Revisar carga pendiente en Flexxus / cierre administrativo del local</t>
        </is>
      </c>
    </row>
    <row r="397">
      <c r="A397" s="8" t="inlineStr">
        <is>
          <t>Local 7</t>
        </is>
      </c>
      <c r="B397" s="8" t="inlineStr">
        <is>
          <t>Banco ingreso no Flexxus</t>
        </is>
      </c>
      <c r="C397" s="8" t="inlineStr">
        <is>
          <t>Liquidación tarjeta</t>
        </is>
      </c>
      <c r="D397" s="9" t="n">
        <v>110054.17</v>
      </c>
      <c r="E397" s="8" t="inlineStr">
        <is>
          <t>ABIERTO_NUEVO</t>
        </is>
      </c>
      <c r="F397" s="8" t="inlineStr">
        <is>
          <t>Identificado por TRX / liquidación tarjeta</t>
        </is>
      </c>
      <c r="G397" s="8" t="inlineStr">
        <is>
          <t>Revisar carga pendiente en Flexxus / cierre administrativo del local</t>
        </is>
      </c>
    </row>
    <row r="398">
      <c r="A398" s="8" t="inlineStr">
        <is>
          <t>Local 8</t>
        </is>
      </c>
      <c r="B398" s="8" t="inlineStr">
        <is>
          <t>Banco ingreso no Flexxus</t>
        </is>
      </c>
      <c r="C398" s="8" t="inlineStr">
        <is>
          <t>Liquidación tarjeta</t>
        </is>
      </c>
      <c r="D398" s="9" t="n">
        <v>647618.6899999999</v>
      </c>
      <c r="E398" s="8" t="inlineStr">
        <is>
          <t>ABIERTO_NUEVO</t>
        </is>
      </c>
      <c r="F398" s="8" t="inlineStr">
        <is>
          <t>Identificado por TRX / liquidación tarjeta</t>
        </is>
      </c>
      <c r="G398" s="8" t="inlineStr">
        <is>
          <t>Revisar carga pendiente en Flexxus / cierre administrativo del local</t>
        </is>
      </c>
    </row>
    <row r="399">
      <c r="A399" s="8" t="inlineStr">
        <is>
          <t>Local 8</t>
        </is>
      </c>
      <c r="B399" s="8" t="inlineStr">
        <is>
          <t>Banco ingreso no Flexxus</t>
        </is>
      </c>
      <c r="C399" s="8" t="inlineStr">
        <is>
          <t>Liquidación tarjeta</t>
        </is>
      </c>
      <c r="D399" s="9" t="n">
        <v>191553.81</v>
      </c>
      <c r="E399" s="8" t="inlineStr">
        <is>
          <t>ABIERTO_NUEVO</t>
        </is>
      </c>
      <c r="F399" s="8" t="inlineStr">
        <is>
          <t>Identificado por TRX / liquidación tarjeta</t>
        </is>
      </c>
      <c r="G399" s="8" t="inlineStr">
        <is>
          <t>Revisar carga pendiente en Flexxus / cierre administrativo del local</t>
        </is>
      </c>
    </row>
    <row r="400">
      <c r="A400" s="8" t="inlineStr">
        <is>
          <t>Local 8</t>
        </is>
      </c>
      <c r="B400" s="8" t="inlineStr">
        <is>
          <t>Banco ingreso no Flexxus</t>
        </is>
      </c>
      <c r="C400" s="8" t="inlineStr">
        <is>
          <t>Liquidación tarjeta</t>
        </is>
      </c>
      <c r="D400" s="9" t="n">
        <v>125533.95</v>
      </c>
      <c r="E400" s="8" t="inlineStr">
        <is>
          <t>ABIERTO_NUEVO</t>
        </is>
      </c>
      <c r="F400" s="8" t="inlineStr">
        <is>
          <t>Identificado por TRX / liquidación tarjeta</t>
        </is>
      </c>
      <c r="G400" s="8" t="inlineStr">
        <is>
          <t>Revisar carga pendiente en Flexxus / cierre administrativo del local</t>
        </is>
      </c>
    </row>
    <row r="401">
      <c r="A401" s="8" t="inlineStr">
        <is>
          <t>Local 8</t>
        </is>
      </c>
      <c r="B401" s="8" t="inlineStr">
        <is>
          <t>Banco ingreso no Flexxus</t>
        </is>
      </c>
      <c r="C401" s="8" t="inlineStr">
        <is>
          <t>Liquidación tarjeta</t>
        </is>
      </c>
      <c r="D401" s="9" t="n">
        <v>471926.13</v>
      </c>
      <c r="E401" s="8" t="inlineStr">
        <is>
          <t>ABIERTO_NUEVO</t>
        </is>
      </c>
      <c r="F401" s="8" t="inlineStr">
        <is>
          <t>Identificado por TRX / liquidación tarjeta</t>
        </is>
      </c>
      <c r="G401" s="8" t="inlineStr">
        <is>
          <t>Revisar carga pendiente en Flexxus / cierre administrativo del local</t>
        </is>
      </c>
    </row>
    <row r="402">
      <c r="A402" s="8" t="inlineStr">
        <is>
          <t>Local 8</t>
        </is>
      </c>
      <c r="B402" s="8" t="inlineStr">
        <is>
          <t>Banco ingreso no Flexxus</t>
        </is>
      </c>
      <c r="C402" s="8" t="inlineStr">
        <is>
          <t>Liquidación tarjeta</t>
        </is>
      </c>
      <c r="D402" s="9" t="n">
        <v>295259.37</v>
      </c>
      <c r="E402" s="8" t="inlineStr">
        <is>
          <t>ABIERTO_NUEVO</t>
        </is>
      </c>
      <c r="F402" s="8" t="inlineStr">
        <is>
          <t>Identificado por TRX / liquidación tarjeta</t>
        </is>
      </c>
      <c r="G402" s="8" t="inlineStr">
        <is>
          <t>Revisar carga pendiente en Flexxus / cierre administrativo del local</t>
        </is>
      </c>
    </row>
    <row r="403">
      <c r="A403" s="8" t="inlineStr">
        <is>
          <t>Local 8</t>
        </is>
      </c>
      <c r="B403" s="8" t="inlineStr">
        <is>
          <t>Banco ingreso no Flexxus</t>
        </is>
      </c>
      <c r="C403" s="8" t="inlineStr">
        <is>
          <t>Liquidación tarjeta</t>
        </is>
      </c>
      <c r="D403" s="9" t="n">
        <v>140199.31</v>
      </c>
      <c r="E403" s="8" t="inlineStr">
        <is>
          <t>ABIERTO_NUEVO</t>
        </is>
      </c>
      <c r="F403" s="8" t="inlineStr">
        <is>
          <t>Identificado por TRX / liquidación tarjeta</t>
        </is>
      </c>
      <c r="G403" s="8" t="inlineStr">
        <is>
          <t>Revisar carga pendiente en Flexxus / cierre administrativo del local</t>
        </is>
      </c>
    </row>
    <row r="404">
      <c r="A404" s="8" t="inlineStr">
        <is>
          <t>No identificado</t>
        </is>
      </c>
      <c r="B404" s="8" t="inlineStr">
        <is>
          <t>Banco egreso no Flexxus</t>
        </is>
      </c>
      <c r="C404" s="8" t="inlineStr">
        <is>
          <t>Ajuste menor redondeo/extracto</t>
        </is>
      </c>
      <c r="D404" s="9" t="n">
        <v>3.6</v>
      </c>
      <c r="E404" s="8" t="inlineStr">
        <is>
          <t>CONTROL_CONTINUIDAD_MENOR</t>
        </is>
      </c>
      <c r="F404" s="8" t="inlineStr">
        <is>
          <t>Banco egreso sin local</t>
        </is>
      </c>
      <c r="G404" s="8" t="inlineStr">
        <is>
          <t>Revisar egreso bancario</t>
        </is>
      </c>
    </row>
    <row r="405">
      <c r="A405" s="8" t="inlineStr">
        <is>
          <t>No identificado</t>
        </is>
      </c>
      <c r="B405" s="8" t="inlineStr">
        <is>
          <t>Banco egreso no Flexxus</t>
        </is>
      </c>
      <c r="C405" s="8" t="inlineStr">
        <is>
          <t>Otro</t>
        </is>
      </c>
      <c r="D405" s="9" t="n">
        <v>0.24</v>
      </c>
      <c r="E405" s="8" t="inlineStr">
        <is>
          <t>ABIERTO</t>
        </is>
      </c>
      <c r="F405" s="8" t="inlineStr">
        <is>
          <t>Banco egreso sin local</t>
        </is>
      </c>
      <c r="G405" s="8" t="inlineStr">
        <is>
          <t>Revisar egreso bancario</t>
        </is>
      </c>
    </row>
    <row r="406">
      <c r="A406" s="8" t="inlineStr">
        <is>
          <t>No identificado</t>
        </is>
      </c>
      <c r="B406" s="8" t="inlineStr">
        <is>
          <t>Banco egreso no Flexxus</t>
        </is>
      </c>
      <c r="C406" s="8" t="inlineStr">
        <is>
          <t>Otro</t>
        </is>
      </c>
      <c r="D406" s="9" t="n">
        <v>0.01</v>
      </c>
      <c r="E406" s="8" t="inlineStr">
        <is>
          <t>ABIERTO_NUEVO</t>
        </is>
      </c>
      <c r="F406" s="8" t="inlineStr">
        <is>
          <t>Banco egreso sin local</t>
        </is>
      </c>
      <c r="G406" s="8" t="inlineStr">
        <is>
          <t>Revisar egreso bancario</t>
        </is>
      </c>
    </row>
    <row r="407">
      <c r="A407" s="8" t="inlineStr">
        <is>
          <t>No identificado</t>
        </is>
      </c>
      <c r="B407" s="8" t="inlineStr">
        <is>
          <t>Banco ingreso no Flexxus</t>
        </is>
      </c>
      <c r="C407" s="8" t="inlineStr">
        <is>
          <t>Ajuste menor redondeo/extracto</t>
        </is>
      </c>
      <c r="D407" s="9" t="n">
        <v>3.62</v>
      </c>
      <c r="E407" s="8" t="inlineStr">
        <is>
          <t>ABIERTO</t>
        </is>
      </c>
      <c r="F407" s="8" t="inlineStr">
        <is>
          <t>Origen/local no identificado</t>
        </is>
      </c>
      <c r="G407" s="8" t="inlineStr">
        <is>
          <t>Identificar local/origen</t>
        </is>
      </c>
    </row>
    <row r="408">
      <c r="A408" s="8" t="inlineStr">
        <is>
          <t>No identificado</t>
        </is>
      </c>
      <c r="B408" s="8" t="inlineStr">
        <is>
          <t>Banco ingreso no Flexxus</t>
        </is>
      </c>
      <c r="C408" s="8" t="inlineStr">
        <is>
          <t>Ajuste menor redondeo/extracto</t>
        </is>
      </c>
      <c r="D408" s="9" t="n">
        <v>1.25</v>
      </c>
      <c r="E408" s="8" t="inlineStr">
        <is>
          <t>CONTROL_V5911_QR_MENOR</t>
        </is>
      </c>
      <c r="F408" s="8" t="inlineStr">
        <is>
          <t>QR bancario sin match QR PCT/local</t>
        </is>
      </c>
      <c r="G408" s="8" t="inlineStr">
        <is>
          <t>Identificar local/origen</t>
        </is>
      </c>
    </row>
    <row r="409">
      <c r="A409" s="8" t="inlineStr">
        <is>
          <t>No identificado</t>
        </is>
      </c>
      <c r="B409" s="8" t="inlineStr">
        <is>
          <t>Banco ingreso no Flexxus</t>
        </is>
      </c>
      <c r="C409" s="8" t="inlineStr">
        <is>
          <t>QR / CR DEBIN SPOT</t>
        </is>
      </c>
      <c r="D409" s="9" t="n">
        <v>11388.68</v>
      </c>
      <c r="E409" s="8" t="inlineStr">
        <is>
          <t>ABIERTO_NUEVO</t>
        </is>
      </c>
      <c r="F409" s="8" t="inlineStr">
        <is>
          <t>QR bancario sin match QR PCT/local</t>
        </is>
      </c>
      <c r="G409" s="8" t="inlineStr">
        <is>
          <t>Identificar local/origen</t>
        </is>
      </c>
    </row>
    <row r="410">
      <c r="A410" s="8" t="inlineStr">
        <is>
          <t>No identificado</t>
        </is>
      </c>
      <c r="B410" s="8" t="inlineStr">
        <is>
          <t>Banco ingreso no Flexxus</t>
        </is>
      </c>
      <c r="C410" s="8" t="inlineStr">
        <is>
          <t>QR / CR DEBIN SPOT</t>
        </is>
      </c>
      <c r="D410" s="9" t="n">
        <v>26738.64</v>
      </c>
      <c r="E410" s="8" t="inlineStr">
        <is>
          <t>ABIERTO_NUEVO</t>
        </is>
      </c>
      <c r="F410" s="8" t="inlineStr">
        <is>
          <t>QR bancario sin match QR PCT/local</t>
        </is>
      </c>
      <c r="G410" s="8" t="inlineStr">
        <is>
          <t>Identificar local/origen</t>
        </is>
      </c>
    </row>
    <row r="411">
      <c r="A411" s="8" t="inlineStr">
        <is>
          <t>No identificado</t>
        </is>
      </c>
      <c r="B411" s="8" t="inlineStr">
        <is>
          <t>Banco ingreso no Flexxus</t>
        </is>
      </c>
      <c r="C411" s="8" t="inlineStr">
        <is>
          <t>QR / CR DEBIN SPOT</t>
        </is>
      </c>
      <c r="D411" s="9" t="n">
        <v>27629.93</v>
      </c>
      <c r="E411" s="8" t="inlineStr">
        <is>
          <t>ABIERTO_NUEVO</t>
        </is>
      </c>
      <c r="F411" s="8" t="inlineStr">
        <is>
          <t>QR bancario sin match QR PCT/local</t>
        </is>
      </c>
      <c r="G411" s="8" t="inlineStr">
        <is>
          <t>Identificar local/origen</t>
        </is>
      </c>
    </row>
    <row r="412">
      <c r="A412" s="8" t="inlineStr">
        <is>
          <t>No identificado</t>
        </is>
      </c>
      <c r="B412" s="8" t="inlineStr">
        <is>
          <t>Banco ingreso no Flexxus</t>
        </is>
      </c>
      <c r="C412" s="8" t="inlineStr">
        <is>
          <t>QR / CR DEBIN SPOT</t>
        </is>
      </c>
      <c r="D412" s="9" t="n">
        <v>22876.39</v>
      </c>
      <c r="E412" s="8" t="inlineStr">
        <is>
          <t>ABIERTO_NUEVO</t>
        </is>
      </c>
      <c r="F412" s="8" t="inlineStr">
        <is>
          <t>QR bancario sin match QR PCT/local</t>
        </is>
      </c>
      <c r="G412" s="8" t="inlineStr">
        <is>
          <t>Identificar local/origen</t>
        </is>
      </c>
    </row>
    <row r="413">
      <c r="A413" s="8" t="inlineStr">
        <is>
          <t>No identificado</t>
        </is>
      </c>
      <c r="B413" s="8" t="inlineStr">
        <is>
          <t>Banco ingreso no Flexxus</t>
        </is>
      </c>
      <c r="C413" s="8" t="inlineStr">
        <is>
          <t>QR / CR DEBIN SPOT</t>
        </is>
      </c>
      <c r="D413" s="9" t="n">
        <v>34166.04</v>
      </c>
      <c r="E413" s="8" t="inlineStr">
        <is>
          <t>ABIERTO_NUEVO</t>
        </is>
      </c>
      <c r="F413" s="8" t="inlineStr">
        <is>
          <t>QR bancario sin match QR PCT/local</t>
        </is>
      </c>
      <c r="G413" s="8" t="inlineStr">
        <is>
          <t>Identificar local/origen</t>
        </is>
      </c>
    </row>
    <row r="414">
      <c r="A414" s="8" t="inlineStr">
        <is>
          <t>No identificado</t>
        </is>
      </c>
      <c r="B414" s="8" t="inlineStr">
        <is>
          <t>Banco ingreso no Flexxus</t>
        </is>
      </c>
      <c r="C414" s="8" t="inlineStr">
        <is>
          <t>QR / CR DEBIN SPOT</t>
        </is>
      </c>
      <c r="D414" s="9" t="n">
        <v>11388.68</v>
      </c>
      <c r="E414" s="8" t="inlineStr">
        <is>
          <t>ABIERTO_NUEVO</t>
        </is>
      </c>
      <c r="F414" s="8" t="inlineStr">
        <is>
          <t>QR bancario sin match QR PCT/local</t>
        </is>
      </c>
      <c r="G414" s="8" t="inlineStr">
        <is>
          <t>Identificar local/origen</t>
        </is>
      </c>
    </row>
    <row r="415">
      <c r="A415" s="8" t="inlineStr">
        <is>
          <t>No identificado</t>
        </is>
      </c>
      <c r="B415" s="8" t="inlineStr">
        <is>
          <t>Banco ingreso no Flexxus</t>
        </is>
      </c>
      <c r="C415" s="8" t="inlineStr">
        <is>
          <t>QR / CR DEBIN SPOT</t>
        </is>
      </c>
      <c r="D415" s="9" t="n">
        <v>23767.68</v>
      </c>
      <c r="E415" s="8" t="inlineStr">
        <is>
          <t>ABIERTO_NUEVO</t>
        </is>
      </c>
      <c r="F415" s="8" t="inlineStr">
        <is>
          <t>QR bancario sin match QR PCT/local</t>
        </is>
      </c>
      <c r="G415" s="8" t="inlineStr">
        <is>
          <t>Identificar local/origen</t>
        </is>
      </c>
    </row>
    <row r="416">
      <c r="A416" s="8" t="inlineStr">
        <is>
          <t>No identificado</t>
        </is>
      </c>
      <c r="B416" s="8" t="inlineStr">
        <is>
          <t>Banco ingreso no Flexxus</t>
        </is>
      </c>
      <c r="C416" s="8" t="inlineStr">
        <is>
          <t>QR / CR DEBIN SPOT</t>
        </is>
      </c>
      <c r="D416" s="9" t="n">
        <v>13369.32</v>
      </c>
      <c r="E416" s="8" t="inlineStr">
        <is>
          <t>ABIERTO_NUEVO</t>
        </is>
      </c>
      <c r="F416" s="8" t="inlineStr">
        <is>
          <t>QR bancario sin match QR PCT/local</t>
        </is>
      </c>
      <c r="G416" s="8" t="inlineStr">
        <is>
          <t>Identificar local/origen</t>
        </is>
      </c>
    </row>
    <row r="417">
      <c r="A417" s="8" t="inlineStr">
        <is>
          <t>No identificado</t>
        </is>
      </c>
      <c r="B417" s="8" t="inlineStr">
        <is>
          <t>Banco ingreso no Flexxus</t>
        </is>
      </c>
      <c r="C417" s="8" t="inlineStr">
        <is>
          <t>QR / CR DEBIN SPOT</t>
        </is>
      </c>
      <c r="D417" s="9" t="n">
        <v>22777.36</v>
      </c>
      <c r="E417" s="8" t="inlineStr">
        <is>
          <t>ABIERTO_NUEVO</t>
        </is>
      </c>
      <c r="F417" s="8" t="inlineStr">
        <is>
          <t>QR bancario sin match QR PCT/local</t>
        </is>
      </c>
      <c r="G417" s="8" t="inlineStr">
        <is>
          <t>Identificar local/origen</t>
        </is>
      </c>
    </row>
    <row r="418">
      <c r="A418" s="8" t="inlineStr">
        <is>
          <t>No identificado</t>
        </is>
      </c>
      <c r="B418" s="8" t="inlineStr">
        <is>
          <t>Banco ingreso no Flexxus</t>
        </is>
      </c>
      <c r="C418" s="8" t="inlineStr">
        <is>
          <t>QR / CR DEBIN SPOT</t>
        </is>
      </c>
      <c r="D418" s="9" t="n">
        <v>26738.64</v>
      </c>
      <c r="E418" s="8" t="inlineStr">
        <is>
          <t>ABIERTO_NUEVO</t>
        </is>
      </c>
      <c r="F418" s="8" t="inlineStr">
        <is>
          <t>QR bancario sin match QR PCT/local</t>
        </is>
      </c>
      <c r="G418" s="8" t="inlineStr">
        <is>
          <t>Identificar local/origen</t>
        </is>
      </c>
    </row>
    <row r="419">
      <c r="A419" s="8" t="inlineStr">
        <is>
          <t>No identificado</t>
        </is>
      </c>
      <c r="B419" s="8" t="inlineStr">
        <is>
          <t>Banco ingreso no Flexxus</t>
        </is>
      </c>
      <c r="C419" s="8" t="inlineStr">
        <is>
          <t>QR / CR DEBIN SPOT</t>
        </is>
      </c>
      <c r="D419" s="9" t="n">
        <v>14854.8</v>
      </c>
      <c r="E419" s="8" t="inlineStr">
        <is>
          <t>ABIERTO_NUEVO</t>
        </is>
      </c>
      <c r="F419" s="8" t="inlineStr">
        <is>
          <t>QR bancario sin match QR PCT/local</t>
        </is>
      </c>
      <c r="G419" s="8" t="inlineStr">
        <is>
          <t>Identificar local/origen</t>
        </is>
      </c>
    </row>
    <row r="420">
      <c r="A420" s="8" t="inlineStr">
        <is>
          <t>No identificado</t>
        </is>
      </c>
      <c r="B420" s="8" t="inlineStr">
        <is>
          <t>Banco ingreso no Flexxus</t>
        </is>
      </c>
      <c r="C420" s="8" t="inlineStr">
        <is>
          <t>QR / CR DEBIN SPOT</t>
        </is>
      </c>
      <c r="D420" s="9" t="n">
        <v>26738.64</v>
      </c>
      <c r="E420" s="8" t="inlineStr">
        <is>
          <t>ABIERTO_NUEVO</t>
        </is>
      </c>
      <c r="F420" s="8" t="inlineStr">
        <is>
          <t>QR bancario sin match QR PCT/local</t>
        </is>
      </c>
      <c r="G420" s="8" t="inlineStr">
        <is>
          <t>Identificar local/origen</t>
        </is>
      </c>
    </row>
    <row r="421">
      <c r="A421" s="8" t="inlineStr">
        <is>
          <t>No identificado</t>
        </is>
      </c>
      <c r="B421" s="8" t="inlineStr">
        <is>
          <t>Banco ingreso no Flexxus</t>
        </is>
      </c>
      <c r="C421" s="8" t="inlineStr">
        <is>
          <t>QR / CR DEBIN SPOT</t>
        </is>
      </c>
      <c r="D421" s="9" t="n">
        <v>38127.32</v>
      </c>
      <c r="E421" s="8" t="inlineStr">
        <is>
          <t>ABIERTO_NUEVO</t>
        </is>
      </c>
      <c r="F421" s="8" t="inlineStr">
        <is>
          <t>QR bancario sin match QR PCT/local</t>
        </is>
      </c>
      <c r="G421" s="8" t="inlineStr">
        <is>
          <t>Identificar local/origen</t>
        </is>
      </c>
    </row>
    <row r="422">
      <c r="A422" s="8" t="inlineStr">
        <is>
          <t>No identificado</t>
        </is>
      </c>
      <c r="B422" s="8" t="inlineStr">
        <is>
          <t>Banco ingreso no Flexxus</t>
        </is>
      </c>
      <c r="C422" s="8" t="inlineStr">
        <is>
          <t>QR / CR DEBIN SPOT</t>
        </is>
      </c>
      <c r="D422" s="9" t="n">
        <v>8912.879999999999</v>
      </c>
      <c r="E422" s="8" t="inlineStr">
        <is>
          <t>ABIERTO_NUEVO</t>
        </is>
      </c>
      <c r="F422" s="8" t="inlineStr">
        <is>
          <t>QR bancario sin match QR PCT/local</t>
        </is>
      </c>
      <c r="G422" s="8" t="inlineStr">
        <is>
          <t>Identificar local/origen</t>
        </is>
      </c>
    </row>
    <row r="423">
      <c r="A423" s="8" t="inlineStr">
        <is>
          <t>No identificado</t>
        </is>
      </c>
      <c r="B423" s="8" t="inlineStr">
        <is>
          <t>Banco ingreso no Flexxus</t>
        </is>
      </c>
      <c r="C423" s="8" t="inlineStr">
        <is>
          <t>QR / CR DEBIN SPOT</t>
        </is>
      </c>
      <c r="D423" s="9" t="n">
        <v>18915.11</v>
      </c>
      <c r="E423" s="8" t="inlineStr">
        <is>
          <t>ABIERTO_NUEVO</t>
        </is>
      </c>
      <c r="F423" s="8" t="inlineStr">
        <is>
          <t>QR bancario sin match QR PCT/local</t>
        </is>
      </c>
      <c r="G423" s="8" t="inlineStr">
        <is>
          <t>Identificar local/origen</t>
        </is>
      </c>
    </row>
    <row r="424">
      <c r="A424" s="8" t="inlineStr">
        <is>
          <t>No identificado</t>
        </is>
      </c>
      <c r="B424" s="8" t="inlineStr">
        <is>
          <t>Banco ingreso no Flexxus</t>
        </is>
      </c>
      <c r="C424" s="8" t="inlineStr">
        <is>
          <t>QR / CR DEBIN SPOT</t>
        </is>
      </c>
      <c r="D424" s="9" t="n">
        <v>34166.04</v>
      </c>
      <c r="E424" s="8" t="inlineStr">
        <is>
          <t>ABIERTO_NUEVO</t>
        </is>
      </c>
      <c r="F424" s="8" t="inlineStr">
        <is>
          <t>QR bancario sin match QR PCT/local</t>
        </is>
      </c>
      <c r="G424" s="8" t="inlineStr">
        <is>
          <t>Identificar local/origen</t>
        </is>
      </c>
    </row>
    <row r="425">
      <c r="A425" s="8" t="inlineStr">
        <is>
          <t>No identificado</t>
        </is>
      </c>
      <c r="B425" s="8" t="inlineStr">
        <is>
          <t>Banco ingreso no Flexxus</t>
        </is>
      </c>
      <c r="C425" s="8" t="inlineStr">
        <is>
          <t>QR / CR DEBIN SPOT</t>
        </is>
      </c>
      <c r="D425" s="9" t="n">
        <v>45455.69</v>
      </c>
      <c r="E425" s="8" t="inlineStr">
        <is>
          <t>ABIERTO_NUEVO</t>
        </is>
      </c>
      <c r="F425" s="8" t="inlineStr">
        <is>
          <t>QR bancario sin match QR PCT/local</t>
        </is>
      </c>
      <c r="G425" s="8" t="inlineStr">
        <is>
          <t>Identificar local/origen</t>
        </is>
      </c>
    </row>
    <row r="426">
      <c r="A426" s="8" t="inlineStr">
        <is>
          <t>No identificado</t>
        </is>
      </c>
      <c r="B426" s="8" t="inlineStr">
        <is>
          <t>Banco ingreso no Flexxus</t>
        </is>
      </c>
      <c r="C426" s="8" t="inlineStr">
        <is>
          <t>QR / CR DEBIN SPOT</t>
        </is>
      </c>
      <c r="D426" s="9" t="n">
        <v>11388.68</v>
      </c>
      <c r="E426" s="8" t="inlineStr">
        <is>
          <t>ABIERTO_NUEVO</t>
        </is>
      </c>
      <c r="F426" s="8" t="inlineStr">
        <is>
          <t>QR bancario sin match QR PCT/local</t>
        </is>
      </c>
      <c r="G426" s="8" t="inlineStr">
        <is>
          <t>Identificar local/origen</t>
        </is>
      </c>
    </row>
    <row r="427">
      <c r="A427" s="8" t="inlineStr">
        <is>
          <t>No identificado</t>
        </is>
      </c>
      <c r="B427" s="8" t="inlineStr">
        <is>
          <t>Banco ingreso no Flexxus</t>
        </is>
      </c>
      <c r="C427" s="8" t="inlineStr">
        <is>
          <t>QR / CR DEBIN SPOT</t>
        </is>
      </c>
      <c r="D427" s="9" t="n">
        <v>33175.72</v>
      </c>
      <c r="E427" s="8" t="inlineStr">
        <is>
          <t>ABIERTO_NUEVO</t>
        </is>
      </c>
      <c r="F427" s="8" t="inlineStr">
        <is>
          <t>QR bancario sin match QR PCT/local</t>
        </is>
      </c>
      <c r="G427" s="8" t="inlineStr">
        <is>
          <t>Identificar local/origen</t>
        </is>
      </c>
    </row>
    <row r="428">
      <c r="A428" s="8" t="inlineStr">
        <is>
          <t>No identificado</t>
        </is>
      </c>
      <c r="B428" s="8" t="inlineStr">
        <is>
          <t>Banco ingreso no Flexxus</t>
        </is>
      </c>
      <c r="C428" s="8" t="inlineStr">
        <is>
          <t>QR / CR DEBIN SPOT</t>
        </is>
      </c>
      <c r="D428" s="9" t="n">
        <v>8417.719999999999</v>
      </c>
      <c r="E428" s="8" t="inlineStr">
        <is>
          <t>ABIERTO_NUEVO</t>
        </is>
      </c>
      <c r="F428" s="8" t="inlineStr">
        <is>
          <t>QR bancario sin match QR PCT/local</t>
        </is>
      </c>
      <c r="G428" s="8" t="inlineStr">
        <is>
          <t>Identificar local/origen</t>
        </is>
      </c>
    </row>
    <row r="429">
      <c r="A429" s="8" t="inlineStr">
        <is>
          <t>No identificado</t>
        </is>
      </c>
      <c r="B429" s="8" t="inlineStr">
        <is>
          <t>Banco ingreso no Flexxus</t>
        </is>
      </c>
      <c r="C429" s="8" t="inlineStr">
        <is>
          <t>QR / CR DEBIN SPOT</t>
        </is>
      </c>
      <c r="D429" s="9" t="n">
        <v>4456.44</v>
      </c>
      <c r="E429" s="8" t="inlineStr">
        <is>
          <t>ABIERTO_NUEVO</t>
        </is>
      </c>
      <c r="F429" s="8" t="inlineStr">
        <is>
          <t>QR bancario sin match QR PCT/local</t>
        </is>
      </c>
      <c r="G429" s="8" t="inlineStr">
        <is>
          <t>Identificar local/origen</t>
        </is>
      </c>
    </row>
    <row r="430">
      <c r="A430" s="8" t="inlineStr">
        <is>
          <t>No identificado</t>
        </is>
      </c>
      <c r="B430" s="8" t="inlineStr">
        <is>
          <t>Banco ingreso no Flexxus</t>
        </is>
      </c>
      <c r="C430" s="8" t="inlineStr">
        <is>
          <t>QR / CR DEBIN SPOT</t>
        </is>
      </c>
      <c r="D430" s="9" t="n">
        <v>7724.5</v>
      </c>
      <c r="E430" s="8" t="inlineStr">
        <is>
          <t>ABIERTO_NUEVO</t>
        </is>
      </c>
      <c r="F430" s="8" t="inlineStr">
        <is>
          <t>QR bancario sin match QR PCT/local</t>
        </is>
      </c>
      <c r="G430" s="8" t="inlineStr">
        <is>
          <t>Identificar local/origen</t>
        </is>
      </c>
    </row>
    <row r="431">
      <c r="A431" s="8" t="inlineStr">
        <is>
          <t>No identificado</t>
        </is>
      </c>
      <c r="B431" s="8" t="inlineStr">
        <is>
          <t>Banco ingreso no Flexxus</t>
        </is>
      </c>
      <c r="C431" s="8" t="inlineStr">
        <is>
          <t>QR / CR DEBIN SPOT</t>
        </is>
      </c>
      <c r="D431" s="9" t="n">
        <v>13369.32</v>
      </c>
      <c r="E431" s="8" t="inlineStr">
        <is>
          <t>ABIERTO_NUEVO</t>
        </is>
      </c>
      <c r="F431" s="8" t="inlineStr">
        <is>
          <t>QR bancario sin match QR PCT/local</t>
        </is>
      </c>
      <c r="G431" s="8" t="inlineStr">
        <is>
          <t>Identificar local/origen</t>
        </is>
      </c>
    </row>
    <row r="432">
      <c r="A432" s="8" t="inlineStr">
        <is>
          <t>No identificado</t>
        </is>
      </c>
      <c r="B432" s="8" t="inlineStr">
        <is>
          <t>Banco ingreso no Flexxus</t>
        </is>
      </c>
      <c r="C432" s="8" t="inlineStr">
        <is>
          <t>QR / CR DEBIN SPOT</t>
        </is>
      </c>
      <c r="D432" s="9" t="n">
        <v>22777.36</v>
      </c>
      <c r="E432" s="8" t="inlineStr">
        <is>
          <t>ABIERTO_NUEVO</t>
        </is>
      </c>
      <c r="F432" s="8" t="inlineStr">
        <is>
          <t>QR bancario sin match QR PCT/local</t>
        </is>
      </c>
      <c r="G432" s="8" t="inlineStr">
        <is>
          <t>Identificar local/origen</t>
        </is>
      </c>
    </row>
    <row r="433">
      <c r="A433" s="8" t="inlineStr">
        <is>
          <t>No identificado</t>
        </is>
      </c>
      <c r="B433" s="8" t="inlineStr">
        <is>
          <t>Banco ingreso no Flexxus</t>
        </is>
      </c>
      <c r="C433" s="8" t="inlineStr">
        <is>
          <t>QR / CR DEBIN SPOT</t>
        </is>
      </c>
      <c r="D433" s="9" t="n">
        <v>26738.64</v>
      </c>
      <c r="E433" s="8" t="inlineStr">
        <is>
          <t>ABIERTO_NUEVO</t>
        </is>
      </c>
      <c r="F433" s="8" t="inlineStr">
        <is>
          <t>QR bancario sin match QR PCT/local</t>
        </is>
      </c>
      <c r="G433" s="8" t="inlineStr">
        <is>
          <t>Identificar local/origen</t>
        </is>
      </c>
    </row>
    <row r="434">
      <c r="A434" s="8" t="inlineStr">
        <is>
          <t>No identificado</t>
        </is>
      </c>
      <c r="B434" s="8" t="inlineStr">
        <is>
          <t>Banco ingreso no Flexxus</t>
        </is>
      </c>
      <c r="C434" s="8" t="inlineStr">
        <is>
          <t>QR / CR DEBIN SPOT</t>
        </is>
      </c>
      <c r="D434" s="9" t="n">
        <v>13369.32</v>
      </c>
      <c r="E434" s="8" t="inlineStr">
        <is>
          <t>ABIERTO_NUEVO</t>
        </is>
      </c>
      <c r="F434" s="8" t="inlineStr">
        <is>
          <t>QR bancario sin match QR PCT/local</t>
        </is>
      </c>
      <c r="G434" s="8" t="inlineStr">
        <is>
          <t>Identificar local/origen</t>
        </is>
      </c>
    </row>
    <row r="435">
      <c r="A435" s="8" t="inlineStr">
        <is>
          <t>No identificado</t>
        </is>
      </c>
      <c r="B435" s="8" t="inlineStr">
        <is>
          <t>Banco ingreso no Flexxus</t>
        </is>
      </c>
      <c r="C435" s="8" t="inlineStr">
        <is>
          <t>QR / CR DEBIN SPOT</t>
        </is>
      </c>
      <c r="D435" s="9" t="n">
        <v>40107.96</v>
      </c>
      <c r="E435" s="8" t="inlineStr">
        <is>
          <t>ABIERTO_NUEVO</t>
        </is>
      </c>
      <c r="F435" s="8" t="inlineStr">
        <is>
          <t>QR bancario sin match QR PCT/local</t>
        </is>
      </c>
      <c r="G435" s="8" t="inlineStr">
        <is>
          <t>Identificar local/origen</t>
        </is>
      </c>
    </row>
    <row r="436">
      <c r="A436" s="8" t="inlineStr">
        <is>
          <t>No identificado</t>
        </is>
      </c>
      <c r="B436" s="8" t="inlineStr">
        <is>
          <t>Banco ingreso no Flexxus</t>
        </is>
      </c>
      <c r="C436" s="8" t="inlineStr">
        <is>
          <t>QR / CR DEBIN SPOT</t>
        </is>
      </c>
      <c r="D436" s="9" t="n">
        <v>0.01</v>
      </c>
      <c r="E436" s="8" t="inlineStr">
        <is>
          <t>ABIERTO_NUEVO</t>
        </is>
      </c>
      <c r="F436" s="8" t="inlineStr">
        <is>
          <t>QR bancario sin match QR PCT/local</t>
        </is>
      </c>
      <c r="G436" s="8" t="inlineStr">
        <is>
          <t>Identificar local/origen</t>
        </is>
      </c>
    </row>
    <row r="437">
      <c r="A437" s="8" t="inlineStr">
        <is>
          <t>No identificado</t>
        </is>
      </c>
      <c r="B437" s="8" t="inlineStr">
        <is>
          <t>Banco ingreso no Flexxus</t>
        </is>
      </c>
      <c r="C437" s="8" t="inlineStr">
        <is>
          <t>QR / CR DEBIN SPOT</t>
        </is>
      </c>
      <c r="D437" s="9" t="n">
        <v>6833.21</v>
      </c>
      <c r="E437" s="8" t="inlineStr">
        <is>
          <t>ABIERTO_NUEVO</t>
        </is>
      </c>
      <c r="F437" s="8" t="inlineStr">
        <is>
          <t>QR bancario sin match QR PCT/local</t>
        </is>
      </c>
      <c r="G437" s="8" t="inlineStr">
        <is>
          <t>Identificar local/origen</t>
        </is>
      </c>
    </row>
    <row r="438">
      <c r="A438" s="8" t="inlineStr">
        <is>
          <t>No identificado</t>
        </is>
      </c>
      <c r="B438" s="8" t="inlineStr">
        <is>
          <t>Banco ingreso no Flexxus</t>
        </is>
      </c>
      <c r="C438" s="8" t="inlineStr">
        <is>
          <t>Transferencia entrante</t>
        </is>
      </c>
      <c r="D438" s="9" t="n">
        <v>33180.87</v>
      </c>
      <c r="E438" s="8" t="inlineStr">
        <is>
          <t>ABIERTO</t>
        </is>
      </c>
      <c r="F438" s="8" t="inlineStr">
        <is>
          <t>Origen/local no identificado</t>
        </is>
      </c>
      <c r="G438" s="8" t="inlineStr">
        <is>
          <t>Identificar local/origen</t>
        </is>
      </c>
    </row>
    <row r="439">
      <c r="A439" s="8" t="inlineStr">
        <is>
          <t>No identificado</t>
        </is>
      </c>
      <c r="B439" s="8" t="inlineStr">
        <is>
          <t>Flexxus no Banco</t>
        </is>
      </c>
      <c r="C439" s="8" t="inlineStr">
        <is>
          <t>PAV</t>
        </is>
      </c>
      <c r="D439" s="9" t="n">
        <v>38886.97</v>
      </c>
      <c r="E439" s="8" t="inlineStr">
        <is>
          <t>ABIERTO</t>
        </is>
      </c>
      <c r="F439" s="8" t="inlineStr">
        <is>
          <t>Flexxus pendiente sin local detectado</t>
        </is>
      </c>
      <c r="G439" s="8" t="inlineStr">
        <is>
          <t>Verificar acreditación bancaria o fecha de cierre</t>
        </is>
      </c>
    </row>
  </sheetData>
  <autoFilter ref="A1:I4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10509467.83</v>
      </c>
      <c r="D3" s="9" t="n">
        <v>10334290.24</v>
      </c>
      <c r="E3" s="9" t="n">
        <v>175177.59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12545704.9</v>
      </c>
      <c r="D4" s="9" t="n">
        <v>14280305.98</v>
      </c>
      <c r="E4" s="9" t="n">
        <v>-1734601.08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6067676.78</v>
      </c>
      <c r="D5" s="9" t="n">
        <v>6175025.22</v>
      </c>
      <c r="E5" s="9" t="n">
        <v>-107348.44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13124749.93</v>
      </c>
      <c r="D6" s="9" t="n">
        <v>13124749.93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27/04/2026</t>
        </is>
      </c>
      <c r="C11" s="8" t="inlineStr">
        <is>
          <t>108878</t>
        </is>
      </c>
      <c r="D11" s="8" t="inlineStr">
        <is>
          <t>GRAVAMEN LEY 25413 S/DEB</t>
        </is>
      </c>
      <c r="E11" s="9" t="n">
        <v>0.27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27/04/2026</t>
        </is>
      </c>
      <c r="C12" s="8" t="inlineStr">
        <is>
          <t>32032899</t>
        </is>
      </c>
      <c r="D12" s="8" t="inlineStr">
        <is>
          <t>GRAVAMEN LEY 25413 S/DEB</t>
        </is>
      </c>
      <c r="E12" s="9" t="n">
        <v>38.86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27/04/2026</t>
        </is>
      </c>
      <c r="C13" s="8" t="inlineStr">
        <is>
          <t>31995644</t>
        </is>
      </c>
      <c r="D13" s="8" t="inlineStr">
        <is>
          <t>GRAVAMEN LEY 25413 S/DEB</t>
        </is>
      </c>
      <c r="E13" s="9" t="n">
        <v>21.58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27/04/2026</t>
        </is>
      </c>
      <c r="C14" s="8" t="inlineStr">
        <is>
          <t>29841705</t>
        </is>
      </c>
      <c r="D14" s="8" t="inlineStr">
        <is>
          <t>GRAVAMEN LEY 25413 S/DEB</t>
        </is>
      </c>
      <c r="E14" s="9" t="n">
        <v>1.96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27/04/2026</t>
        </is>
      </c>
      <c r="C15" s="8" t="inlineStr">
        <is>
          <t>29841670</t>
        </is>
      </c>
      <c r="D15" s="8" t="inlineStr">
        <is>
          <t>GRAVAMEN LEY 25413 S/DEB</t>
        </is>
      </c>
      <c r="E15" s="9" t="n">
        <v>6.96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27/04/2026</t>
        </is>
      </c>
      <c r="C16" s="8" t="inlineStr">
        <is>
          <t>29841642</t>
        </is>
      </c>
      <c r="D16" s="8" t="inlineStr">
        <is>
          <t>GRAVAMEN LEY 25413 S/DEB</t>
        </is>
      </c>
      <c r="E16" s="9" t="n">
        <v>8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27/04/2026</t>
        </is>
      </c>
      <c r="C17" s="8" t="inlineStr">
        <is>
          <t>29841627</t>
        </is>
      </c>
      <c r="D17" s="8" t="inlineStr">
        <is>
          <t>GRAVAMEN LEY 25413 S/DEB</t>
        </is>
      </c>
      <c r="E17" s="9" t="n">
        <v>0.8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27/04/2026</t>
        </is>
      </c>
      <c r="C18" s="8" t="inlineStr">
        <is>
          <t>32032899</t>
        </is>
      </c>
      <c r="D18" s="8" t="inlineStr">
        <is>
          <t>GRAVAMEN LEY 25413 S/DEB</t>
        </is>
      </c>
      <c r="E18" s="9" t="n">
        <v>11.49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27/04/2026</t>
        </is>
      </c>
      <c r="C19" s="8" t="inlineStr">
        <is>
          <t>29841705</t>
        </is>
      </c>
      <c r="D19" s="8" t="inlineStr">
        <is>
          <t>GRAVAMEN LEY 25413 S/DEB</t>
        </is>
      </c>
      <c r="E19" s="9" t="n">
        <v>0.39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27/04/2026</t>
        </is>
      </c>
      <c r="C20" s="8" t="inlineStr">
        <is>
          <t>29841683</t>
        </is>
      </c>
      <c r="D20" s="8" t="inlineStr">
        <is>
          <t>GRAVAMEN LEY 25413 S/DEB</t>
        </is>
      </c>
      <c r="E20" s="9" t="n">
        <v>5.12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27/04/2026</t>
        </is>
      </c>
      <c r="C21" s="8" t="inlineStr">
        <is>
          <t>29841627</t>
        </is>
      </c>
      <c r="D21" s="8" t="inlineStr">
        <is>
          <t>GRAVAMEN LEY 25413 S/DEB</t>
        </is>
      </c>
      <c r="E21" s="9" t="n">
        <v>0.59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27/04/2026</t>
        </is>
      </c>
      <c r="C22" s="8" t="inlineStr">
        <is>
          <t>29841670</t>
        </is>
      </c>
      <c r="D22" s="8" t="inlineStr">
        <is>
          <t>GRAVAMEN LEY 25413 S/DEB</t>
        </is>
      </c>
      <c r="E22" s="9" t="n">
        <v>4.13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27/04/2026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5.93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27/04/2026</t>
        </is>
      </c>
      <c r="C24" s="8" t="inlineStr">
        <is>
          <t>29841683</t>
        </is>
      </c>
      <c r="D24" s="8" t="inlineStr">
        <is>
          <t>GRAVAMEN LEY 25413 S/DEB</t>
        </is>
      </c>
      <c r="E24" s="9" t="n">
        <v>1.41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27/04/2026</t>
        </is>
      </c>
      <c r="C25" s="8" t="inlineStr">
        <is>
          <t>32032899</t>
        </is>
      </c>
      <c r="D25" s="8" t="inlineStr">
        <is>
          <t>GRAVAMEN LEY 25413 S/DEB</t>
        </is>
      </c>
      <c r="E25" s="9" t="n">
        <v>7.53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27/04/2026</t>
        </is>
      </c>
      <c r="C26" s="8" t="inlineStr">
        <is>
          <t>31995644</t>
        </is>
      </c>
      <c r="D26" s="8" t="inlineStr">
        <is>
          <t>GRAVAMEN LEY 25413 S/DEB</t>
        </is>
      </c>
      <c r="E26" s="9" t="n">
        <v>3.26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27/04/2026</t>
        </is>
      </c>
      <c r="C27" s="8" t="inlineStr">
        <is>
          <t>32032899</t>
        </is>
      </c>
      <c r="D27" s="8" t="inlineStr">
        <is>
          <t>GRAVAMEN LEY 25413 S/DEB</t>
        </is>
      </c>
      <c r="E27" s="9" t="n">
        <v>28.32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27/04/2026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17.72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27/04/2026</t>
        </is>
      </c>
      <c r="C29" s="8" t="inlineStr">
        <is>
          <t>31995644</t>
        </is>
      </c>
      <c r="D29" s="8" t="inlineStr">
        <is>
          <t>GRAVAMEN LEY 25413 S/DEB</t>
        </is>
      </c>
      <c r="E29" s="9" t="n">
        <v>27.21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27/04/2026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28.52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27/04/2026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1.8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27/04/2026</t>
        </is>
      </c>
      <c r="C32" s="8" t="inlineStr">
        <is>
          <t>29841670</t>
        </is>
      </c>
      <c r="D32" s="8" t="inlineStr">
        <is>
          <t>GRAVAMEN LEY 25413 S/DEB</t>
        </is>
      </c>
      <c r="E32" s="9" t="n">
        <v>2.38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27/04/2026</t>
        </is>
      </c>
      <c r="C33" s="8" t="inlineStr">
        <is>
          <t>29841642</t>
        </is>
      </c>
      <c r="D33" s="8" t="inlineStr">
        <is>
          <t>GRAVAMEN LEY 25413 S/DEB</t>
        </is>
      </c>
      <c r="E33" s="9" t="n">
        <v>1.13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27/04/2026</t>
        </is>
      </c>
      <c r="C34" s="8" t="inlineStr">
        <is>
          <t>32032899</t>
        </is>
      </c>
      <c r="D34" s="8" t="inlineStr">
        <is>
          <t>GRAVAMEN LEY 25413 S/DEB</t>
        </is>
      </c>
      <c r="E34" s="9" t="n">
        <v>8.41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27/04/2026</t>
        </is>
      </c>
      <c r="C35" s="8" t="inlineStr">
        <is>
          <t>31995644</t>
        </is>
      </c>
      <c r="D35" s="8" t="inlineStr">
        <is>
          <t>GRAVAMEN LEY 25413 S/DEB</t>
        </is>
      </c>
      <c r="E35" s="9" t="n">
        <v>9.300000000000001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27/04/2026</t>
        </is>
      </c>
      <c r="C36" s="8" t="inlineStr">
        <is>
          <t>31995644</t>
        </is>
      </c>
      <c r="D36" s="8" t="inlineStr">
        <is>
          <t>GRAVAMEN LEY 25413 S/DEB</t>
        </is>
      </c>
      <c r="E36" s="9" t="n">
        <v>6.6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27/04/2026</t>
        </is>
      </c>
      <c r="C37" s="8" t="inlineStr">
        <is>
          <t>29841705</t>
        </is>
      </c>
      <c r="D37" s="8" t="inlineStr">
        <is>
          <t>GRAVAMEN LEY 25413 S/DEB</t>
        </is>
      </c>
      <c r="E37" s="9" t="n">
        <v>0.55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27/04/2026</t>
        </is>
      </c>
      <c r="C38" s="8" t="inlineStr">
        <is>
          <t>4062494</t>
        </is>
      </c>
      <c r="D38" s="8" t="inlineStr">
        <is>
          <t>GRAVAMEN LEY 25413 S/DEB</t>
        </is>
      </c>
      <c r="E38" s="9" t="n">
        <v>170.11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27/04/2026</t>
        </is>
      </c>
      <c r="C39" s="8" t="inlineStr">
        <is>
          <t>108847</t>
        </is>
      </c>
      <c r="D39" s="8" t="inlineStr">
        <is>
          <t>GRAVAMEN LEY 25413 S/DEB</t>
        </is>
      </c>
      <c r="E39" s="9" t="n">
        <v>1.49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27/04/2026</t>
        </is>
      </c>
      <c r="C40" s="8" t="inlineStr">
        <is>
          <t>108846</t>
        </is>
      </c>
      <c r="D40" s="8" t="inlineStr">
        <is>
          <t>GRAVAMEN LEY 25413 S/DEB</t>
        </is>
      </c>
      <c r="E40" s="9" t="n">
        <v>1.95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27/04/2026</t>
        </is>
      </c>
      <c r="C41" s="8" t="inlineStr">
        <is>
          <t>108844</t>
        </is>
      </c>
      <c r="D41" s="8" t="inlineStr">
        <is>
          <t>GRAVAMEN LEY 25413 S/DEB</t>
        </is>
      </c>
      <c r="E41" s="9" t="n">
        <v>1.46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27/04/2026</t>
        </is>
      </c>
      <c r="C42" s="8" t="inlineStr">
        <is>
          <t>108843</t>
        </is>
      </c>
      <c r="D42" s="8" t="inlineStr">
        <is>
          <t>GRAVAMEN LEY 25413 S/DEB</t>
        </is>
      </c>
      <c r="E42" s="9" t="n">
        <v>0.68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27/04/2026</t>
        </is>
      </c>
      <c r="C43" s="8" t="inlineStr">
        <is>
          <t>108841</t>
        </is>
      </c>
      <c r="D43" s="8" t="inlineStr">
        <is>
          <t>GRAVAMEN LEY 25413 S/DEB</t>
        </is>
      </c>
      <c r="E43" s="9" t="n">
        <v>3.46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27/04/2026</t>
        </is>
      </c>
      <c r="C44" s="8" t="inlineStr">
        <is>
          <t>108840</t>
        </is>
      </c>
      <c r="D44" s="8" t="inlineStr">
        <is>
          <t>GRAVAMEN LEY 25413 S/DEB</t>
        </is>
      </c>
      <c r="E44" s="9" t="n">
        <v>4.02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27/04/2026</t>
        </is>
      </c>
      <c r="C45" s="8" t="inlineStr">
        <is>
          <t>108839</t>
        </is>
      </c>
      <c r="D45" s="8" t="inlineStr">
        <is>
          <t>GRAVAMEN LEY 25413 S/DEB</t>
        </is>
      </c>
      <c r="E45" s="9" t="n">
        <v>0.46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27/04/2026</t>
        </is>
      </c>
      <c r="C46" s="8" t="inlineStr">
        <is>
          <t>108838</t>
        </is>
      </c>
      <c r="D46" s="8" t="inlineStr">
        <is>
          <t>GRAVAMEN LEY 25413 S/DEB</t>
        </is>
      </c>
      <c r="E46" s="9" t="n">
        <v>4.17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27/04/2026</t>
        </is>
      </c>
      <c r="C47" s="8" t="inlineStr">
        <is>
          <t>108837</t>
        </is>
      </c>
      <c r="D47" s="8" t="inlineStr">
        <is>
          <t>GRAVAMEN LEY 25413 S/DEB</t>
        </is>
      </c>
      <c r="E47" s="9" t="n">
        <v>3.87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27/04/2026</t>
        </is>
      </c>
      <c r="C48" s="8" t="inlineStr">
        <is>
          <t>108836</t>
        </is>
      </c>
      <c r="D48" s="8" t="inlineStr">
        <is>
          <t>GRAVAMEN LEY 25413 S/DEB</t>
        </is>
      </c>
      <c r="E48" s="9" t="n">
        <v>2.07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27/04/2026</t>
        </is>
      </c>
      <c r="C49" s="8" t="inlineStr">
        <is>
          <t>108835</t>
        </is>
      </c>
      <c r="D49" s="8" t="inlineStr">
        <is>
          <t>GRAVAMEN LEY 25413 S/DEB</t>
        </is>
      </c>
      <c r="E49" s="9" t="n">
        <v>1.6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27/04/2026</t>
        </is>
      </c>
      <c r="C50" s="8" t="inlineStr">
        <is>
          <t>108834</t>
        </is>
      </c>
      <c r="D50" s="8" t="inlineStr">
        <is>
          <t>GRAVAMEN LEY 25413 S/DEB</t>
        </is>
      </c>
      <c r="E50" s="9" t="n">
        <v>1.61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27/04/2026</t>
        </is>
      </c>
      <c r="C51" s="8" t="inlineStr">
        <is>
          <t>108833</t>
        </is>
      </c>
      <c r="D51" s="8" t="inlineStr">
        <is>
          <t>GRAVAMEN LEY 25413 S/DEB</t>
        </is>
      </c>
      <c r="E51" s="9" t="n">
        <v>2.32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27/04/2026</t>
        </is>
      </c>
      <c r="C52" s="8" t="inlineStr">
        <is>
          <t>108832</t>
        </is>
      </c>
      <c r="D52" s="8" t="inlineStr">
        <is>
          <t>GRAVAMEN LEY 25413 S/DEB</t>
        </is>
      </c>
      <c r="E52" s="9" t="n">
        <v>0.7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27/04/2026</t>
        </is>
      </c>
      <c r="C53" s="8" t="inlineStr">
        <is>
          <t>108831</t>
        </is>
      </c>
      <c r="D53" s="8" t="inlineStr">
        <is>
          <t>GRAVAMEN LEY 25413 S/DEB</t>
        </is>
      </c>
      <c r="E53" s="9" t="n">
        <v>0.74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27/04/2026</t>
        </is>
      </c>
      <c r="C54" s="8" t="inlineStr">
        <is>
          <t>108830</t>
        </is>
      </c>
      <c r="D54" s="8" t="inlineStr">
        <is>
          <t>GRAVAMEN LEY 25413 S/DEB</t>
        </is>
      </c>
      <c r="E54" s="9" t="n">
        <v>3.3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27/04/2026</t>
        </is>
      </c>
      <c r="C55" s="8" t="inlineStr">
        <is>
          <t>108829</t>
        </is>
      </c>
      <c r="D55" s="8" t="inlineStr">
        <is>
          <t>GRAVAMEN LEY 25413 S/DEB</t>
        </is>
      </c>
      <c r="E55" s="9" t="n">
        <v>1.66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27/04/2026</t>
        </is>
      </c>
      <c r="C56" s="8" t="inlineStr">
        <is>
          <t>108828</t>
        </is>
      </c>
      <c r="D56" s="8" t="inlineStr">
        <is>
          <t>GRAVAMEN LEY 25413 S/DEB</t>
        </is>
      </c>
      <c r="E56" s="9" t="n">
        <v>1.43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27/04/2026</t>
        </is>
      </c>
      <c r="C57" s="8" t="inlineStr">
        <is>
          <t>108827</t>
        </is>
      </c>
      <c r="D57" s="8" t="inlineStr">
        <is>
          <t>GRAVAMEN LEY 25413 S/DEB</t>
        </is>
      </c>
      <c r="E57" s="9" t="n">
        <v>4.2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27/04/2026</t>
        </is>
      </c>
      <c r="C58" s="8" t="inlineStr">
        <is>
          <t>108826</t>
        </is>
      </c>
      <c r="D58" s="8" t="inlineStr">
        <is>
          <t>GRAVAMEN LEY 25413 S/DEB</t>
        </is>
      </c>
      <c r="E58" s="9" t="n">
        <v>1.37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27/04/2026</t>
        </is>
      </c>
      <c r="C59" s="8" t="inlineStr">
        <is>
          <t>108825</t>
        </is>
      </c>
      <c r="D59" s="8" t="inlineStr">
        <is>
          <t>GRAVAMEN LEY 25413 S/DEB</t>
        </is>
      </c>
      <c r="E59" s="9" t="n">
        <v>0.8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27/04/2026</t>
        </is>
      </c>
      <c r="C60" s="8" t="inlineStr">
        <is>
          <t>108824</t>
        </is>
      </c>
      <c r="D60" s="8" t="inlineStr">
        <is>
          <t>GRAVAMEN LEY 25413 S/DEB</t>
        </is>
      </c>
      <c r="E60" s="9" t="n">
        <v>2.05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27/04/2026</t>
        </is>
      </c>
      <c r="C61" s="8" t="inlineStr">
        <is>
          <t>108823</t>
        </is>
      </c>
      <c r="D61" s="8" t="inlineStr">
        <is>
          <t>GRAVAMEN LEY 25413 S/DEB</t>
        </is>
      </c>
      <c r="E61" s="9" t="n">
        <v>1.49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27/04/2026</t>
        </is>
      </c>
      <c r="C62" s="8" t="inlineStr">
        <is>
          <t>108822</t>
        </is>
      </c>
      <c r="D62" s="8" t="inlineStr">
        <is>
          <t>GRAVAMEN LEY 25413 S/DEB</t>
        </is>
      </c>
      <c r="E62" s="9" t="n">
        <v>0.68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27/04/2026</t>
        </is>
      </c>
      <c r="C63" s="8" t="inlineStr">
        <is>
          <t>108821</t>
        </is>
      </c>
      <c r="D63" s="8" t="inlineStr">
        <is>
          <t>GRAVAMEN LEY 25413 S/DEB</t>
        </is>
      </c>
      <c r="E63" s="9" t="n">
        <v>4.78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27/04/2026</t>
        </is>
      </c>
      <c r="C64" s="8" t="inlineStr">
        <is>
          <t>108820</t>
        </is>
      </c>
      <c r="D64" s="8" t="inlineStr">
        <is>
          <t>GRAVAMEN LEY 25413 S/DEB</t>
        </is>
      </c>
      <c r="E64" s="9" t="n">
        <v>1.43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27/04/2026</t>
        </is>
      </c>
      <c r="C65" s="8" t="inlineStr">
        <is>
          <t>108819</t>
        </is>
      </c>
      <c r="D65" s="8" t="inlineStr">
        <is>
          <t>GRAVAMEN LEY 25413 S/DEB</t>
        </is>
      </c>
      <c r="E65" s="9" t="n">
        <v>1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27/04/2026</t>
        </is>
      </c>
      <c r="C66" s="8" t="inlineStr">
        <is>
          <t>108818</t>
        </is>
      </c>
      <c r="D66" s="8" t="inlineStr">
        <is>
          <t>GRAVAMEN LEY 25413 S/DEB</t>
        </is>
      </c>
      <c r="E66" s="9" t="n">
        <v>5.64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27/04/2026</t>
        </is>
      </c>
      <c r="C67" s="8" t="inlineStr">
        <is>
          <t>108817</t>
        </is>
      </c>
      <c r="D67" s="8" t="inlineStr">
        <is>
          <t>GRAVAMEN LEY 25413 S/DEB</t>
        </is>
      </c>
      <c r="E67" s="9" t="n">
        <v>2.6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27/04/2026</t>
        </is>
      </c>
      <c r="C68" s="8" t="inlineStr">
        <is>
          <t>108816</t>
        </is>
      </c>
      <c r="D68" s="8" t="inlineStr">
        <is>
          <t>GRAVAMEN LEY 25413 S/DEB</t>
        </is>
      </c>
      <c r="E68" s="9" t="n">
        <v>0.8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27/04/2026</t>
        </is>
      </c>
      <c r="C69" s="8" t="inlineStr">
        <is>
          <t>108815</t>
        </is>
      </c>
      <c r="D69" s="8" t="inlineStr">
        <is>
          <t>GRAVAMEN LEY 25413 S/DEB</t>
        </is>
      </c>
      <c r="E69" s="9" t="n">
        <v>0.88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27/04/2026</t>
        </is>
      </c>
      <c r="C70" s="8" t="inlineStr">
        <is>
          <t>108814</t>
        </is>
      </c>
      <c r="D70" s="8" t="inlineStr">
        <is>
          <t>GRAVAMEN LEY 25413 S/DEB</t>
        </is>
      </c>
      <c r="E70" s="9" t="n">
        <v>1.37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27/04/2026</t>
        </is>
      </c>
      <c r="C71" s="8" t="inlineStr">
        <is>
          <t>108813</t>
        </is>
      </c>
      <c r="D71" s="8" t="inlineStr">
        <is>
          <t>GRAVAMEN LEY 25413 S/DEB</t>
        </is>
      </c>
      <c r="E71" s="9" t="n">
        <v>1.6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27/04/2026</t>
        </is>
      </c>
      <c r="C72" s="8" t="inlineStr">
        <is>
          <t>108812</t>
        </is>
      </c>
      <c r="D72" s="8" t="inlineStr">
        <is>
          <t>GRAVAMEN LEY 25413 S/DEB</t>
        </is>
      </c>
      <c r="E72" s="9" t="n">
        <v>2.97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27/04/2026</t>
        </is>
      </c>
      <c r="C73" s="8" t="inlineStr">
        <is>
          <t>108811</t>
        </is>
      </c>
      <c r="D73" s="8" t="inlineStr">
        <is>
          <t>GRAVAMEN LEY 25413 S/DEB</t>
        </is>
      </c>
      <c r="E73" s="9" t="n">
        <v>3.08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27/04/2026</t>
        </is>
      </c>
      <c r="C74" s="8" t="inlineStr">
        <is>
          <t>108810</t>
        </is>
      </c>
      <c r="D74" s="8" t="inlineStr">
        <is>
          <t>GRAVAMEN LEY 25413 S/DEB</t>
        </is>
      </c>
      <c r="E74" s="9" t="n">
        <v>4.55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27/04/2026</t>
        </is>
      </c>
      <c r="C75" s="8" t="inlineStr">
        <is>
          <t>108809</t>
        </is>
      </c>
      <c r="D75" s="8" t="inlineStr">
        <is>
          <t>GRAVAMEN LEY 25413 S/DEB</t>
        </is>
      </c>
      <c r="E75" s="9" t="n">
        <v>1.47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27/04/2026</t>
        </is>
      </c>
      <c r="C76" s="8" t="inlineStr">
        <is>
          <t>108808</t>
        </is>
      </c>
      <c r="D76" s="8" t="inlineStr">
        <is>
          <t>GRAVAMEN LEY 25413 S/DEB</t>
        </is>
      </c>
      <c r="E76" s="9" t="n">
        <v>0.89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27/04/2026</t>
        </is>
      </c>
      <c r="C77" s="8" t="inlineStr">
        <is>
          <t>108807</t>
        </is>
      </c>
      <c r="D77" s="8" t="inlineStr">
        <is>
          <t>GRAVAMEN LEY 25413 S/DEB</t>
        </is>
      </c>
      <c r="E77" s="9" t="n">
        <v>3.65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27/04/2026</t>
        </is>
      </c>
      <c r="C78" s="8" t="inlineStr">
        <is>
          <t>108806</t>
        </is>
      </c>
      <c r="D78" s="8" t="inlineStr">
        <is>
          <t>GRAVAMEN LEY 25413 S/DEB</t>
        </is>
      </c>
      <c r="E78" s="9" t="n">
        <v>1.68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27/04/2026</t>
        </is>
      </c>
      <c r="C79" s="8" t="inlineStr">
        <is>
          <t>108805</t>
        </is>
      </c>
      <c r="D79" s="8" t="inlineStr">
        <is>
          <t>GRAVAMEN LEY 25413 S/DEB</t>
        </is>
      </c>
      <c r="E79" s="9" t="n">
        <v>1.6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27/04/2026</t>
        </is>
      </c>
      <c r="C80" s="8" t="inlineStr">
        <is>
          <t>108804</t>
        </is>
      </c>
      <c r="D80" s="8" t="inlineStr">
        <is>
          <t>GRAVAMEN LEY 25413 S/DEB</t>
        </is>
      </c>
      <c r="E80" s="9" t="n">
        <v>2.33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27/04/2026</t>
        </is>
      </c>
      <c r="C81" s="8" t="inlineStr">
        <is>
          <t>108803</t>
        </is>
      </c>
      <c r="D81" s="8" t="inlineStr">
        <is>
          <t>GRAVAMEN LEY 25413 S/DEB</t>
        </is>
      </c>
      <c r="E81" s="9" t="n">
        <v>1.46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27/04/2026</t>
        </is>
      </c>
      <c r="C82" s="8" t="inlineStr">
        <is>
          <t>108802</t>
        </is>
      </c>
      <c r="D82" s="8" t="inlineStr">
        <is>
          <t>GRAVAMEN LEY 25413 S/DEB</t>
        </is>
      </c>
      <c r="E82" s="9" t="n">
        <v>2.29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27/04/2026</t>
        </is>
      </c>
      <c r="C83" s="8" t="inlineStr">
        <is>
          <t>108801</t>
        </is>
      </c>
      <c r="D83" s="8" t="inlineStr">
        <is>
          <t>GRAVAMEN LEY 25413 S/DEB</t>
        </is>
      </c>
      <c r="E83" s="9" t="n">
        <v>0.53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27/04/2026</t>
        </is>
      </c>
      <c r="C84" s="8" t="inlineStr">
        <is>
          <t>108800</t>
        </is>
      </c>
      <c r="D84" s="8" t="inlineStr">
        <is>
          <t>GRAVAMEN LEY 25413 S/DEB</t>
        </is>
      </c>
      <c r="E84" s="9" t="n">
        <v>0.27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27/04/2026</t>
        </is>
      </c>
      <c r="C85" s="8" t="inlineStr">
        <is>
          <t>108799</t>
        </is>
      </c>
      <c r="D85" s="8" t="inlineStr">
        <is>
          <t>GRAVAMEN LEY 25413 S/DEB</t>
        </is>
      </c>
      <c r="E85" s="9" t="n">
        <v>0.53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27/04/2026</t>
        </is>
      </c>
      <c r="C86" s="8" t="inlineStr">
        <is>
          <t>108798</t>
        </is>
      </c>
      <c r="D86" s="8" t="inlineStr">
        <is>
          <t>GRAVAMEN LEY 25413 S/DEB</t>
        </is>
      </c>
      <c r="E86" s="9" t="n">
        <v>2.58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27/04/2026</t>
        </is>
      </c>
      <c r="C87" s="8" t="inlineStr">
        <is>
          <t>108797</t>
        </is>
      </c>
      <c r="D87" s="8" t="inlineStr">
        <is>
          <t>GRAVAMEN LEY 25413 S/DEB</t>
        </is>
      </c>
      <c r="E87" s="9" t="n">
        <v>1.53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27/04/2026</t>
        </is>
      </c>
      <c r="C88" s="8" t="inlineStr">
        <is>
          <t>108796</t>
        </is>
      </c>
      <c r="D88" s="8" t="inlineStr">
        <is>
          <t>GRAVAMEN LEY 25413 S/DEB</t>
        </is>
      </c>
      <c r="E88" s="9" t="n">
        <v>4.68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27/04/2026</t>
        </is>
      </c>
      <c r="C89" s="8" t="inlineStr">
        <is>
          <t>108795</t>
        </is>
      </c>
      <c r="D89" s="8" t="inlineStr">
        <is>
          <t>GRAVAMEN LEY 25413 S/DEB</t>
        </is>
      </c>
      <c r="E89" s="9" t="n">
        <v>5.06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27/04/2026</t>
        </is>
      </c>
      <c r="C90" s="8" t="inlineStr">
        <is>
          <t>108794</t>
        </is>
      </c>
      <c r="D90" s="8" t="inlineStr">
        <is>
          <t>GRAVAMEN LEY 25413 S/DEB</t>
        </is>
      </c>
      <c r="E90" s="9" t="n">
        <v>0.75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27/04/2026</t>
        </is>
      </c>
      <c r="C91" s="8" t="inlineStr">
        <is>
          <t>108793</t>
        </is>
      </c>
      <c r="D91" s="8" t="inlineStr">
        <is>
          <t>GRAVAMEN LEY 25413 S/DEB</t>
        </is>
      </c>
      <c r="E91" s="9" t="n">
        <v>7.28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27/04/2026</t>
        </is>
      </c>
      <c r="C92" s="8" t="inlineStr">
        <is>
          <t>108792</t>
        </is>
      </c>
      <c r="D92" s="8" t="inlineStr">
        <is>
          <t>GRAVAMEN LEY 25413 S/DEB</t>
        </is>
      </c>
      <c r="E92" s="9" t="n">
        <v>1.13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27/04/2026</t>
        </is>
      </c>
      <c r="C93" s="8" t="inlineStr">
        <is>
          <t>108791</t>
        </is>
      </c>
      <c r="D93" s="8" t="inlineStr">
        <is>
          <t>GRAVAMEN LEY 25413 S/DEB</t>
        </is>
      </c>
      <c r="E93" s="9" t="n">
        <v>2.05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27/04/2026</t>
        </is>
      </c>
      <c r="C94" s="8" t="inlineStr">
        <is>
          <t>108790</t>
        </is>
      </c>
      <c r="D94" s="8" t="inlineStr">
        <is>
          <t>GRAVAMEN LEY 25413 S/DEB</t>
        </is>
      </c>
      <c r="E94" s="9" t="n">
        <v>0.59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27/04/2026</t>
        </is>
      </c>
      <c r="C95" s="8" t="inlineStr">
        <is>
          <t>108789</t>
        </is>
      </c>
      <c r="D95" s="8" t="inlineStr">
        <is>
          <t>GRAVAMEN LEY 25413 S/DEB</t>
        </is>
      </c>
      <c r="E95" s="9" t="n">
        <v>1.49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27/04/2026</t>
        </is>
      </c>
      <c r="C96" s="8" t="inlineStr">
        <is>
          <t>108788</t>
        </is>
      </c>
      <c r="D96" s="8" t="inlineStr">
        <is>
          <t>GRAVAMEN LEY 25413 S/DEB</t>
        </is>
      </c>
      <c r="E96" s="9" t="n">
        <v>0.63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27/04/2026</t>
        </is>
      </c>
      <c r="C97" s="8" t="inlineStr">
        <is>
          <t>108787</t>
        </is>
      </c>
      <c r="D97" s="8" t="inlineStr">
        <is>
          <t>GRAVAMEN LEY 25413 S/DEB</t>
        </is>
      </c>
      <c r="E97" s="9" t="n">
        <v>2.73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27/04/2026</t>
        </is>
      </c>
      <c r="C98" s="8" t="inlineStr">
        <is>
          <t>108786</t>
        </is>
      </c>
      <c r="D98" s="8" t="inlineStr">
        <is>
          <t>GRAVAMEN LEY 25413 S/DEB</t>
        </is>
      </c>
      <c r="E98" s="9" t="n">
        <v>0.68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27/04/2026</t>
        </is>
      </c>
      <c r="C99" s="8" t="inlineStr">
        <is>
          <t>108785</t>
        </is>
      </c>
      <c r="D99" s="8" t="inlineStr">
        <is>
          <t>GRAVAMEN LEY 25413 S/DEB</t>
        </is>
      </c>
      <c r="E99" s="9" t="n">
        <v>6.4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27/04/2026</t>
        </is>
      </c>
      <c r="C100" s="8" t="inlineStr">
        <is>
          <t>108784</t>
        </is>
      </c>
      <c r="D100" s="8" t="inlineStr">
        <is>
          <t>GRAVAMEN LEY 25413 S/DEB</t>
        </is>
      </c>
      <c r="E100" s="9" t="n">
        <v>4.37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27/04/2026</t>
        </is>
      </c>
      <c r="C101" s="8" t="inlineStr">
        <is>
          <t>108783</t>
        </is>
      </c>
      <c r="D101" s="8" t="inlineStr">
        <is>
          <t>GRAVAMEN LEY 25413 S/DEB</t>
        </is>
      </c>
      <c r="E101" s="9" t="n">
        <v>1.89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27/04/2026</t>
        </is>
      </c>
      <c r="C102" s="8" t="inlineStr">
        <is>
          <t>108782</t>
        </is>
      </c>
      <c r="D102" s="8" t="inlineStr">
        <is>
          <t>GRAVAMEN LEY 25413 S/DEB</t>
        </is>
      </c>
      <c r="E102" s="9" t="n">
        <v>3.78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27/04/2026</t>
        </is>
      </c>
      <c r="C103" s="8" t="inlineStr">
        <is>
          <t>108781</t>
        </is>
      </c>
      <c r="D103" s="8" t="inlineStr">
        <is>
          <t>GRAVAMEN LEY 25413 S/DEB</t>
        </is>
      </c>
      <c r="E103" s="9" t="n">
        <v>3.47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27/04/2026</t>
        </is>
      </c>
      <c r="C104" s="8" t="inlineStr">
        <is>
          <t>108780</t>
        </is>
      </c>
      <c r="D104" s="8" t="inlineStr">
        <is>
          <t>GRAVAMEN LEY 25413 S/DEB</t>
        </is>
      </c>
      <c r="E104" s="9" t="n">
        <v>3.96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27/04/2026</t>
        </is>
      </c>
      <c r="C105" s="8" t="inlineStr">
        <is>
          <t>108779</t>
        </is>
      </c>
      <c r="D105" s="8" t="inlineStr">
        <is>
          <t>GRAVAMEN LEY 25413 S/DEB</t>
        </is>
      </c>
      <c r="E105" s="9" t="n">
        <v>0.74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27/04/2026</t>
        </is>
      </c>
      <c r="C106" s="8" t="inlineStr">
        <is>
          <t>108778</t>
        </is>
      </c>
      <c r="D106" s="8" t="inlineStr">
        <is>
          <t>GRAVAMEN LEY 25413 S/DEB</t>
        </is>
      </c>
      <c r="E106" s="9" t="n">
        <v>1.99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27/04/2026</t>
        </is>
      </c>
      <c r="C107" s="8" t="inlineStr">
        <is>
          <t>108777</t>
        </is>
      </c>
      <c r="D107" s="8" t="inlineStr">
        <is>
          <t>GRAVAMEN LEY 25413 S/DEB</t>
        </is>
      </c>
      <c r="E107" s="9" t="n">
        <v>1.99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27/04/2026</t>
        </is>
      </c>
      <c r="C108" s="8" t="inlineStr">
        <is>
          <t>108776</t>
        </is>
      </c>
      <c r="D108" s="8" t="inlineStr">
        <is>
          <t>GRAVAMEN LEY 25413 S/DEB</t>
        </is>
      </c>
      <c r="E108" s="9" t="n">
        <v>0.79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27/04/2026</t>
        </is>
      </c>
      <c r="C109" s="8" t="inlineStr">
        <is>
          <t>108775</t>
        </is>
      </c>
      <c r="D109" s="8" t="inlineStr">
        <is>
          <t>GRAVAMEN LEY 25413 S/DEB</t>
        </is>
      </c>
      <c r="E109" s="9" t="n">
        <v>3.76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27/04/2026</t>
        </is>
      </c>
      <c r="C110" s="8" t="inlineStr">
        <is>
          <t>108774</t>
        </is>
      </c>
      <c r="D110" s="8" t="inlineStr">
        <is>
          <t>GRAVAMEN LEY 25413 S/DEB</t>
        </is>
      </c>
      <c r="E110" s="9" t="n">
        <v>4.53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27/04/2026</t>
        </is>
      </c>
      <c r="C111" s="8" t="inlineStr">
        <is>
          <t>108773</t>
        </is>
      </c>
      <c r="D111" s="8" t="inlineStr">
        <is>
          <t>GRAVAMEN LEY 25413 S/DEB</t>
        </is>
      </c>
      <c r="E111" s="9" t="n">
        <v>0.51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27/04/2026</t>
        </is>
      </c>
      <c r="C112" s="8" t="inlineStr">
        <is>
          <t>108772</t>
        </is>
      </c>
      <c r="D112" s="8" t="inlineStr">
        <is>
          <t>GRAVAMEN LEY 25413 S/DEB</t>
        </is>
      </c>
      <c r="E112" s="9" t="n">
        <v>0.27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27/04/2026</t>
        </is>
      </c>
      <c r="C113" s="8" t="inlineStr">
        <is>
          <t>108771</t>
        </is>
      </c>
      <c r="D113" s="8" t="inlineStr">
        <is>
          <t>GRAVAMEN LEY 25413 S/DEB</t>
        </is>
      </c>
      <c r="E113" s="9" t="n">
        <v>2.76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27/04/2026</t>
        </is>
      </c>
      <c r="C114" s="8" t="inlineStr">
        <is>
          <t>108770</t>
        </is>
      </c>
      <c r="D114" s="8" t="inlineStr">
        <is>
          <t>GRAVAMEN LEY 25413 S/DEB</t>
        </is>
      </c>
      <c r="E114" s="9" t="n">
        <v>3.15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27/04/2026</t>
        </is>
      </c>
      <c r="C115" s="8" t="inlineStr">
        <is>
          <t>108769</t>
        </is>
      </c>
      <c r="D115" s="8" t="inlineStr">
        <is>
          <t>GRAVAMEN LEY 25413 S/DEB</t>
        </is>
      </c>
      <c r="E115" s="9" t="n">
        <v>0.46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27/04/2026</t>
        </is>
      </c>
      <c r="C116" s="8" t="inlineStr">
        <is>
          <t>108768</t>
        </is>
      </c>
      <c r="D116" s="8" t="inlineStr">
        <is>
          <t>GRAVAMEN LEY 25413 S/DEB</t>
        </is>
      </c>
      <c r="E116" s="9" t="n">
        <v>0.5600000000000001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27/04/2026</t>
        </is>
      </c>
      <c r="C117" s="8" t="inlineStr">
        <is>
          <t>108767</t>
        </is>
      </c>
      <c r="D117" s="8" t="inlineStr">
        <is>
          <t>GRAVAMEN LEY 25413 S/DEB</t>
        </is>
      </c>
      <c r="E117" s="9" t="n">
        <v>0.8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27/04/2026</t>
        </is>
      </c>
      <c r="C118" s="8" t="inlineStr">
        <is>
          <t>108766</t>
        </is>
      </c>
      <c r="D118" s="8" t="inlineStr">
        <is>
          <t>GRAVAMEN LEY 25413 S/DEB</t>
        </is>
      </c>
      <c r="E118" s="9" t="n">
        <v>1.37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27/04/2026</t>
        </is>
      </c>
      <c r="C119" s="8" t="inlineStr">
        <is>
          <t>108765</t>
        </is>
      </c>
      <c r="D119" s="8" t="inlineStr">
        <is>
          <t>GRAVAMEN LEY 25413 S/DEB</t>
        </is>
      </c>
      <c r="E119" s="9" t="n">
        <v>1.6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27/04/2026</t>
        </is>
      </c>
      <c r="C120" s="8" t="inlineStr">
        <is>
          <t>108764</t>
        </is>
      </c>
      <c r="D120" s="8" t="inlineStr">
        <is>
          <t>GRAVAMEN LEY 25413 S/DEB</t>
        </is>
      </c>
      <c r="E120" s="9" t="n">
        <v>0.8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27/04/2026</t>
        </is>
      </c>
      <c r="C121" s="8" t="inlineStr">
        <is>
          <t>108763</t>
        </is>
      </c>
      <c r="D121" s="8" t="inlineStr">
        <is>
          <t>GRAVAMEN LEY 25413 S/DEB</t>
        </is>
      </c>
      <c r="E121" s="9" t="n">
        <v>3.04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27/04/2026</t>
        </is>
      </c>
      <c r="C122" s="8" t="inlineStr">
        <is>
          <t>108762</t>
        </is>
      </c>
      <c r="D122" s="8" t="inlineStr">
        <is>
          <t>GRAVAMEN LEY 25413 S/DEB</t>
        </is>
      </c>
      <c r="E122" s="9" t="n">
        <v>6.56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27/04/2026</t>
        </is>
      </c>
      <c r="C123" s="8" t="inlineStr">
        <is>
          <t>108761</t>
        </is>
      </c>
      <c r="D123" s="8" t="inlineStr">
        <is>
          <t>GRAVAMEN LEY 25413 S/DEB</t>
        </is>
      </c>
      <c r="E123" s="9" t="n">
        <v>2.41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27/04/2026</t>
        </is>
      </c>
      <c r="C124" s="8" t="inlineStr">
        <is>
          <t>108760</t>
        </is>
      </c>
      <c r="D124" s="8" t="inlineStr">
        <is>
          <t>GRAVAMEN LEY 25413 S/DEB</t>
        </is>
      </c>
      <c r="E124" s="9" t="n">
        <v>2.02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27/04/2026</t>
        </is>
      </c>
      <c r="C125" s="8" t="inlineStr">
        <is>
          <t>108756</t>
        </is>
      </c>
      <c r="D125" s="8" t="inlineStr">
        <is>
          <t>GRAVAMEN LEY 25413 S/DEB</t>
        </is>
      </c>
      <c r="E125" s="9" t="n">
        <v>8.970000000000001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27/04/2026</t>
        </is>
      </c>
      <c r="C126" s="8" t="inlineStr">
        <is>
          <t>108755</t>
        </is>
      </c>
      <c r="D126" s="8" t="inlineStr">
        <is>
          <t>GRAVAMEN LEY 25413 S/DEB</t>
        </is>
      </c>
      <c r="E126" s="9" t="n">
        <v>0.41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27/04/2026</t>
        </is>
      </c>
      <c r="C127" s="8" t="inlineStr">
        <is>
          <t>108754</t>
        </is>
      </c>
      <c r="D127" s="8" t="inlineStr">
        <is>
          <t>GRAVAMEN LEY 25413 S/DEB</t>
        </is>
      </c>
      <c r="E127" s="9" t="n">
        <v>6.82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27/04/2026</t>
        </is>
      </c>
      <c r="C128" s="8" t="inlineStr">
        <is>
          <t>108880</t>
        </is>
      </c>
      <c r="D128" s="8" t="inlineStr">
        <is>
          <t>GRAVAMEN LEY 25413 S/DEB</t>
        </is>
      </c>
      <c r="E128" s="9" t="n">
        <v>1.2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27/04/2026</t>
        </is>
      </c>
      <c r="C129" s="8" t="inlineStr">
        <is>
          <t>108879</t>
        </is>
      </c>
      <c r="D129" s="8" t="inlineStr">
        <is>
          <t>GRAVAMEN LEY 25413 S/DEB</t>
        </is>
      </c>
      <c r="E129" s="9" t="n">
        <v>5.74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27/04/2026</t>
        </is>
      </c>
      <c r="C130" s="8" t="inlineStr">
        <is>
          <t>108878</t>
        </is>
      </c>
      <c r="D130" s="8" t="inlineStr">
        <is>
          <t>INGRESOS BRUTOS MENDOZA</t>
        </is>
      </c>
      <c r="E130" s="9" t="n">
        <v>44.56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27/04/2026</t>
        </is>
      </c>
      <c r="C131" s="8" t="inlineStr">
        <is>
          <t>108878</t>
        </is>
      </c>
      <c r="D131" s="8" t="inlineStr">
        <is>
          <t>GRAVAMEN LEY 25413 S/CRED</t>
        </is>
      </c>
      <c r="E131" s="9" t="n">
        <v>26.74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27/04/2026</t>
        </is>
      </c>
      <c r="C132" s="8" t="inlineStr">
        <is>
          <t>32032899</t>
        </is>
      </c>
      <c r="D132" s="8" t="inlineStr">
        <is>
          <t>INGRESOS BRUTOS MENDOZA</t>
        </is>
      </c>
      <c r="E132" s="9" t="n">
        <v>6476.19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27/04/2026</t>
        </is>
      </c>
      <c r="C133" s="8" t="inlineStr">
        <is>
          <t>32032899</t>
        </is>
      </c>
      <c r="D133" s="8" t="inlineStr">
        <is>
          <t>GRAVAMEN LEY 25413 S/CRED</t>
        </is>
      </c>
      <c r="E133" s="9" t="n">
        <v>3885.71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27/04/2026</t>
        </is>
      </c>
      <c r="C134" s="8" t="inlineStr">
        <is>
          <t>31995644</t>
        </is>
      </c>
      <c r="D134" s="8" t="inlineStr">
        <is>
          <t>INGRESOS BRUTOS MENDOZA</t>
        </is>
      </c>
      <c r="E134" s="9" t="n">
        <v>3596.85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27/04/2026</t>
        </is>
      </c>
      <c r="C135" s="8" t="inlineStr">
        <is>
          <t>31995644</t>
        </is>
      </c>
      <c r="D135" s="8" t="inlineStr">
        <is>
          <t>GRAVAMEN LEY 25413 S/CRED</t>
        </is>
      </c>
      <c r="E135" s="9" t="n">
        <v>2158.11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27/04/2026</t>
        </is>
      </c>
      <c r="C136" s="8" t="inlineStr">
        <is>
          <t>29841705</t>
        </is>
      </c>
      <c r="D136" s="8" t="inlineStr">
        <is>
          <t>INGRESOS BRUTOS MENDOZA</t>
        </is>
      </c>
      <c r="E136" s="9" t="n">
        <v>326.01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27/04/2026</t>
        </is>
      </c>
      <c r="C137" s="8" t="inlineStr">
        <is>
          <t>29841705</t>
        </is>
      </c>
      <c r="D137" s="8" t="inlineStr">
        <is>
          <t>GRAVAMEN LEY 25413 S/CRED</t>
        </is>
      </c>
      <c r="E137" s="9" t="n">
        <v>195.6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27/04/2026</t>
        </is>
      </c>
      <c r="C138" s="8" t="inlineStr">
        <is>
          <t>29841670</t>
        </is>
      </c>
      <c r="D138" s="8" t="inlineStr">
        <is>
          <t>INGRESOS BRUTOS MENDOZA</t>
        </is>
      </c>
      <c r="E138" s="9" t="n">
        <v>1160.78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27/04/2026</t>
        </is>
      </c>
      <c r="C139" s="8" t="inlineStr">
        <is>
          <t>29841670</t>
        </is>
      </c>
      <c r="D139" s="8" t="inlineStr">
        <is>
          <t>GRAVAMEN LEY 25413 S/CRED</t>
        </is>
      </c>
      <c r="E139" s="9" t="n">
        <v>696.47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27/04/2026</t>
        </is>
      </c>
      <c r="C140" s="8" t="inlineStr">
        <is>
          <t>29841642</t>
        </is>
      </c>
      <c r="D140" s="8" t="inlineStr">
        <is>
          <t>INGRESOS BRUTOS MENDOZA</t>
        </is>
      </c>
      <c r="E140" s="9" t="n">
        <v>1332.68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27/04/2026</t>
        </is>
      </c>
      <c r="C141" s="8" t="inlineStr">
        <is>
          <t>29841642</t>
        </is>
      </c>
      <c r="D141" s="8" t="inlineStr">
        <is>
          <t>GRAVAMEN LEY 25413 S/CRED</t>
        </is>
      </c>
      <c r="E141" s="9" t="n">
        <v>799.61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27/04/2026</t>
        </is>
      </c>
      <c r="C142" s="8" t="inlineStr">
        <is>
          <t>29841627</t>
        </is>
      </c>
      <c r="D142" s="8" t="inlineStr">
        <is>
          <t>INGRESOS BRUTOS MENDOZA</t>
        </is>
      </c>
      <c r="E142" s="9" t="n">
        <v>133.37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27/04/2026</t>
        </is>
      </c>
      <c r="C143" s="8" t="inlineStr">
        <is>
          <t>29841627</t>
        </is>
      </c>
      <c r="D143" s="8" t="inlineStr">
        <is>
          <t>GRAVAMEN LEY 25413 S/CRED</t>
        </is>
      </c>
      <c r="E143" s="9" t="n">
        <v>80.02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27/04/2026</t>
        </is>
      </c>
      <c r="C144" s="8" t="inlineStr">
        <is>
          <t>32032899</t>
        </is>
      </c>
      <c r="D144" s="8" t="inlineStr">
        <is>
          <t>INGRESOS BRUTOS MENDOZA</t>
        </is>
      </c>
      <c r="E144" s="9" t="n">
        <v>1915.54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27/04/2026</t>
        </is>
      </c>
      <c r="C145" s="8" t="inlineStr">
        <is>
          <t>32032899</t>
        </is>
      </c>
      <c r="D145" s="8" t="inlineStr">
        <is>
          <t>GRAVAMEN LEY 25413 S/CRED</t>
        </is>
      </c>
      <c r="E145" s="9" t="n">
        <v>1149.32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27/04/2026</t>
        </is>
      </c>
      <c r="C146" s="8" t="inlineStr">
        <is>
          <t>29841705</t>
        </is>
      </c>
      <c r="D146" s="8" t="inlineStr">
        <is>
          <t>INGRESOS BRUTOS MENDOZA</t>
        </is>
      </c>
      <c r="E146" s="9" t="n">
        <v>65.2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27/04/2026</t>
        </is>
      </c>
      <c r="C147" s="8" t="inlineStr">
        <is>
          <t>29841705</t>
        </is>
      </c>
      <c r="D147" s="8" t="inlineStr">
        <is>
          <t>GRAVAMEN LEY 25413 S/CRED</t>
        </is>
      </c>
      <c r="E147" s="9" t="n">
        <v>39.12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27/04/2026</t>
        </is>
      </c>
      <c r="C148" s="8" t="inlineStr">
        <is>
          <t>29841683</t>
        </is>
      </c>
      <c r="D148" s="8" t="inlineStr">
        <is>
          <t>INGRESOS BRUTOS MENDOZA</t>
        </is>
      </c>
      <c r="E148" s="9" t="n">
        <v>853.55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27/04/2026</t>
        </is>
      </c>
      <c r="C149" s="8" t="inlineStr">
        <is>
          <t>29841683</t>
        </is>
      </c>
      <c r="D149" s="8" t="inlineStr">
        <is>
          <t>GRAVAMEN LEY 25413 S/CRED</t>
        </is>
      </c>
      <c r="E149" s="9" t="n">
        <v>512.13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27/04/2026</t>
        </is>
      </c>
      <c r="C150" s="8" t="inlineStr">
        <is>
          <t>29841627</t>
        </is>
      </c>
      <c r="D150" s="8" t="inlineStr">
        <is>
          <t>INGRESOS BRUTOS MENDOZA</t>
        </is>
      </c>
      <c r="E150" s="9" t="n">
        <v>98.79000000000001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27/04/2026</t>
        </is>
      </c>
      <c r="C151" s="8" t="inlineStr">
        <is>
          <t>29841627</t>
        </is>
      </c>
      <c r="D151" s="8" t="inlineStr">
        <is>
          <t>GRAVAMEN LEY 25413 S/CRED</t>
        </is>
      </c>
      <c r="E151" s="9" t="n">
        <v>59.27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27/04/2026</t>
        </is>
      </c>
      <c r="C152" s="8" t="inlineStr">
        <is>
          <t>29841670</t>
        </is>
      </c>
      <c r="D152" s="8" t="inlineStr">
        <is>
          <t>INGRESOS BRUTOS MENDOZA</t>
        </is>
      </c>
      <c r="E152" s="9" t="n">
        <v>688.67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27/04/2026</t>
        </is>
      </c>
      <c r="C153" s="8" t="inlineStr">
        <is>
          <t>29841670</t>
        </is>
      </c>
      <c r="D153" s="8" t="inlineStr">
        <is>
          <t>GRAVAMEN LEY 25413 S/CRED</t>
        </is>
      </c>
      <c r="E153" s="9" t="n">
        <v>413.2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27/04/2026</t>
        </is>
      </c>
      <c r="C154" s="8" t="inlineStr">
        <is>
          <t>31995644</t>
        </is>
      </c>
      <c r="D154" s="8" t="inlineStr">
        <is>
          <t>INGRESOS BRUTOS MENDOZA</t>
        </is>
      </c>
      <c r="E154" s="9" t="n">
        <v>988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27/04/2026</t>
        </is>
      </c>
      <c r="C155" s="8" t="inlineStr">
        <is>
          <t>31995644</t>
        </is>
      </c>
      <c r="D155" s="8" t="inlineStr">
        <is>
          <t>GRAVAMEN LEY 25413 S/CRED</t>
        </is>
      </c>
      <c r="E155" s="9" t="n">
        <v>592.8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27/04/2026</t>
        </is>
      </c>
      <c r="C156" s="8" t="inlineStr">
        <is>
          <t>29841705</t>
        </is>
      </c>
      <c r="D156" s="8" t="inlineStr">
        <is>
          <t>INGRESOS BRUTOS MENDOZA</t>
        </is>
      </c>
      <c r="E156" s="9" t="n">
        <v>44.02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27/04/2026</t>
        </is>
      </c>
      <c r="C157" s="8" t="inlineStr">
        <is>
          <t>29841705</t>
        </is>
      </c>
      <c r="D157" s="8" t="inlineStr">
        <is>
          <t>GRAVAMEN LEY 25413 S/CRED</t>
        </is>
      </c>
      <c r="E157" s="9" t="n">
        <v>26.41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27/04/2026</t>
        </is>
      </c>
      <c r="C158" s="8" t="inlineStr">
        <is>
          <t>29841683</t>
        </is>
      </c>
      <c r="D158" s="8" t="inlineStr">
        <is>
          <t>INGRESOS BRUTOS MENDOZA</t>
        </is>
      </c>
      <c r="E158" s="9" t="n">
        <v>234.77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27/04/2026</t>
        </is>
      </c>
      <c r="C159" s="8" t="inlineStr">
        <is>
          <t>29841683</t>
        </is>
      </c>
      <c r="D159" s="8" t="inlineStr">
        <is>
          <t>GRAVAMEN LEY 25413 S/CRED</t>
        </is>
      </c>
      <c r="E159" s="9" t="n">
        <v>140.86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27/04/2026</t>
        </is>
      </c>
      <c r="C160" s="8" t="inlineStr">
        <is>
          <t>32032899</t>
        </is>
      </c>
      <c r="D160" s="8" t="inlineStr">
        <is>
          <t>INGRESOS BRUTOS MENDOZA</t>
        </is>
      </c>
      <c r="E160" s="9" t="n">
        <v>1255.34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27/04/2026</t>
        </is>
      </c>
      <c r="C161" s="8" t="inlineStr">
        <is>
          <t>32032899</t>
        </is>
      </c>
      <c r="D161" s="8" t="inlineStr">
        <is>
          <t>GRAVAMEN LEY 25413 S/CRED</t>
        </is>
      </c>
      <c r="E161" s="9" t="n">
        <v>753.2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27/04/2026</t>
        </is>
      </c>
      <c r="C162" s="8" t="inlineStr">
        <is>
          <t>31995644</t>
        </is>
      </c>
      <c r="D162" s="8" t="inlineStr">
        <is>
          <t>INGRESOS BRUTOS MENDOZA</t>
        </is>
      </c>
      <c r="E162" s="9" t="n">
        <v>543.0599999999999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27/04/2026</t>
        </is>
      </c>
      <c r="C163" s="8" t="inlineStr">
        <is>
          <t>31995644</t>
        </is>
      </c>
      <c r="D163" s="8" t="inlineStr">
        <is>
          <t>GRAVAMEN LEY 25413 S/CRED</t>
        </is>
      </c>
      <c r="E163" s="9" t="n">
        <v>325.84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27/04/2026</t>
        </is>
      </c>
      <c r="C164" s="8" t="inlineStr">
        <is>
          <t>32032899</t>
        </is>
      </c>
      <c r="D164" s="8" t="inlineStr">
        <is>
          <t>INGRESOS BRUTOS MENDOZA</t>
        </is>
      </c>
      <c r="E164" s="9" t="n">
        <v>4719.26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27/04/2026</t>
        </is>
      </c>
      <c r="C165" s="8" t="inlineStr">
        <is>
          <t>32032899</t>
        </is>
      </c>
      <c r="D165" s="8" t="inlineStr">
        <is>
          <t>GRAVAMEN LEY 25413 S/CRED</t>
        </is>
      </c>
      <c r="E165" s="9" t="n">
        <v>2831.56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27/04/2026</t>
        </is>
      </c>
      <c r="C166" s="8" t="inlineStr">
        <is>
          <t>32032899</t>
        </is>
      </c>
      <c r="D166" s="8" t="inlineStr">
        <is>
          <t>INGRESOS BRUTOS MENDOZA</t>
        </is>
      </c>
      <c r="E166" s="9" t="n">
        <v>2952.59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27/04/2026</t>
        </is>
      </c>
      <c r="C167" s="8" t="inlineStr">
        <is>
          <t>32032899</t>
        </is>
      </c>
      <c r="D167" s="8" t="inlineStr">
        <is>
          <t>GRAVAMEN LEY 25413 S/CRED</t>
        </is>
      </c>
      <c r="E167" s="9" t="n">
        <v>1771.56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27/04/2026</t>
        </is>
      </c>
      <c r="C168" s="8" t="inlineStr">
        <is>
          <t>31995644</t>
        </is>
      </c>
      <c r="D168" s="8" t="inlineStr">
        <is>
          <t>INGRESOS BRUTOS MENDOZA</t>
        </is>
      </c>
      <c r="E168" s="9" t="n">
        <v>4534.48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27/04/2026</t>
        </is>
      </c>
      <c r="C169" s="8" t="inlineStr">
        <is>
          <t>31995644</t>
        </is>
      </c>
      <c r="D169" s="8" t="inlineStr">
        <is>
          <t>GRAVAMEN LEY 25413 S/CRED</t>
        </is>
      </c>
      <c r="E169" s="9" t="n">
        <v>2720.69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27/04/2026</t>
        </is>
      </c>
      <c r="C170" s="8" t="inlineStr">
        <is>
          <t>31995644</t>
        </is>
      </c>
      <c r="D170" s="8" t="inlineStr">
        <is>
          <t>INGRESOS BRUTOS MENDOZA</t>
        </is>
      </c>
      <c r="E170" s="9" t="n">
        <v>4752.83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27/04/2026</t>
        </is>
      </c>
      <c r="C171" s="8" t="inlineStr">
        <is>
          <t>31995644</t>
        </is>
      </c>
      <c r="D171" s="8" t="inlineStr">
        <is>
          <t>GRAVAMEN LEY 25413 S/CRED</t>
        </is>
      </c>
      <c r="E171" s="9" t="n">
        <v>2851.7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27/04/2026</t>
        </is>
      </c>
      <c r="C172" s="8" t="inlineStr">
        <is>
          <t>29841705</t>
        </is>
      </c>
      <c r="D172" s="8" t="inlineStr">
        <is>
          <t>INGRESOS BRUTOS MENDOZA</t>
        </is>
      </c>
      <c r="E172" s="9" t="n">
        <v>300.31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27/04/2026</t>
        </is>
      </c>
      <c r="C173" s="8" t="inlineStr">
        <is>
          <t>29841705</t>
        </is>
      </c>
      <c r="D173" s="8" t="inlineStr">
        <is>
          <t>GRAVAMEN LEY 25413 S/CRED</t>
        </is>
      </c>
      <c r="E173" s="9" t="n">
        <v>180.19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27/04/2026</t>
        </is>
      </c>
      <c r="C174" s="8" t="inlineStr">
        <is>
          <t>29841670</t>
        </is>
      </c>
      <c r="D174" s="8" t="inlineStr">
        <is>
          <t>INGRESOS BRUTOS MENDOZA</t>
        </is>
      </c>
      <c r="E174" s="9" t="n">
        <v>397.16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27/04/2026</t>
        </is>
      </c>
      <c r="C175" s="8" t="inlineStr">
        <is>
          <t>29841670</t>
        </is>
      </c>
      <c r="D175" s="8" t="inlineStr">
        <is>
          <t>GRAVAMEN LEY 25413 S/CRED</t>
        </is>
      </c>
      <c r="E175" s="9" t="n">
        <v>238.29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27/04/2026</t>
        </is>
      </c>
      <c r="C176" s="8" t="inlineStr">
        <is>
          <t>29841642</t>
        </is>
      </c>
      <c r="D176" s="8" t="inlineStr">
        <is>
          <t>INGRESOS BRUTOS MENDOZA</t>
        </is>
      </c>
      <c r="E176" s="9" t="n">
        <v>188.8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27/04/2026</t>
        </is>
      </c>
      <c r="C177" s="8" t="inlineStr">
        <is>
          <t>29841642</t>
        </is>
      </c>
      <c r="D177" s="8" t="inlineStr">
        <is>
          <t>GRAVAMEN LEY 25413 S/CRED</t>
        </is>
      </c>
      <c r="E177" s="9" t="n">
        <v>113.28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27/04/2026</t>
        </is>
      </c>
      <c r="C178" s="8" t="inlineStr">
        <is>
          <t>32032899</t>
        </is>
      </c>
      <c r="D178" s="8" t="inlineStr">
        <is>
          <t>INGRESOS BRUTOS MENDOZA</t>
        </is>
      </c>
      <c r="E178" s="9" t="n">
        <v>1401.99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27/04/2026</t>
        </is>
      </c>
      <c r="C179" s="8" t="inlineStr">
        <is>
          <t>32032899</t>
        </is>
      </c>
      <c r="D179" s="8" t="inlineStr">
        <is>
          <t>GRAVAMEN LEY 25413 S/CRED</t>
        </is>
      </c>
      <c r="E179" s="9" t="n">
        <v>841.2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27/04/2026</t>
        </is>
      </c>
      <c r="C180" s="8" t="inlineStr">
        <is>
          <t>31995644</t>
        </is>
      </c>
      <c r="D180" s="8" t="inlineStr">
        <is>
          <t>INGRESOS BRUTOS MENDOZA</t>
        </is>
      </c>
      <c r="E180" s="9" t="n">
        <v>1549.62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27/04/2026</t>
        </is>
      </c>
      <c r="C181" s="8" t="inlineStr">
        <is>
          <t>31995644</t>
        </is>
      </c>
      <c r="D181" s="8" t="inlineStr">
        <is>
          <t>GRAVAMEN LEY 25413 S/CRED</t>
        </is>
      </c>
      <c r="E181" s="9" t="n">
        <v>929.77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27/04/2026</t>
        </is>
      </c>
      <c r="C182" s="8" t="inlineStr">
        <is>
          <t>31995644</t>
        </is>
      </c>
      <c r="D182" s="8" t="inlineStr">
        <is>
          <t>INGRESOS BRUTOS MENDOZA</t>
        </is>
      </c>
      <c r="E182" s="9" t="n">
        <v>1100.54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27/04/2026</t>
        </is>
      </c>
      <c r="C183" s="8" t="inlineStr">
        <is>
          <t>31995644</t>
        </is>
      </c>
      <c r="D183" s="8" t="inlineStr">
        <is>
          <t>GRAVAMEN LEY 25413 S/CRED</t>
        </is>
      </c>
      <c r="E183" s="9" t="n">
        <v>660.33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27/04/2026</t>
        </is>
      </c>
      <c r="C184" s="8" t="inlineStr">
        <is>
          <t>29841705</t>
        </is>
      </c>
      <c r="D184" s="8" t="inlineStr">
        <is>
          <t>INGRESOS BRUTOS MENDOZA</t>
        </is>
      </c>
      <c r="E184" s="9" t="n">
        <v>91.95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27/04/2026</t>
        </is>
      </c>
      <c r="C185" s="8" t="inlineStr">
        <is>
          <t>29841705</t>
        </is>
      </c>
      <c r="D185" s="8" t="inlineStr">
        <is>
          <t>GRAVAMEN LEY 25413 S/CRED</t>
        </is>
      </c>
      <c r="E185" s="9" t="n">
        <v>55.17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27/04/2026</t>
        </is>
      </c>
      <c r="C186" s="8" t="inlineStr">
        <is>
          <t>4062494</t>
        </is>
      </c>
      <c r="D186" s="8" t="inlineStr">
        <is>
          <t>INGRESOS BRUTOS MENDOZA</t>
        </is>
      </c>
      <c r="E186" s="9" t="n">
        <v>28351.84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27/04/2026</t>
        </is>
      </c>
      <c r="C187" s="8" t="inlineStr">
        <is>
          <t>4062494</t>
        </is>
      </c>
      <c r="D187" s="8" t="inlineStr">
        <is>
          <t>GRAVAMEN LEY 25413 S/CRED</t>
        </is>
      </c>
      <c r="E187" s="9" t="n">
        <v>17011.1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27/04/2026</t>
        </is>
      </c>
      <c r="C188" s="8" t="inlineStr">
        <is>
          <t>108847</t>
        </is>
      </c>
      <c r="D188" s="8" t="inlineStr">
        <is>
          <t>INGRESOS BRUTOS MENDOZA</t>
        </is>
      </c>
      <c r="E188" s="9" t="n">
        <v>247.58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27/04/2026</t>
        </is>
      </c>
      <c r="C189" s="8" t="inlineStr">
        <is>
          <t>108847</t>
        </is>
      </c>
      <c r="D189" s="8" t="inlineStr">
        <is>
          <t>GRAVAMEN LEY 25413 S/CRED</t>
        </is>
      </c>
      <c r="E189" s="9" t="n">
        <v>148.55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27/04/2026</t>
        </is>
      </c>
      <c r="C190" s="8" t="inlineStr">
        <is>
          <t>108846</t>
        </is>
      </c>
      <c r="D190" s="8" t="inlineStr">
        <is>
          <t>INGRESOS BRUTOS MENDOZA</t>
        </is>
      </c>
      <c r="E190" s="9" t="n">
        <v>324.83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27/04/2026</t>
        </is>
      </c>
      <c r="C191" s="8" t="inlineStr">
        <is>
          <t>108846</t>
        </is>
      </c>
      <c r="D191" s="8" t="inlineStr">
        <is>
          <t>GRAVAMEN LEY 25413 S/CRED</t>
        </is>
      </c>
      <c r="E191" s="9" t="n">
        <v>194.9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27/04/2026</t>
        </is>
      </c>
      <c r="C192" s="8" t="inlineStr">
        <is>
          <t>108845</t>
        </is>
      </c>
      <c r="D192" s="8" t="inlineStr">
        <is>
          <t>GRAVAMEN LEY 25413 S/DEB</t>
        </is>
      </c>
      <c r="E192" s="9" t="n">
        <v>14168.52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27/04/2026</t>
        </is>
      </c>
      <c r="C193" s="8" t="inlineStr">
        <is>
          <t>108844</t>
        </is>
      </c>
      <c r="D193" s="8" t="inlineStr">
        <is>
          <t>INGRESOS BRUTOS MENDOZA</t>
        </is>
      </c>
      <c r="E193" s="9" t="n">
        <v>243.62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27/04/2026</t>
        </is>
      </c>
      <c r="C194" s="8" t="inlineStr">
        <is>
          <t>108844</t>
        </is>
      </c>
      <c r="D194" s="8" t="inlineStr">
        <is>
          <t>GRAVAMEN LEY 25413 S/CRED</t>
        </is>
      </c>
      <c r="E194" s="9" t="n">
        <v>146.17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27/04/2026</t>
        </is>
      </c>
      <c r="C195" s="8" t="inlineStr">
        <is>
          <t>108843</t>
        </is>
      </c>
      <c r="D195" s="8" t="inlineStr">
        <is>
          <t>INGRESOS BRUTOS MENDOZA</t>
        </is>
      </c>
      <c r="E195" s="9" t="n">
        <v>113.89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27/04/2026</t>
        </is>
      </c>
      <c r="C196" s="8" t="inlineStr">
        <is>
          <t>108843</t>
        </is>
      </c>
      <c r="D196" s="8" t="inlineStr">
        <is>
          <t>GRAVAMEN LEY 25413 S/CRED</t>
        </is>
      </c>
      <c r="E196" s="9" t="n">
        <v>68.33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27/04/2026</t>
        </is>
      </c>
      <c r="C197" s="8" t="inlineStr">
        <is>
          <t>108842</t>
        </is>
      </c>
      <c r="D197" s="8" t="inlineStr">
        <is>
          <t>INGRESOS BRUTOS MENDOZA</t>
        </is>
      </c>
      <c r="E197" s="9" t="n">
        <v>600.13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27/04/2026</t>
        </is>
      </c>
      <c r="C198" s="8" t="inlineStr">
        <is>
          <t>108842</t>
        </is>
      </c>
      <c r="D198" s="8" t="inlineStr">
        <is>
          <t>GRAVAMEN LEY 25413 S/CRED</t>
        </is>
      </c>
      <c r="E198" s="9" t="n">
        <v>360.08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27/04/2026</t>
        </is>
      </c>
      <c r="C199" s="8" t="inlineStr">
        <is>
          <t>108841</t>
        </is>
      </c>
      <c r="D199" s="8" t="inlineStr">
        <is>
          <t>INGRESOS BRUTOS MENDOZA</t>
        </is>
      </c>
      <c r="E199" s="9" t="n">
        <v>576.37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27/04/2026</t>
        </is>
      </c>
      <c r="C200" s="8" t="inlineStr">
        <is>
          <t>108841</t>
        </is>
      </c>
      <c r="D200" s="8" t="inlineStr">
        <is>
          <t>GRAVAMEN LEY 25413 S/CRED</t>
        </is>
      </c>
      <c r="E200" s="9" t="n">
        <v>345.82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27/04/2026</t>
        </is>
      </c>
      <c r="C201" s="8" t="inlineStr">
        <is>
          <t>108840</t>
        </is>
      </c>
      <c r="D201" s="8" t="inlineStr">
        <is>
          <t>INGRESOS BRUTOS MENDOZA</t>
        </is>
      </c>
      <c r="E201" s="9" t="n">
        <v>670.45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27/04/2026</t>
        </is>
      </c>
      <c r="C202" s="8" t="inlineStr">
        <is>
          <t>108840</t>
        </is>
      </c>
      <c r="D202" s="8" t="inlineStr">
        <is>
          <t>GRAVAMEN LEY 25413 S/CRED</t>
        </is>
      </c>
      <c r="E202" s="9" t="n">
        <v>402.27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27/04/2026</t>
        </is>
      </c>
      <c r="C203" s="8" t="inlineStr">
        <is>
          <t>108839</t>
        </is>
      </c>
      <c r="D203" s="8" t="inlineStr">
        <is>
          <t>INGRESOS BRUTOS MENDOZA</t>
        </is>
      </c>
      <c r="E203" s="9" t="n">
        <v>76.25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27/04/2026</t>
        </is>
      </c>
      <c r="C204" s="8" t="inlineStr">
        <is>
          <t>108839</t>
        </is>
      </c>
      <c r="D204" s="8" t="inlineStr">
        <is>
          <t>GRAVAMEN LEY 25413 S/CRED</t>
        </is>
      </c>
      <c r="E204" s="9" t="n">
        <v>45.75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27/04/2026</t>
        </is>
      </c>
      <c r="C205" s="8" t="inlineStr">
        <is>
          <t>108838</t>
        </is>
      </c>
      <c r="D205" s="8" t="inlineStr">
        <is>
          <t>INGRESOS BRUTOS MENDOZA</t>
        </is>
      </c>
      <c r="E205" s="9" t="n">
        <v>695.2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27/04/2026</t>
        </is>
      </c>
      <c r="C206" s="8" t="inlineStr">
        <is>
          <t>108838</t>
        </is>
      </c>
      <c r="D206" s="8" t="inlineStr">
        <is>
          <t>GRAVAMEN LEY 25413 S/CRED</t>
        </is>
      </c>
      <c r="E206" s="9" t="n">
        <v>417.12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27/04/2026</t>
        </is>
      </c>
      <c r="C207" s="8" t="inlineStr">
        <is>
          <t>108837</t>
        </is>
      </c>
      <c r="D207" s="8" t="inlineStr">
        <is>
          <t>INGRESOS BRUTOS MENDOZA</t>
        </is>
      </c>
      <c r="E207" s="9" t="n">
        <v>645.6900000000001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27/04/2026</t>
        </is>
      </c>
      <c r="C208" s="8" t="inlineStr">
        <is>
          <t>108837</t>
        </is>
      </c>
      <c r="D208" s="8" t="inlineStr">
        <is>
          <t>GRAVAMEN LEY 25413 S/CRED</t>
        </is>
      </c>
      <c r="E208" s="9" t="n">
        <v>387.41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27/04/2026</t>
        </is>
      </c>
      <c r="C209" s="8" t="inlineStr">
        <is>
          <t>108836</t>
        </is>
      </c>
      <c r="D209" s="8" t="inlineStr">
        <is>
          <t>INGRESOS BRUTOS MENDOZA</t>
        </is>
      </c>
      <c r="E209" s="9" t="n">
        <v>344.63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27/04/2026</t>
        </is>
      </c>
      <c r="C210" s="8" t="inlineStr">
        <is>
          <t>108836</t>
        </is>
      </c>
      <c r="D210" s="8" t="inlineStr">
        <is>
          <t>GRAVAMEN LEY 25413 S/CRED</t>
        </is>
      </c>
      <c r="E210" s="9" t="n">
        <v>206.78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27/04/2026</t>
        </is>
      </c>
      <c r="C211" s="8" t="inlineStr">
        <is>
          <t>108835</t>
        </is>
      </c>
      <c r="D211" s="8" t="inlineStr">
        <is>
          <t>INGRESOS BRUTOS MENDOZA</t>
        </is>
      </c>
      <c r="E211" s="9" t="n">
        <v>267.39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27/04/2026</t>
        </is>
      </c>
      <c r="C212" s="8" t="inlineStr">
        <is>
          <t>108835</t>
        </is>
      </c>
      <c r="D212" s="8" t="inlineStr">
        <is>
          <t>GRAVAMEN LEY 25413 S/CRED</t>
        </is>
      </c>
      <c r="E212" s="9" t="n">
        <v>160.43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27/04/2026</t>
        </is>
      </c>
      <c r="C213" s="8" t="inlineStr">
        <is>
          <t>108834</t>
        </is>
      </c>
      <c r="D213" s="8" t="inlineStr">
        <is>
          <t>INGRESOS BRUTOS MENDOZA</t>
        </is>
      </c>
      <c r="E213" s="9" t="n">
        <v>268.38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27/04/2026</t>
        </is>
      </c>
      <c r="C214" s="8" t="inlineStr">
        <is>
          <t>108834</t>
        </is>
      </c>
      <c r="D214" s="8" t="inlineStr">
        <is>
          <t>GRAVAMEN LEY 25413 S/CRED</t>
        </is>
      </c>
      <c r="E214" s="9" t="n">
        <v>161.03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27/04/2026</t>
        </is>
      </c>
      <c r="C215" s="8" t="inlineStr">
        <is>
          <t>108833</t>
        </is>
      </c>
      <c r="D215" s="8" t="inlineStr">
        <is>
          <t>INGRESOS BRUTOS MENDOZA</t>
        </is>
      </c>
      <c r="E215" s="9" t="n">
        <v>387.22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27/04/2026</t>
        </is>
      </c>
      <c r="C216" s="8" t="inlineStr">
        <is>
          <t>108833</t>
        </is>
      </c>
      <c r="D216" s="8" t="inlineStr">
        <is>
          <t>GRAVAMEN LEY 25413 S/CRED</t>
        </is>
      </c>
      <c r="E216" s="9" t="n">
        <v>232.33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27/04/2026</t>
        </is>
      </c>
      <c r="C217" s="8" t="inlineStr">
        <is>
          <t>108832</t>
        </is>
      </c>
      <c r="D217" s="8" t="inlineStr">
        <is>
          <t>INGRESOS BRUTOS MENDOZA</t>
        </is>
      </c>
      <c r="E217" s="9" t="n">
        <v>116.86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27/04/2026</t>
        </is>
      </c>
      <c r="C218" s="8" t="inlineStr">
        <is>
          <t>108832</t>
        </is>
      </c>
      <c r="D218" s="8" t="inlineStr">
        <is>
          <t>GRAVAMEN LEY 25413 S/CRED</t>
        </is>
      </c>
      <c r="E218" s="9" t="n">
        <v>70.11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27/04/2026</t>
        </is>
      </c>
      <c r="C219" s="8" t="inlineStr">
        <is>
          <t>108831</t>
        </is>
      </c>
      <c r="D219" s="8" t="inlineStr">
        <is>
          <t>INGRESOS BRUTOS MENDOZA</t>
        </is>
      </c>
      <c r="E219" s="9" t="n">
        <v>123.79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27/04/2026</t>
        </is>
      </c>
      <c r="C220" s="8" t="inlineStr">
        <is>
          <t>108831</t>
        </is>
      </c>
      <c r="D220" s="8" t="inlineStr">
        <is>
          <t>GRAVAMEN LEY 25413 S/CRED</t>
        </is>
      </c>
      <c r="E220" s="9" t="n">
        <v>74.27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27/04/2026</t>
        </is>
      </c>
      <c r="C221" s="8" t="inlineStr">
        <is>
          <t>108830</t>
        </is>
      </c>
      <c r="D221" s="8" t="inlineStr">
        <is>
          <t>INGRESOS BRUTOS MENDOZA</t>
        </is>
      </c>
      <c r="E221" s="9" t="n">
        <v>549.63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27/04/2026</t>
        </is>
      </c>
      <c r="C222" s="8" t="inlineStr">
        <is>
          <t>108830</t>
        </is>
      </c>
      <c r="D222" s="8" t="inlineStr">
        <is>
          <t>GRAVAMEN LEY 25413 S/CRED</t>
        </is>
      </c>
      <c r="E222" s="9" t="n">
        <v>329.78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27/04/2026</t>
        </is>
      </c>
      <c r="C223" s="8" t="inlineStr">
        <is>
          <t>108829</t>
        </is>
      </c>
      <c r="D223" s="8" t="inlineStr">
        <is>
          <t>INGRESOS BRUTOS MENDOZA</t>
        </is>
      </c>
      <c r="E223" s="9" t="n">
        <v>276.3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27/04/2026</t>
        </is>
      </c>
      <c r="C224" s="8" t="inlineStr">
        <is>
          <t>108829</t>
        </is>
      </c>
      <c r="D224" s="8" t="inlineStr">
        <is>
          <t>GRAVAMEN LEY 25413 S/CRED</t>
        </is>
      </c>
      <c r="E224" s="9" t="n">
        <v>165.78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27/04/2026</t>
        </is>
      </c>
      <c r="C225" s="8" t="inlineStr">
        <is>
          <t>108828</t>
        </is>
      </c>
      <c r="D225" s="8" t="inlineStr">
        <is>
          <t>INGRESOS BRUTOS MENDOZA</t>
        </is>
      </c>
      <c r="E225" s="9" t="n">
        <v>237.68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27/04/2026</t>
        </is>
      </c>
      <c r="C226" s="8" t="inlineStr">
        <is>
          <t>108828</t>
        </is>
      </c>
      <c r="D226" s="8" t="inlineStr">
        <is>
          <t>GRAVAMEN LEY 25413 S/CRED</t>
        </is>
      </c>
      <c r="E226" s="9" t="n">
        <v>142.61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27/04/2026</t>
        </is>
      </c>
      <c r="C227" s="8" t="inlineStr">
        <is>
          <t>108827</t>
        </is>
      </c>
      <c r="D227" s="8" t="inlineStr">
        <is>
          <t>INGRESOS BRUTOS MENDOZA</t>
        </is>
      </c>
      <c r="E227" s="9" t="n">
        <v>699.17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27/04/2026</t>
        </is>
      </c>
      <c r="C228" s="8" t="inlineStr">
        <is>
          <t>108827</t>
        </is>
      </c>
      <c r="D228" s="8" t="inlineStr">
        <is>
          <t>GRAVAMEN LEY 25413 S/CRED</t>
        </is>
      </c>
      <c r="E228" s="9" t="n">
        <v>419.5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27/04/2026</t>
        </is>
      </c>
      <c r="C229" s="8" t="inlineStr">
        <is>
          <t>108826</t>
        </is>
      </c>
      <c r="D229" s="8" t="inlineStr">
        <is>
          <t>INGRESOS BRUTOS MENDOZA</t>
        </is>
      </c>
      <c r="E229" s="9" t="n">
        <v>228.76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27/04/2026</t>
        </is>
      </c>
      <c r="C230" s="8" t="inlineStr">
        <is>
          <t>108826</t>
        </is>
      </c>
      <c r="D230" s="8" t="inlineStr">
        <is>
          <t>GRAVAMEN LEY 25413 S/CRED</t>
        </is>
      </c>
      <c r="E230" s="9" t="n">
        <v>137.26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27/04/2026</t>
        </is>
      </c>
      <c r="C231" s="8" t="inlineStr">
        <is>
          <t>108825</t>
        </is>
      </c>
      <c r="D231" s="8" t="inlineStr">
        <is>
          <t>INGRESOS BRUTOS MENDOZA</t>
        </is>
      </c>
      <c r="E231" s="9" t="n">
        <v>133.69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27/04/2026</t>
        </is>
      </c>
      <c r="C232" s="8" t="inlineStr">
        <is>
          <t>108825</t>
        </is>
      </c>
      <c r="D232" s="8" t="inlineStr">
        <is>
          <t>GRAVAMEN LEY 25413 S/CRED</t>
        </is>
      </c>
      <c r="E232" s="9" t="n">
        <v>80.22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27/04/2026</t>
        </is>
      </c>
      <c r="C233" s="8" t="inlineStr">
        <is>
          <t>108824</t>
        </is>
      </c>
      <c r="D233" s="8" t="inlineStr">
        <is>
          <t>INGRESOS BRUTOS MENDOZA</t>
        </is>
      </c>
      <c r="E233" s="9" t="n">
        <v>341.66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27/04/2026</t>
        </is>
      </c>
      <c r="C234" s="8" t="inlineStr">
        <is>
          <t>108824</t>
        </is>
      </c>
      <c r="D234" s="8" t="inlineStr">
        <is>
          <t>GRAVAMEN LEY 25413 S/CRED</t>
        </is>
      </c>
      <c r="E234" s="9" t="n">
        <v>205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27/04/2026</t>
        </is>
      </c>
      <c r="C235" s="8" t="inlineStr">
        <is>
          <t>108823</t>
        </is>
      </c>
      <c r="D235" s="8" t="inlineStr">
        <is>
          <t>INGRESOS BRUTOS MENDOZA</t>
        </is>
      </c>
      <c r="E235" s="9" t="n">
        <v>247.58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27/04/2026</t>
        </is>
      </c>
      <c r="C236" s="8" t="inlineStr">
        <is>
          <t>108823</t>
        </is>
      </c>
      <c r="D236" s="8" t="inlineStr">
        <is>
          <t>GRAVAMEN LEY 25413 S/CRED</t>
        </is>
      </c>
      <c r="E236" s="9" t="n">
        <v>148.55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27/04/2026</t>
        </is>
      </c>
      <c r="C237" s="8" t="inlineStr">
        <is>
          <t>108822</t>
        </is>
      </c>
      <c r="D237" s="8" t="inlineStr">
        <is>
          <t>INGRESOS BRUTOS MENDOZA</t>
        </is>
      </c>
      <c r="E237" s="9" t="n">
        <v>113.89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27/04/2026</t>
        </is>
      </c>
      <c r="C238" s="8" t="inlineStr">
        <is>
          <t>108822</t>
        </is>
      </c>
      <c r="D238" s="8" t="inlineStr">
        <is>
          <t>GRAVAMEN LEY 25413 S/CRED</t>
        </is>
      </c>
      <c r="E238" s="9" t="n">
        <v>68.33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27/04/2026</t>
        </is>
      </c>
      <c r="C239" s="8" t="inlineStr">
        <is>
          <t>108821</t>
        </is>
      </c>
      <c r="D239" s="8" t="inlineStr">
        <is>
          <t>INGRESOS BRUTOS MENDOZA</t>
        </is>
      </c>
      <c r="E239" s="9" t="n">
        <v>797.21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27/04/2026</t>
        </is>
      </c>
      <c r="C240" s="8" t="inlineStr">
        <is>
          <t>108821</t>
        </is>
      </c>
      <c r="D240" s="8" t="inlineStr">
        <is>
          <t>GRAVAMEN LEY 25413 S/CRED</t>
        </is>
      </c>
      <c r="E240" s="9" t="n">
        <v>478.32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27/04/2026</t>
        </is>
      </c>
      <c r="C241" s="8" t="inlineStr">
        <is>
          <t>108820</t>
        </is>
      </c>
      <c r="D241" s="8" t="inlineStr">
        <is>
          <t>INGRESOS BRUTOS MENDOZA</t>
        </is>
      </c>
      <c r="E241" s="9" t="n">
        <v>237.68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27/04/2026</t>
        </is>
      </c>
      <c r="C242" s="8" t="inlineStr">
        <is>
          <t>108820</t>
        </is>
      </c>
      <c r="D242" s="8" t="inlineStr">
        <is>
          <t>GRAVAMEN LEY 25413 S/CRED</t>
        </is>
      </c>
      <c r="E242" s="9" t="n">
        <v>142.61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27/04/2026</t>
        </is>
      </c>
      <c r="C243" s="8" t="inlineStr">
        <is>
          <t>108819</t>
        </is>
      </c>
      <c r="D243" s="8" t="inlineStr">
        <is>
          <t>INGRESOS BRUTOS MENDOZA</t>
        </is>
      </c>
      <c r="E243" s="9" t="n">
        <v>166.37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27/04/2026</t>
        </is>
      </c>
      <c r="C244" s="8" t="inlineStr">
        <is>
          <t>108819</t>
        </is>
      </c>
      <c r="D244" s="8" t="inlineStr">
        <is>
          <t>GRAVAMEN LEY 25413 S/CRED</t>
        </is>
      </c>
      <c r="E244" s="9" t="n">
        <v>99.81999999999999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27/04/2026</t>
        </is>
      </c>
      <c r="C245" s="8" t="inlineStr">
        <is>
          <t>108818</t>
        </is>
      </c>
      <c r="D245" s="8" t="inlineStr">
        <is>
          <t>INGRESOS BRUTOS MENDOZA</t>
        </is>
      </c>
      <c r="E245" s="9" t="n">
        <v>940.8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27/04/2026</t>
        </is>
      </c>
      <c r="C246" s="8" t="inlineStr">
        <is>
          <t>108818</t>
        </is>
      </c>
      <c r="D246" s="8" t="inlineStr">
        <is>
          <t>GRAVAMEN LEY 25413 S/CRED</t>
        </is>
      </c>
      <c r="E246" s="9" t="n">
        <v>564.48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27/04/2026</t>
        </is>
      </c>
      <c r="C247" s="8" t="inlineStr">
        <is>
          <t>108817</t>
        </is>
      </c>
      <c r="D247" s="8" t="inlineStr">
        <is>
          <t>INGRESOS BRUTOS MENDOZA</t>
        </is>
      </c>
      <c r="E247" s="9" t="n">
        <v>433.76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27/04/2026</t>
        </is>
      </c>
      <c r="C248" s="8" t="inlineStr">
        <is>
          <t>108817</t>
        </is>
      </c>
      <c r="D248" s="8" t="inlineStr">
        <is>
          <t>GRAVAMEN LEY 25413 S/CRED</t>
        </is>
      </c>
      <c r="E248" s="9" t="n">
        <v>260.26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27/04/2026</t>
        </is>
      </c>
      <c r="C249" s="8" t="inlineStr">
        <is>
          <t>108816</t>
        </is>
      </c>
      <c r="D249" s="8" t="inlineStr">
        <is>
          <t>INGRESOS BRUTOS MENDOZA</t>
        </is>
      </c>
      <c r="E249" s="9" t="n">
        <v>133.69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27/04/2026</t>
        </is>
      </c>
      <c r="C250" s="8" t="inlineStr">
        <is>
          <t>108816</t>
        </is>
      </c>
      <c r="D250" s="8" t="inlineStr">
        <is>
          <t>GRAVAMEN LEY 25413 S/CRED</t>
        </is>
      </c>
      <c r="E250" s="9" t="n">
        <v>80.22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27/04/2026</t>
        </is>
      </c>
      <c r="C251" s="8" t="inlineStr">
        <is>
          <t>108815</t>
        </is>
      </c>
      <c r="D251" s="8" t="inlineStr">
        <is>
          <t>INGRESOS BRUTOS MENDOZA</t>
        </is>
      </c>
      <c r="E251" s="9" t="n">
        <v>146.57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27/04/2026</t>
        </is>
      </c>
      <c r="C252" s="8" t="inlineStr">
        <is>
          <t>108815</t>
        </is>
      </c>
      <c r="D252" s="8" t="inlineStr">
        <is>
          <t>GRAVAMEN LEY 25413 S/CRED</t>
        </is>
      </c>
      <c r="E252" s="9" t="n">
        <v>87.94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27/04/2026</t>
        </is>
      </c>
      <c r="C253" s="8" t="inlineStr">
        <is>
          <t>108814</t>
        </is>
      </c>
      <c r="D253" s="8" t="inlineStr">
        <is>
          <t>INGRESOS BRUTOS MENDOZA</t>
        </is>
      </c>
      <c r="E253" s="9" t="n">
        <v>227.77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27/04/2026</t>
        </is>
      </c>
      <c r="C254" s="8" t="inlineStr">
        <is>
          <t>108814</t>
        </is>
      </c>
      <c r="D254" s="8" t="inlineStr">
        <is>
          <t>GRAVAMEN LEY 25413 S/CRED</t>
        </is>
      </c>
      <c r="E254" s="9" t="n">
        <v>136.66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27/04/2026</t>
        </is>
      </c>
      <c r="C255" s="8" t="inlineStr">
        <is>
          <t>108813</t>
        </is>
      </c>
      <c r="D255" s="8" t="inlineStr">
        <is>
          <t>INGRESOS BRUTOS MENDOZA</t>
        </is>
      </c>
      <c r="E255" s="9" t="n">
        <v>267.39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27/04/2026</t>
        </is>
      </c>
      <c r="C256" s="8" t="inlineStr">
        <is>
          <t>108813</t>
        </is>
      </c>
      <c r="D256" s="8" t="inlineStr">
        <is>
          <t>GRAVAMEN LEY 25413 S/CRED</t>
        </is>
      </c>
      <c r="E256" s="9" t="n">
        <v>160.43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27/04/2026</t>
        </is>
      </c>
      <c r="C257" s="8" t="inlineStr">
        <is>
          <t>108812</t>
        </is>
      </c>
      <c r="D257" s="8" t="inlineStr">
        <is>
          <t>INGRESOS BRUTOS MENDOZA</t>
        </is>
      </c>
      <c r="E257" s="9" t="n">
        <v>495.16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27/04/2026</t>
        </is>
      </c>
      <c r="C258" s="8" t="inlineStr">
        <is>
          <t>108812</t>
        </is>
      </c>
      <c r="D258" s="8" t="inlineStr">
        <is>
          <t>GRAVAMEN LEY 25413 S/CRED</t>
        </is>
      </c>
      <c r="E258" s="9" t="n">
        <v>297.1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27/04/2026</t>
        </is>
      </c>
      <c r="C259" s="8" t="inlineStr">
        <is>
          <t>108811</t>
        </is>
      </c>
      <c r="D259" s="8" t="inlineStr">
        <is>
          <t>INGRESOS BRUTOS MENDOZA</t>
        </is>
      </c>
      <c r="E259" s="9" t="n">
        <v>512.99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27/04/2026</t>
        </is>
      </c>
      <c r="C260" s="8" t="inlineStr">
        <is>
          <t>108811</t>
        </is>
      </c>
      <c r="D260" s="8" t="inlineStr">
        <is>
          <t>GRAVAMEN LEY 25413 S/CRED</t>
        </is>
      </c>
      <c r="E260" s="9" t="n">
        <v>307.79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27/04/2026</t>
        </is>
      </c>
      <c r="C261" s="8" t="inlineStr">
        <is>
          <t>108810</t>
        </is>
      </c>
      <c r="D261" s="8" t="inlineStr">
        <is>
          <t>INGRESOS BRUTOS MENDOZA</t>
        </is>
      </c>
      <c r="E261" s="9" t="n">
        <v>757.59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27/04/2026</t>
        </is>
      </c>
      <c r="C262" s="8" t="inlineStr">
        <is>
          <t>108810</t>
        </is>
      </c>
      <c r="D262" s="8" t="inlineStr">
        <is>
          <t>GRAVAMEN LEY 25413 S/CRED</t>
        </is>
      </c>
      <c r="E262" s="9" t="n">
        <v>454.56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27/04/2026</t>
        </is>
      </c>
      <c r="C263" s="8" t="inlineStr">
        <is>
          <t>108809</t>
        </is>
      </c>
      <c r="D263" s="8" t="inlineStr">
        <is>
          <t>INGRESOS BRUTOS MENDOZA</t>
        </is>
      </c>
      <c r="E263" s="9" t="n">
        <v>245.6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27/04/2026</t>
        </is>
      </c>
      <c r="C264" s="8" t="inlineStr">
        <is>
          <t>108809</t>
        </is>
      </c>
      <c r="D264" s="8" t="inlineStr">
        <is>
          <t>GRAVAMEN LEY 25413 S/CRED</t>
        </is>
      </c>
      <c r="E264" s="9" t="n">
        <v>147.36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27/04/2026</t>
        </is>
      </c>
      <c r="C265" s="8" t="inlineStr">
        <is>
          <t>108808</t>
        </is>
      </c>
      <c r="D265" s="8" t="inlineStr">
        <is>
          <t>INGRESOS BRUTOS MENDOZA</t>
        </is>
      </c>
      <c r="E265" s="9" t="n">
        <v>148.55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27/04/2026</t>
        </is>
      </c>
      <c r="C266" s="8" t="inlineStr">
        <is>
          <t>108808</t>
        </is>
      </c>
      <c r="D266" s="8" t="inlineStr">
        <is>
          <t>GRAVAMEN LEY 25413 S/CRED</t>
        </is>
      </c>
      <c r="E266" s="9" t="n">
        <v>89.13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27/04/2026</t>
        </is>
      </c>
      <c r="C267" s="8" t="inlineStr">
        <is>
          <t>108807</t>
        </is>
      </c>
      <c r="D267" s="8" t="inlineStr">
        <is>
          <t>INGRESOS BRUTOS MENDOZA</t>
        </is>
      </c>
      <c r="E267" s="9" t="n">
        <v>609.05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27/04/2026</t>
        </is>
      </c>
      <c r="C268" s="8" t="inlineStr">
        <is>
          <t>108807</t>
        </is>
      </c>
      <c r="D268" s="8" t="inlineStr">
        <is>
          <t>GRAVAMEN LEY 25413 S/CRED</t>
        </is>
      </c>
      <c r="E268" s="9" t="n">
        <v>365.43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27/04/2026</t>
        </is>
      </c>
      <c r="C269" s="8" t="inlineStr">
        <is>
          <t>108806</t>
        </is>
      </c>
      <c r="D269" s="8" t="inlineStr">
        <is>
          <t>INGRESOS BRUTOS MENDOZA</t>
        </is>
      </c>
      <c r="E269" s="9" t="n">
        <v>280.26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27/04/2026</t>
        </is>
      </c>
      <c r="C270" s="8" t="inlineStr">
        <is>
          <t>108806</t>
        </is>
      </c>
      <c r="D270" s="8" t="inlineStr">
        <is>
          <t>GRAVAMEN LEY 25413 S/CRED</t>
        </is>
      </c>
      <c r="E270" s="9" t="n">
        <v>168.16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27/04/2026</t>
        </is>
      </c>
      <c r="C271" s="8" t="inlineStr">
        <is>
          <t>108805</t>
        </is>
      </c>
      <c r="D271" s="8" t="inlineStr">
        <is>
          <t>INGRESOS BRUTOS MENDOZA</t>
        </is>
      </c>
      <c r="E271" s="9" t="n">
        <v>267.39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27/04/2026</t>
        </is>
      </c>
      <c r="C272" s="8" t="inlineStr">
        <is>
          <t>108805</t>
        </is>
      </c>
      <c r="D272" s="8" t="inlineStr">
        <is>
          <t>GRAVAMEN LEY 25413 S/CRED</t>
        </is>
      </c>
      <c r="E272" s="9" t="n">
        <v>160.43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27/04/2026</t>
        </is>
      </c>
      <c r="C273" s="8" t="inlineStr">
        <is>
          <t>108804</t>
        </is>
      </c>
      <c r="D273" s="8" t="inlineStr">
        <is>
          <t>INGRESOS BRUTOS MENDOZA</t>
        </is>
      </c>
      <c r="E273" s="9" t="n">
        <v>388.21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27/04/2026</t>
        </is>
      </c>
      <c r="C274" s="8" t="inlineStr">
        <is>
          <t>108804</t>
        </is>
      </c>
      <c r="D274" s="8" t="inlineStr">
        <is>
          <t>GRAVAMEN LEY 25413 S/CRED</t>
        </is>
      </c>
      <c r="E274" s="9" t="n">
        <v>232.92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27/04/2026</t>
        </is>
      </c>
      <c r="C275" s="8" t="inlineStr">
        <is>
          <t>108803</t>
        </is>
      </c>
      <c r="D275" s="8" t="inlineStr">
        <is>
          <t>INGRESOS BRUTOS MENDOZA</t>
        </is>
      </c>
      <c r="E275" s="9" t="n">
        <v>242.63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27/04/2026</t>
        </is>
      </c>
      <c r="C276" s="8" t="inlineStr">
        <is>
          <t>108803</t>
        </is>
      </c>
      <c r="D276" s="8" t="inlineStr">
        <is>
          <t>GRAVAMEN LEY 25413 S/CRED</t>
        </is>
      </c>
      <c r="E276" s="9" t="n">
        <v>145.58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27/04/2026</t>
        </is>
      </c>
      <c r="C277" s="8" t="inlineStr">
        <is>
          <t>108802</t>
        </is>
      </c>
      <c r="D277" s="8" t="inlineStr">
        <is>
          <t>INGRESOS BRUTOS MENDOZA</t>
        </is>
      </c>
      <c r="E277" s="9" t="n">
        <v>381.27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27/04/2026</t>
        </is>
      </c>
      <c r="C278" s="8" t="inlineStr">
        <is>
          <t>108802</t>
        </is>
      </c>
      <c r="D278" s="8" t="inlineStr">
        <is>
          <t>GRAVAMEN LEY 25413 S/CRED</t>
        </is>
      </c>
      <c r="E278" s="9" t="n">
        <v>228.76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27/04/2026</t>
        </is>
      </c>
      <c r="C279" s="8" t="inlineStr">
        <is>
          <t>108801</t>
        </is>
      </c>
      <c r="D279" s="8" t="inlineStr">
        <is>
          <t>INGRESOS BRUTOS MENDOZA</t>
        </is>
      </c>
      <c r="E279" s="9" t="n">
        <v>89.13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27/04/2026</t>
        </is>
      </c>
      <c r="C280" s="8" t="inlineStr">
        <is>
          <t>108801</t>
        </is>
      </c>
      <c r="D280" s="8" t="inlineStr">
        <is>
          <t>GRAVAMEN LEY 25413 S/CRED</t>
        </is>
      </c>
      <c r="E280" s="9" t="n">
        <v>53.48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27/04/2026</t>
        </is>
      </c>
      <c r="C281" s="8" t="inlineStr">
        <is>
          <t>108800</t>
        </is>
      </c>
      <c r="D281" s="8" t="inlineStr">
        <is>
          <t>INGRESOS BRUTOS MENDOZA</t>
        </is>
      </c>
      <c r="E281" s="9" t="n">
        <v>44.56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27/04/2026</t>
        </is>
      </c>
      <c r="C282" s="8" t="inlineStr">
        <is>
          <t>108800</t>
        </is>
      </c>
      <c r="D282" s="8" t="inlineStr">
        <is>
          <t>GRAVAMEN LEY 25413 S/CRED</t>
        </is>
      </c>
      <c r="E282" s="9" t="n">
        <v>26.74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27/04/2026</t>
        </is>
      </c>
      <c r="C283" s="8" t="inlineStr">
        <is>
          <t>108799</t>
        </is>
      </c>
      <c r="D283" s="8" t="inlineStr">
        <is>
          <t>INGRESOS BRUTOS MENDOZA</t>
        </is>
      </c>
      <c r="E283" s="9" t="n">
        <v>89.13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27/04/2026</t>
        </is>
      </c>
      <c r="C284" s="8" t="inlineStr">
        <is>
          <t>108799</t>
        </is>
      </c>
      <c r="D284" s="8" t="inlineStr">
        <is>
          <t>GRAVAMEN LEY 25413 S/CRED</t>
        </is>
      </c>
      <c r="E284" s="9" t="n">
        <v>53.48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27/04/2026</t>
        </is>
      </c>
      <c r="C285" s="8" t="inlineStr">
        <is>
          <t>108798</t>
        </is>
      </c>
      <c r="D285" s="8" t="inlineStr">
        <is>
          <t>INGRESOS BRUTOS MENDOZA</t>
        </is>
      </c>
      <c r="E285" s="9" t="n">
        <v>429.8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27/04/2026</t>
        </is>
      </c>
      <c r="C286" s="8" t="inlineStr">
        <is>
          <t>108798</t>
        </is>
      </c>
      <c r="D286" s="8" t="inlineStr">
        <is>
          <t>GRAVAMEN LEY 25413 S/CRED</t>
        </is>
      </c>
      <c r="E286" s="9" t="n">
        <v>257.88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27/04/2026</t>
        </is>
      </c>
      <c r="C287" s="8" t="inlineStr">
        <is>
          <t>108797</t>
        </is>
      </c>
      <c r="D287" s="8" t="inlineStr">
        <is>
          <t>INGRESOS BRUTOS MENDOZA</t>
        </is>
      </c>
      <c r="E287" s="9" t="n">
        <v>255.5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27/04/2026</t>
        </is>
      </c>
      <c r="C288" s="8" t="inlineStr">
        <is>
          <t>108797</t>
        </is>
      </c>
      <c r="D288" s="8" t="inlineStr">
        <is>
          <t>GRAVAMEN LEY 25413 S/CRED</t>
        </is>
      </c>
      <c r="E288" s="9" t="n">
        <v>153.3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27/04/2026</t>
        </is>
      </c>
      <c r="C289" s="8" t="inlineStr">
        <is>
          <t>108796</t>
        </is>
      </c>
      <c r="D289" s="8" t="inlineStr">
        <is>
          <t>INGRESOS BRUTOS MENDOZA</t>
        </is>
      </c>
      <c r="E289" s="9" t="n">
        <v>780.37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27/04/2026</t>
        </is>
      </c>
      <c r="C290" s="8" t="inlineStr">
        <is>
          <t>108796</t>
        </is>
      </c>
      <c r="D290" s="8" t="inlineStr">
        <is>
          <t>GRAVAMEN LEY 25413 S/CRED</t>
        </is>
      </c>
      <c r="E290" s="9" t="n">
        <v>468.22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27/04/2026</t>
        </is>
      </c>
      <c r="C291" s="8" t="inlineStr">
        <is>
          <t>108795</t>
        </is>
      </c>
      <c r="D291" s="8" t="inlineStr">
        <is>
          <t>INGRESOS BRUTOS MENDOZA</t>
        </is>
      </c>
      <c r="E291" s="9" t="n">
        <v>843.75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27/04/2026</t>
        </is>
      </c>
      <c r="C292" s="8" t="inlineStr">
        <is>
          <t>108795</t>
        </is>
      </c>
      <c r="D292" s="8" t="inlineStr">
        <is>
          <t>GRAVAMEN LEY 25413 S/CRED</t>
        </is>
      </c>
      <c r="E292" s="9" t="n">
        <v>506.25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27/04/2026</t>
        </is>
      </c>
      <c r="C293" s="8" t="inlineStr">
        <is>
          <t>108794</t>
        </is>
      </c>
      <c r="D293" s="8" t="inlineStr">
        <is>
          <t>INGRESOS BRUTOS MENDOZA</t>
        </is>
      </c>
      <c r="E293" s="9" t="n">
        <v>125.77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27/04/2026</t>
        </is>
      </c>
      <c r="C294" s="8" t="inlineStr">
        <is>
          <t>108794</t>
        </is>
      </c>
      <c r="D294" s="8" t="inlineStr">
        <is>
          <t>GRAVAMEN LEY 25413 S/CRED</t>
        </is>
      </c>
      <c r="E294" s="9" t="n">
        <v>75.45999999999999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27/04/2026</t>
        </is>
      </c>
      <c r="C295" s="8" t="inlineStr">
        <is>
          <t>108793</t>
        </is>
      </c>
      <c r="D295" s="8" t="inlineStr">
        <is>
          <t>INGRESOS BRUTOS MENDOZA</t>
        </is>
      </c>
      <c r="E295" s="9" t="n">
        <v>1214.13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27/04/2026</t>
        </is>
      </c>
      <c r="C296" s="8" t="inlineStr">
        <is>
          <t>108793</t>
        </is>
      </c>
      <c r="D296" s="8" t="inlineStr">
        <is>
          <t>GRAVAMEN LEY 25413 S/CRED</t>
        </is>
      </c>
      <c r="E296" s="9" t="n">
        <v>728.48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27/04/2026</t>
        </is>
      </c>
      <c r="C297" s="8" t="inlineStr">
        <is>
          <t>108792</t>
        </is>
      </c>
      <c r="D297" s="8" t="inlineStr">
        <is>
          <t>INGRESOS BRUTOS MENDOZA</t>
        </is>
      </c>
      <c r="E297" s="9" t="n">
        <v>189.15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27/04/2026</t>
        </is>
      </c>
      <c r="C298" s="8" t="inlineStr">
        <is>
          <t>108792</t>
        </is>
      </c>
      <c r="D298" s="8" t="inlineStr">
        <is>
          <t>GRAVAMEN LEY 25413 S/CRED</t>
        </is>
      </c>
      <c r="E298" s="9" t="n">
        <v>113.49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27/04/2026</t>
        </is>
      </c>
      <c r="C299" s="8" t="inlineStr">
        <is>
          <t>108791</t>
        </is>
      </c>
      <c r="D299" s="8" t="inlineStr">
        <is>
          <t>INGRESOS BRUTOS MENDOZA</t>
        </is>
      </c>
      <c r="E299" s="9" t="n">
        <v>341.66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27/04/2026</t>
        </is>
      </c>
      <c r="C300" s="8" t="inlineStr">
        <is>
          <t>108791</t>
        </is>
      </c>
      <c r="D300" s="8" t="inlineStr">
        <is>
          <t>GRAVAMEN LEY 25413 S/CRED</t>
        </is>
      </c>
      <c r="E300" s="9" t="n">
        <v>205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27/04/2026</t>
        </is>
      </c>
      <c r="C301" s="8" t="inlineStr">
        <is>
          <t>108790</t>
        </is>
      </c>
      <c r="D301" s="8" t="inlineStr">
        <is>
          <t>INGRESOS BRUTOS MENDOZA</t>
        </is>
      </c>
      <c r="E301" s="9" t="n">
        <v>98.04000000000001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27/04/2026</t>
        </is>
      </c>
      <c r="C302" s="8" t="inlineStr">
        <is>
          <t>108790</t>
        </is>
      </c>
      <c r="D302" s="8" t="inlineStr">
        <is>
          <t>GRAVAMEN LEY 25413 S/CRED</t>
        </is>
      </c>
      <c r="E302" s="9" t="n">
        <v>58.83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27/04/2026</t>
        </is>
      </c>
      <c r="C303" s="8" t="inlineStr">
        <is>
          <t>108789</t>
        </is>
      </c>
      <c r="D303" s="8" t="inlineStr">
        <is>
          <t>INGRESOS BRUTOS MENDOZA</t>
        </is>
      </c>
      <c r="E303" s="9" t="n">
        <v>247.58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27/04/2026</t>
        </is>
      </c>
      <c r="C304" s="8" t="inlineStr">
        <is>
          <t>108789</t>
        </is>
      </c>
      <c r="D304" s="8" t="inlineStr">
        <is>
          <t>GRAVAMEN LEY 25413 S/CRED</t>
        </is>
      </c>
      <c r="E304" s="9" t="n">
        <v>148.55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27/04/2026</t>
        </is>
      </c>
      <c r="C305" s="8" t="inlineStr">
        <is>
          <t>108788</t>
        </is>
      </c>
      <c r="D305" s="8" t="inlineStr">
        <is>
          <t>INGRESOS BRUTOS MENDOZA</t>
        </is>
      </c>
      <c r="E305" s="9" t="n">
        <v>104.97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27/04/2026</t>
        </is>
      </c>
      <c r="C306" s="8" t="inlineStr">
        <is>
          <t>108788</t>
        </is>
      </c>
      <c r="D306" s="8" t="inlineStr">
        <is>
          <t>GRAVAMEN LEY 25413 S/CRED</t>
        </is>
      </c>
      <c r="E306" s="9" t="n">
        <v>62.98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27/04/2026</t>
        </is>
      </c>
      <c r="C307" s="8" t="inlineStr">
        <is>
          <t>108787</t>
        </is>
      </c>
      <c r="D307" s="8" t="inlineStr">
        <is>
          <t>INGRESOS BRUTOS MENDOZA</t>
        </is>
      </c>
      <c r="E307" s="9" t="n">
        <v>454.56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27/04/2026</t>
        </is>
      </c>
      <c r="C308" s="8" t="inlineStr">
        <is>
          <t>108787</t>
        </is>
      </c>
      <c r="D308" s="8" t="inlineStr">
        <is>
          <t>GRAVAMEN LEY 25413 S/CRED</t>
        </is>
      </c>
      <c r="E308" s="9" t="n">
        <v>272.73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27/04/2026</t>
        </is>
      </c>
      <c r="C309" s="8" t="inlineStr">
        <is>
          <t>108786</t>
        </is>
      </c>
      <c r="D309" s="8" t="inlineStr">
        <is>
          <t>INGRESOS BRUTOS MENDOZA</t>
        </is>
      </c>
      <c r="E309" s="9" t="n">
        <v>113.89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27/04/2026</t>
        </is>
      </c>
      <c r="C310" s="8" t="inlineStr">
        <is>
          <t>108786</t>
        </is>
      </c>
      <c r="D310" s="8" t="inlineStr">
        <is>
          <t>GRAVAMEN LEY 25413 S/CRED</t>
        </is>
      </c>
      <c r="E310" s="9" t="n">
        <v>68.33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27/04/2026</t>
        </is>
      </c>
      <c r="C311" s="8" t="inlineStr">
        <is>
          <t>108785</t>
        </is>
      </c>
      <c r="D311" s="8" t="inlineStr">
        <is>
          <t>INGRESOS BRUTOS MENDOZA</t>
        </is>
      </c>
      <c r="E311" s="9" t="n">
        <v>1066.08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27/04/2026</t>
        </is>
      </c>
      <c r="C312" s="8" t="inlineStr">
        <is>
          <t>108785</t>
        </is>
      </c>
      <c r="D312" s="8" t="inlineStr">
        <is>
          <t>GRAVAMEN LEY 25413 S/CRED</t>
        </is>
      </c>
      <c r="E312" s="9" t="n">
        <v>639.65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27/04/2026</t>
        </is>
      </c>
      <c r="C313" s="8" t="inlineStr">
        <is>
          <t>108784</t>
        </is>
      </c>
      <c r="D313" s="8" t="inlineStr">
        <is>
          <t>INGRESOS BRUTOS MENDOZA</t>
        </is>
      </c>
      <c r="E313" s="9" t="n">
        <v>728.88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27/04/2026</t>
        </is>
      </c>
      <c r="C314" s="8" t="inlineStr">
        <is>
          <t>108784</t>
        </is>
      </c>
      <c r="D314" s="8" t="inlineStr">
        <is>
          <t>GRAVAMEN LEY 25413 S/CRED</t>
        </is>
      </c>
      <c r="E314" s="9" t="n">
        <v>437.33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27/04/2026</t>
        </is>
      </c>
      <c r="C315" s="8" t="inlineStr">
        <is>
          <t>108783</t>
        </is>
      </c>
      <c r="D315" s="8" t="inlineStr">
        <is>
          <t>INGRESOS BRUTOS MENDOZA</t>
        </is>
      </c>
      <c r="E315" s="9" t="n">
        <v>315.42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27/04/2026</t>
        </is>
      </c>
      <c r="C316" s="8" t="inlineStr">
        <is>
          <t>108783</t>
        </is>
      </c>
      <c r="D316" s="8" t="inlineStr">
        <is>
          <t>GRAVAMEN LEY 25413 S/CRED</t>
        </is>
      </c>
      <c r="E316" s="9" t="n">
        <v>189.25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27/04/2026</t>
        </is>
      </c>
      <c r="C317" s="8" t="inlineStr">
        <is>
          <t>108782</t>
        </is>
      </c>
      <c r="D317" s="8" t="inlineStr">
        <is>
          <t>INGRESOS BRUTOS MENDOZA</t>
        </is>
      </c>
      <c r="E317" s="9" t="n">
        <v>630.83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27/04/2026</t>
        </is>
      </c>
      <c r="C318" s="8" t="inlineStr">
        <is>
          <t>108782</t>
        </is>
      </c>
      <c r="D318" s="8" t="inlineStr">
        <is>
          <t>GRAVAMEN LEY 25413 S/CRED</t>
        </is>
      </c>
      <c r="E318" s="9" t="n">
        <v>378.5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27/04/2026</t>
        </is>
      </c>
      <c r="C319" s="8" t="inlineStr">
        <is>
          <t>108781</t>
        </is>
      </c>
      <c r="D319" s="8" t="inlineStr">
        <is>
          <t>INGRESOS BRUTOS MENDOZA</t>
        </is>
      </c>
      <c r="E319" s="9" t="n">
        <v>578.35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27/04/2026</t>
        </is>
      </c>
      <c r="C320" s="8" t="inlineStr">
        <is>
          <t>108781</t>
        </is>
      </c>
      <c r="D320" s="8" t="inlineStr">
        <is>
          <t>GRAVAMEN LEY 25413 S/CRED</t>
        </is>
      </c>
      <c r="E320" s="9" t="n">
        <v>347.01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27/04/2026</t>
        </is>
      </c>
      <c r="C321" s="8" t="inlineStr">
        <is>
          <t>108780</t>
        </is>
      </c>
      <c r="D321" s="8" t="inlineStr">
        <is>
          <t>INGRESOS BRUTOS MENDOZA</t>
        </is>
      </c>
      <c r="E321" s="9" t="n">
        <v>659.55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27/04/2026</t>
        </is>
      </c>
      <c r="C322" s="8" t="inlineStr">
        <is>
          <t>108780</t>
        </is>
      </c>
      <c r="D322" s="8" t="inlineStr">
        <is>
          <t>GRAVAMEN LEY 25413 S/CRED</t>
        </is>
      </c>
      <c r="E322" s="9" t="n">
        <v>395.73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27/04/2026</t>
        </is>
      </c>
      <c r="C323" s="8" t="inlineStr">
        <is>
          <t>108779</t>
        </is>
      </c>
      <c r="D323" s="8" t="inlineStr">
        <is>
          <t>INGRESOS BRUTOS MENDOZA</t>
        </is>
      </c>
      <c r="E323" s="9" t="n">
        <v>122.8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27/04/2026</t>
        </is>
      </c>
      <c r="C324" s="8" t="inlineStr">
        <is>
          <t>108779</t>
        </is>
      </c>
      <c r="D324" s="8" t="inlineStr">
        <is>
          <t>GRAVAMEN LEY 25413 S/CRED</t>
        </is>
      </c>
      <c r="E324" s="9" t="n">
        <v>73.68000000000001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27/04/2026</t>
        </is>
      </c>
      <c r="C325" s="8" t="inlineStr">
        <is>
          <t>108778</t>
        </is>
      </c>
      <c r="D325" s="8" t="inlineStr">
        <is>
          <t>INGRESOS BRUTOS MENDOZA</t>
        </is>
      </c>
      <c r="E325" s="9" t="n">
        <v>331.76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27/04/2026</t>
        </is>
      </c>
      <c r="C326" s="8" t="inlineStr">
        <is>
          <t>108778</t>
        </is>
      </c>
      <c r="D326" s="8" t="inlineStr">
        <is>
          <t>GRAVAMEN LEY 25413 S/CRED</t>
        </is>
      </c>
      <c r="E326" s="9" t="n">
        <v>199.05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27/04/2026</t>
        </is>
      </c>
      <c r="C327" s="8" t="inlineStr">
        <is>
          <t>108777</t>
        </is>
      </c>
      <c r="D327" s="8" t="inlineStr">
        <is>
          <t>INGRESOS BRUTOS MENDOZA</t>
        </is>
      </c>
      <c r="E327" s="9" t="n">
        <v>331.76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27/04/2026</t>
        </is>
      </c>
      <c r="C328" s="8" t="inlineStr">
        <is>
          <t>108777</t>
        </is>
      </c>
      <c r="D328" s="8" t="inlineStr">
        <is>
          <t>GRAVAMEN LEY 25413 S/CRED</t>
        </is>
      </c>
      <c r="E328" s="9" t="n">
        <v>199.05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27/04/2026</t>
        </is>
      </c>
      <c r="C329" s="8" t="inlineStr">
        <is>
          <t>108776</t>
        </is>
      </c>
      <c r="D329" s="8" t="inlineStr">
        <is>
          <t>INGRESOS BRUTOS MENDOZA</t>
        </is>
      </c>
      <c r="E329" s="9" t="n">
        <v>131.71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27/04/2026</t>
        </is>
      </c>
      <c r="C330" s="8" t="inlineStr">
        <is>
          <t>108776</t>
        </is>
      </c>
      <c r="D330" s="8" t="inlineStr">
        <is>
          <t>GRAVAMEN LEY 25413 S/CRED</t>
        </is>
      </c>
      <c r="E330" s="9" t="n">
        <v>79.03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27/04/2026</t>
        </is>
      </c>
      <c r="C331" s="8" t="inlineStr">
        <is>
          <t>108775</t>
        </is>
      </c>
      <c r="D331" s="8" t="inlineStr">
        <is>
          <t>INGRESOS BRUTOS MENDOZA</t>
        </is>
      </c>
      <c r="E331" s="9" t="n">
        <v>626.87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27/04/2026</t>
        </is>
      </c>
      <c r="C332" s="8" t="inlineStr">
        <is>
          <t>108775</t>
        </is>
      </c>
      <c r="D332" s="8" t="inlineStr">
        <is>
          <t>GRAVAMEN LEY 25413 S/CRED</t>
        </is>
      </c>
      <c r="E332" s="9" t="n">
        <v>376.12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27/04/2026</t>
        </is>
      </c>
      <c r="C333" s="8" t="inlineStr">
        <is>
          <t>108774</t>
        </is>
      </c>
      <c r="D333" s="8" t="inlineStr">
        <is>
          <t>INGRESOS BRUTOS MENDOZA</t>
        </is>
      </c>
      <c r="E333" s="9" t="n">
        <v>755.61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27/04/2026</t>
        </is>
      </c>
      <c r="C334" s="8" t="inlineStr">
        <is>
          <t>108774</t>
        </is>
      </c>
      <c r="D334" s="8" t="inlineStr">
        <is>
          <t>GRAVAMEN LEY 25413 S/CRED</t>
        </is>
      </c>
      <c r="E334" s="9" t="n">
        <v>453.37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27/04/2026</t>
        </is>
      </c>
      <c r="C335" s="8" t="inlineStr">
        <is>
          <t>108773</t>
        </is>
      </c>
      <c r="D335" s="8" t="inlineStr">
        <is>
          <t>INGRESOS BRUTOS MENDOZA</t>
        </is>
      </c>
      <c r="E335" s="9" t="n">
        <v>84.18000000000001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27/04/2026</t>
        </is>
      </c>
      <c r="C336" s="8" t="inlineStr">
        <is>
          <t>108773</t>
        </is>
      </c>
      <c r="D336" s="8" t="inlineStr">
        <is>
          <t>GRAVAMEN LEY 25413 S/CRED</t>
        </is>
      </c>
      <c r="E336" s="9" t="n">
        <v>50.51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27/04/2026</t>
        </is>
      </c>
      <c r="C337" s="8" t="inlineStr">
        <is>
          <t>108772</t>
        </is>
      </c>
      <c r="D337" s="8" t="inlineStr">
        <is>
          <t>INGRESOS BRUTOS MENDOZA</t>
        </is>
      </c>
      <c r="E337" s="9" t="n">
        <v>44.56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27/04/2026</t>
        </is>
      </c>
      <c r="C338" s="8" t="inlineStr">
        <is>
          <t>108772</t>
        </is>
      </c>
      <c r="D338" s="8" t="inlineStr">
        <is>
          <t>GRAVAMEN LEY 25413 S/CRED</t>
        </is>
      </c>
      <c r="E338" s="9" t="n">
        <v>26.74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27/04/2026</t>
        </is>
      </c>
      <c r="C339" s="8" t="inlineStr">
        <is>
          <t>108771</t>
        </is>
      </c>
      <c r="D339" s="8" t="inlineStr">
        <is>
          <t>INGRESOS BRUTOS MENDOZA</t>
        </is>
      </c>
      <c r="E339" s="9" t="n">
        <v>459.51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27/04/2026</t>
        </is>
      </c>
      <c r="C340" s="8" t="inlineStr">
        <is>
          <t>108771</t>
        </is>
      </c>
      <c r="D340" s="8" t="inlineStr">
        <is>
          <t>GRAVAMEN LEY 25413 S/CRED</t>
        </is>
      </c>
      <c r="E340" s="9" t="n">
        <v>275.71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27/04/2026</t>
        </is>
      </c>
      <c r="C341" s="8" t="inlineStr">
        <is>
          <t>108770</t>
        </is>
      </c>
      <c r="D341" s="8" t="inlineStr">
        <is>
          <t>INGRESOS BRUTOS MENDOZA</t>
        </is>
      </c>
      <c r="E341" s="9" t="n">
        <v>524.87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27/04/2026</t>
        </is>
      </c>
      <c r="C342" s="8" t="inlineStr">
        <is>
          <t>108770</t>
        </is>
      </c>
      <c r="D342" s="8" t="inlineStr">
        <is>
          <t>GRAVAMEN LEY 25413 S/CRED</t>
        </is>
      </c>
      <c r="E342" s="9" t="n">
        <v>314.92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27/04/2026</t>
        </is>
      </c>
      <c r="C343" s="8" t="inlineStr">
        <is>
          <t>108769</t>
        </is>
      </c>
      <c r="D343" s="8" t="inlineStr">
        <is>
          <t>INGRESOS BRUTOS MENDOZA</t>
        </is>
      </c>
      <c r="E343" s="9" t="n">
        <v>77.25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27/04/2026</t>
        </is>
      </c>
      <c r="C344" s="8" t="inlineStr">
        <is>
          <t>108769</t>
        </is>
      </c>
      <c r="D344" s="8" t="inlineStr">
        <is>
          <t>GRAVAMEN LEY 25413 S/CRED</t>
        </is>
      </c>
      <c r="E344" s="9" t="n">
        <v>46.35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27/04/2026</t>
        </is>
      </c>
      <c r="C345" s="8" t="inlineStr">
        <is>
          <t>108768</t>
        </is>
      </c>
      <c r="D345" s="8" t="inlineStr">
        <is>
          <t>INGRESOS BRUTOS MENDOZA</t>
        </is>
      </c>
      <c r="E345" s="9" t="n">
        <v>94.08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27/04/2026</t>
        </is>
      </c>
      <c r="C346" s="8" t="inlineStr">
        <is>
          <t>108768</t>
        </is>
      </c>
      <c r="D346" s="8" t="inlineStr">
        <is>
          <t>GRAVAMEN LEY 25413 S/CRED</t>
        </is>
      </c>
      <c r="E346" s="9" t="n">
        <v>56.45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27/04/2026</t>
        </is>
      </c>
      <c r="C347" s="8" t="inlineStr">
        <is>
          <t>108767</t>
        </is>
      </c>
      <c r="D347" s="8" t="inlineStr">
        <is>
          <t>INGRESOS BRUTOS MENDOZA</t>
        </is>
      </c>
      <c r="E347" s="9" t="n">
        <v>133.69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27/04/2026</t>
        </is>
      </c>
      <c r="C348" s="8" t="inlineStr">
        <is>
          <t>108767</t>
        </is>
      </c>
      <c r="D348" s="8" t="inlineStr">
        <is>
          <t>GRAVAMEN LEY 25413 S/CRED</t>
        </is>
      </c>
      <c r="E348" s="9" t="n">
        <v>80.22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27/04/2026</t>
        </is>
      </c>
      <c r="C349" s="8" t="inlineStr">
        <is>
          <t>108766</t>
        </is>
      </c>
      <c r="D349" s="8" t="inlineStr">
        <is>
          <t>INGRESOS BRUTOS MENDOZA</t>
        </is>
      </c>
      <c r="E349" s="9" t="n">
        <v>227.77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27/04/2026</t>
        </is>
      </c>
      <c r="C350" s="8" t="inlineStr">
        <is>
          <t>108766</t>
        </is>
      </c>
      <c r="D350" s="8" t="inlineStr">
        <is>
          <t>GRAVAMEN LEY 25413 S/CRED</t>
        </is>
      </c>
      <c r="E350" s="9" t="n">
        <v>136.66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27/04/2026</t>
        </is>
      </c>
      <c r="C351" s="8" t="inlineStr">
        <is>
          <t>108765</t>
        </is>
      </c>
      <c r="D351" s="8" t="inlineStr">
        <is>
          <t>INGRESOS BRUTOS MENDOZA</t>
        </is>
      </c>
      <c r="E351" s="9" t="n">
        <v>267.39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27/04/2026</t>
        </is>
      </c>
      <c r="C352" s="8" t="inlineStr">
        <is>
          <t>108765</t>
        </is>
      </c>
      <c r="D352" s="8" t="inlineStr">
        <is>
          <t>GRAVAMEN LEY 25413 S/CRED</t>
        </is>
      </c>
      <c r="E352" s="9" t="n">
        <v>160.43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27/04/2026</t>
        </is>
      </c>
      <c r="C353" s="8" t="inlineStr">
        <is>
          <t>108764</t>
        </is>
      </c>
      <c r="D353" s="8" t="inlineStr">
        <is>
          <t>INGRESOS BRUTOS MENDOZA</t>
        </is>
      </c>
      <c r="E353" s="9" t="n">
        <v>133.69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27/04/2026</t>
        </is>
      </c>
      <c r="C354" s="8" t="inlineStr">
        <is>
          <t>108764</t>
        </is>
      </c>
      <c r="D354" s="8" t="inlineStr">
        <is>
          <t>GRAVAMEN LEY 25413 S/CRED</t>
        </is>
      </c>
      <c r="E354" s="9" t="n">
        <v>80.22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27/04/2026</t>
        </is>
      </c>
      <c r="C355" s="8" t="inlineStr">
        <is>
          <t>108763</t>
        </is>
      </c>
      <c r="D355" s="8" t="inlineStr">
        <is>
          <t>INGRESOS BRUTOS MENDOZA</t>
        </is>
      </c>
      <c r="E355" s="9" t="n">
        <v>506.05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27/04/2026</t>
        </is>
      </c>
      <c r="C356" s="8" t="inlineStr">
        <is>
          <t>108763</t>
        </is>
      </c>
      <c r="D356" s="8" t="inlineStr">
        <is>
          <t>GRAVAMEN LEY 25413 S/CRED</t>
        </is>
      </c>
      <c r="E356" s="9" t="n">
        <v>303.63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27/04/2026</t>
        </is>
      </c>
      <c r="C357" s="8" t="inlineStr">
        <is>
          <t>108762</t>
        </is>
      </c>
      <c r="D357" s="8" t="inlineStr">
        <is>
          <t>INGRESOS BRUTOS MENDOZA</t>
        </is>
      </c>
      <c r="E357" s="9" t="n">
        <v>1093.31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27/04/2026</t>
        </is>
      </c>
      <c r="C358" s="8" t="inlineStr">
        <is>
          <t>108762</t>
        </is>
      </c>
      <c r="D358" s="8" t="inlineStr">
        <is>
          <t>GRAVAMEN LEY 25413 S/CRED</t>
        </is>
      </c>
      <c r="E358" s="9" t="n">
        <v>655.99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27/04/2026</t>
        </is>
      </c>
      <c r="C359" s="8" t="inlineStr">
        <is>
          <t>108761</t>
        </is>
      </c>
      <c r="D359" s="8" t="inlineStr">
        <is>
          <t>INGRESOS BRUTOS MENDOZA</t>
        </is>
      </c>
      <c r="E359" s="9" t="n">
        <v>401.08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27/04/2026</t>
        </is>
      </c>
      <c r="C360" s="8" t="inlineStr">
        <is>
          <t>108761</t>
        </is>
      </c>
      <c r="D360" s="8" t="inlineStr">
        <is>
          <t>GRAVAMEN LEY 25413 S/CRED</t>
        </is>
      </c>
      <c r="E360" s="9" t="n">
        <v>240.65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27/04/2026</t>
        </is>
      </c>
      <c r="C361" s="8" t="inlineStr">
        <is>
          <t>108760</t>
        </is>
      </c>
      <c r="D361" s="8" t="inlineStr">
        <is>
          <t>INGRESOS BRUTOS MENDOZA</t>
        </is>
      </c>
      <c r="E361" s="9" t="n">
        <v>336.71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27/04/2026</t>
        </is>
      </c>
      <c r="C362" s="8" t="inlineStr">
        <is>
          <t>108760</t>
        </is>
      </c>
      <c r="D362" s="8" t="inlineStr">
        <is>
          <t>GRAVAMEN LEY 25413 S/CRED</t>
        </is>
      </c>
      <c r="E362" s="9" t="n">
        <v>202.03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27/04/2026</t>
        </is>
      </c>
      <c r="C363" s="8" t="inlineStr">
        <is>
          <t>108756</t>
        </is>
      </c>
      <c r="D363" s="8" t="inlineStr">
        <is>
          <t>INGRESOS BRUTOS MENDOZA</t>
        </is>
      </c>
      <c r="E363" s="9" t="n">
        <v>1494.39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27/04/2026</t>
        </is>
      </c>
      <c r="C364" s="8" t="inlineStr">
        <is>
          <t>108756</t>
        </is>
      </c>
      <c r="D364" s="8" t="inlineStr">
        <is>
          <t>GRAVAMEN LEY 25413 S/CRED</t>
        </is>
      </c>
      <c r="E364" s="9" t="n">
        <v>896.64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27/04/2026</t>
        </is>
      </c>
      <c r="C365" s="8" t="inlineStr">
        <is>
          <t>108755</t>
        </is>
      </c>
      <c r="D365" s="8" t="inlineStr">
        <is>
          <t>INGRESOS BRUTOS MENDOZA</t>
        </is>
      </c>
      <c r="E365" s="9" t="n">
        <v>68.33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27/04/2026</t>
        </is>
      </c>
      <c r="C366" s="8" t="inlineStr">
        <is>
          <t>108755</t>
        </is>
      </c>
      <c r="D366" s="8" t="inlineStr">
        <is>
          <t>GRAVAMEN LEY 25413 S/CRED</t>
        </is>
      </c>
      <c r="E366" s="9" t="n">
        <v>41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27/04/2026</t>
        </is>
      </c>
      <c r="C367" s="8" t="inlineStr">
        <is>
          <t>108754</t>
        </is>
      </c>
      <c r="D367" s="8" t="inlineStr">
        <is>
          <t>INGRESOS BRUTOS MENDOZA</t>
        </is>
      </c>
      <c r="E367" s="9" t="n">
        <v>1136.89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27/04/2026</t>
        </is>
      </c>
      <c r="C368" s="8" t="inlineStr">
        <is>
          <t>108754</t>
        </is>
      </c>
      <c r="D368" s="8" t="inlineStr">
        <is>
          <t>GRAVAMEN LEY 25413 S/CRED</t>
        </is>
      </c>
      <c r="E368" s="9" t="n">
        <v>682.13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27/04/2026</t>
        </is>
      </c>
      <c r="C369" s="8" t="inlineStr">
        <is>
          <t>108880</t>
        </is>
      </c>
      <c r="D369" s="8" t="inlineStr">
        <is>
          <t>I.V.A. BASE</t>
        </is>
      </c>
      <c r="E369" s="9" t="n">
        <v>200.76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27/04/2026</t>
        </is>
      </c>
      <c r="C370" s="8" t="inlineStr">
        <is>
          <t>108879</t>
        </is>
      </c>
      <c r="D370" s="8" t="inlineStr">
        <is>
          <t>COM TRANSFE ELECTRONICA</t>
        </is>
      </c>
      <c r="E370" s="9" t="n">
        <v>956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27/04/2026</t>
        </is>
      </c>
      <c r="C371" s="8" t="inlineStr">
        <is>
          <t>32032899</t>
        </is>
      </c>
      <c r="D371" s="8" t="inlineStr">
        <is>
          <t>CR LIQ MASTER DEB 24H</t>
        </is>
      </c>
      <c r="E371" s="9" t="n">
        <v>647618.6899999999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27/04/2026</t>
        </is>
      </c>
      <c r="C372" s="8" t="inlineStr">
        <is>
          <t>31995644</t>
        </is>
      </c>
      <c r="D372" s="8" t="inlineStr">
        <is>
          <t>CR LIQ MASTER DEB 24H</t>
        </is>
      </c>
      <c r="E372" s="9" t="n">
        <v>359684.79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27/04/2026</t>
        </is>
      </c>
      <c r="C373" s="8" t="inlineStr">
        <is>
          <t>29841670</t>
        </is>
      </c>
      <c r="D373" s="8" t="inlineStr">
        <is>
          <t>CR LIQ MASTER DEB 24H</t>
        </is>
      </c>
      <c r="E373" s="9" t="n">
        <v>116078.25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27/04/2026</t>
        </is>
      </c>
      <c r="C374" s="8" t="inlineStr">
        <is>
          <t>29841627</t>
        </is>
      </c>
      <c r="D374" s="8" t="inlineStr">
        <is>
          <t>CR LIQ MASTER DEB 24H</t>
        </is>
      </c>
      <c r="E374" s="9" t="n">
        <v>13336.65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27/04/2026</t>
        </is>
      </c>
      <c r="C375" s="8" t="inlineStr">
        <is>
          <t>32032899</t>
        </is>
      </c>
      <c r="D375" s="8" t="inlineStr">
        <is>
          <t>CR LIQ MASTER DEB 24H</t>
        </is>
      </c>
      <c r="E375" s="9" t="n">
        <v>191553.81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27/04/2026</t>
        </is>
      </c>
      <c r="C376" s="8" t="inlineStr">
        <is>
          <t>29841683</t>
        </is>
      </c>
      <c r="D376" s="8" t="inlineStr">
        <is>
          <t>CR LIQ MASTER DEB 24H</t>
        </is>
      </c>
      <c r="E376" s="9" t="n">
        <v>85354.56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27/04/2026</t>
        </is>
      </c>
      <c r="C377" s="8" t="inlineStr">
        <is>
          <t>29841627</t>
        </is>
      </c>
      <c r="D377" s="8" t="inlineStr">
        <is>
          <t>CR LIQ MASTER DEB 24H</t>
        </is>
      </c>
      <c r="E377" s="9" t="n">
        <v>9879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27/04/2026</t>
        </is>
      </c>
      <c r="C378" s="8" t="inlineStr">
        <is>
          <t>29841670</t>
        </is>
      </c>
      <c r="D378" s="8" t="inlineStr">
        <is>
          <t>CR LIQ MASTER DEB 24H</t>
        </is>
      </c>
      <c r="E378" s="9" t="n">
        <v>68866.69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27/04/2026</t>
        </is>
      </c>
      <c r="C379" s="8" t="inlineStr">
        <is>
          <t>32032899</t>
        </is>
      </c>
      <c r="D379" s="8" t="inlineStr">
        <is>
          <t>DEB LIQ MASTERCARD 24H</t>
        </is>
      </c>
      <c r="E379" s="9" t="n">
        <v>145.75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27/04/2026</t>
        </is>
      </c>
      <c r="C380" s="8" t="inlineStr">
        <is>
          <t>31995644</t>
        </is>
      </c>
      <c r="D380" s="8" t="inlineStr">
        <is>
          <t>CR LIQ MASTERCARD 24H</t>
        </is>
      </c>
      <c r="E380" s="9" t="n">
        <v>98800.22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27/04/2026</t>
        </is>
      </c>
      <c r="C381" s="8" t="inlineStr">
        <is>
          <t>29841683</t>
        </is>
      </c>
      <c r="D381" s="8" t="inlineStr">
        <is>
          <t>CR LIQ MASTERCARD 24H</t>
        </is>
      </c>
      <c r="E381" s="9" t="n">
        <v>23477.28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27/04/2026</t>
        </is>
      </c>
      <c r="C382" s="8" t="inlineStr">
        <is>
          <t>29841670</t>
        </is>
      </c>
      <c r="D382" s="8" t="inlineStr">
        <is>
          <t>DEB LIQ MASTERCARD 24H</t>
        </is>
      </c>
      <c r="E382" s="9" t="n">
        <v>24.86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27/04/2026</t>
        </is>
      </c>
      <c r="C383" s="8" t="inlineStr">
        <is>
          <t>32032899</t>
        </is>
      </c>
      <c r="D383" s="8" t="inlineStr">
        <is>
          <t>CR LIQ AMEX/MADQ FIS 24H</t>
        </is>
      </c>
      <c r="E383" s="9" t="n">
        <v>125533.95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27/04/2026</t>
        </is>
      </c>
      <c r="C384" s="8" t="inlineStr">
        <is>
          <t>31995644</t>
        </is>
      </c>
      <c r="D384" s="8" t="inlineStr">
        <is>
          <t>CR LIQ AMEX/MADQ FIS 24H</t>
        </is>
      </c>
      <c r="E384" s="9" t="n">
        <v>54306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27/04/2026</t>
        </is>
      </c>
      <c r="C385" s="8" t="inlineStr">
        <is>
          <t>32032899</t>
        </is>
      </c>
      <c r="D385" s="8" t="inlineStr">
        <is>
          <t>CR LIQ MASTER DEB 24H</t>
        </is>
      </c>
      <c r="E385" s="9" t="n">
        <v>471926.13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27/04/2026</t>
        </is>
      </c>
      <c r="C386" s="8" t="inlineStr">
        <is>
          <t>32032899</t>
        </is>
      </c>
      <c r="D386" s="8" t="inlineStr">
        <is>
          <t>CR LIQ MASTER DEB 24H</t>
        </is>
      </c>
      <c r="E386" s="9" t="n">
        <v>295259.37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27/04/2026</t>
        </is>
      </c>
      <c r="C387" s="8" t="inlineStr">
        <is>
          <t>31995644</t>
        </is>
      </c>
      <c r="D387" s="8" t="inlineStr">
        <is>
          <t>CR LIQ MASTER DEB 24H</t>
        </is>
      </c>
      <c r="E387" s="9" t="n">
        <v>453447.98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27/04/2026</t>
        </is>
      </c>
      <c r="C388" s="8" t="inlineStr">
        <is>
          <t>31995644</t>
        </is>
      </c>
      <c r="D388" s="8" t="inlineStr">
        <is>
          <t>CR LIQ MASTER DEB 24H</t>
        </is>
      </c>
      <c r="E388" s="9" t="n">
        <v>475282.85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27/04/2026</t>
        </is>
      </c>
      <c r="C389" s="8" t="inlineStr">
        <is>
          <t>29841670</t>
        </is>
      </c>
      <c r="D389" s="8" t="inlineStr">
        <is>
          <t>CR LIQ MASTER DEB 24H</t>
        </is>
      </c>
      <c r="E389" s="9" t="n">
        <v>39715.73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27/04/2026</t>
        </is>
      </c>
      <c r="C390" s="8" t="inlineStr">
        <is>
          <t>32032899</t>
        </is>
      </c>
      <c r="D390" s="8" t="inlineStr">
        <is>
          <t>CR LIQ MASTERCARD 24H</t>
        </is>
      </c>
      <c r="E390" s="9" t="n">
        <v>140199.31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27/04/2026</t>
        </is>
      </c>
      <c r="C391" s="8" t="inlineStr">
        <is>
          <t>31995644</t>
        </is>
      </c>
      <c r="D391" s="8" t="inlineStr">
        <is>
          <t>CR LIQ MASTERCARD 24H</t>
        </is>
      </c>
      <c r="E391" s="9" t="n">
        <v>154962.27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27/04/2026</t>
        </is>
      </c>
      <c r="C392" s="8" t="inlineStr">
        <is>
          <t>31995644</t>
        </is>
      </c>
      <c r="D392" s="8" t="inlineStr">
        <is>
          <t>CR LIQ MASTERCARD 24H</t>
        </is>
      </c>
      <c r="E392" s="9" t="n">
        <v>110054.17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27/04/2026</t>
        </is>
      </c>
      <c r="C393" s="8" t="inlineStr">
        <is>
          <t>108847</t>
        </is>
      </c>
      <c r="D393" s="8" t="inlineStr">
        <is>
          <t>CR DEBIN SPOT - CUIT/CUIL: 30711424179</t>
        </is>
      </c>
      <c r="E393" s="9" t="n">
        <v>24758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27/04/2026</t>
        </is>
      </c>
      <c r="C394" s="8" t="inlineStr">
        <is>
          <t>108843</t>
        </is>
      </c>
      <c r="D394" s="8" t="inlineStr">
        <is>
          <t>CR DEBIN SPOT - CUIT/CUIL: 30711424179</t>
        </is>
      </c>
      <c r="E394" s="9" t="n">
        <v>11388.68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27/04/2026</t>
        </is>
      </c>
      <c r="C395" s="8" t="inlineStr">
        <is>
          <t>108839</t>
        </is>
      </c>
      <c r="D395" s="8" t="inlineStr">
        <is>
          <t>CR DEBIN SPOT - CUIT/CUIL: 30711424179</t>
        </is>
      </c>
      <c r="E395" s="9" t="n">
        <v>7625.46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27/04/2026</t>
        </is>
      </c>
      <c r="C396" s="8" t="inlineStr">
        <is>
          <t>108835</t>
        </is>
      </c>
      <c r="D396" s="8" t="inlineStr">
        <is>
          <t>CR DEBIN SPOT - CUIT/CUIL: 30711424179</t>
        </is>
      </c>
      <c r="E396" s="9" t="n">
        <v>26738.64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27/04/2026</t>
        </is>
      </c>
      <c r="C397" s="8" t="inlineStr">
        <is>
          <t>108829</t>
        </is>
      </c>
      <c r="D397" s="8" t="inlineStr">
        <is>
          <t>CR DEBIN SPOT - CUIT/CUIL: 30711424179</t>
        </is>
      </c>
      <c r="E397" s="9" t="n">
        <v>27629.93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27/04/2026</t>
        </is>
      </c>
      <c r="C398" s="8" t="inlineStr">
        <is>
          <t>108826</t>
        </is>
      </c>
      <c r="D398" s="8" t="inlineStr">
        <is>
          <t>CR DEBIN SPOT - CUIT/CUIL: 30711424179</t>
        </is>
      </c>
      <c r="E398" s="9" t="n">
        <v>22876.39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27/04/2026</t>
        </is>
      </c>
      <c r="C399" s="8" t="inlineStr">
        <is>
          <t>108825</t>
        </is>
      </c>
      <c r="D399" s="8" t="inlineStr">
        <is>
          <t>CR DEBIN SPOT - CUIT/CUIL: 30711424179</t>
        </is>
      </c>
      <c r="E399" s="9" t="n">
        <v>13369.32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27/04/2026</t>
        </is>
      </c>
      <c r="C400" s="8" t="inlineStr">
        <is>
          <t>108824</t>
        </is>
      </c>
      <c r="D400" s="8" t="inlineStr">
        <is>
          <t>CR DEBIN SPOT - CUIT/CUIL: 30711424179</t>
        </is>
      </c>
      <c r="E400" s="9" t="n">
        <v>34166.04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27/04/2026</t>
        </is>
      </c>
      <c r="C401" s="8" t="inlineStr">
        <is>
          <t>108823</t>
        </is>
      </c>
      <c r="D401" s="8" t="inlineStr">
        <is>
          <t>CR DEBIN SPOT - CUIT/CUIL: 30711424179</t>
        </is>
      </c>
      <c r="E401" s="9" t="n">
        <v>24758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27/04/2026</t>
        </is>
      </c>
      <c r="C402" s="8" t="inlineStr">
        <is>
          <t>108822</t>
        </is>
      </c>
      <c r="D402" s="8" t="inlineStr">
        <is>
          <t>CR DEBIN SPOT - CUIT/CUIL: 30711424179</t>
        </is>
      </c>
      <c r="E402" s="9" t="n">
        <v>11388.68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27/04/2026</t>
        </is>
      </c>
      <c r="C403" s="8" t="inlineStr">
        <is>
          <t>108820</t>
        </is>
      </c>
      <c r="D403" s="8" t="inlineStr">
        <is>
          <t>CR DEBIN SPOT - CUIT/CUIL: 30711424179</t>
        </is>
      </c>
      <c r="E403" s="9" t="n">
        <v>23767.68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27/04/2026</t>
        </is>
      </c>
      <c r="C404" s="8" t="inlineStr">
        <is>
          <t>108816</t>
        </is>
      </c>
      <c r="D404" s="8" t="inlineStr">
        <is>
          <t>CR DEBIN SPOT - CUIT/CUIL: 30711424179</t>
        </is>
      </c>
      <c r="E404" s="9" t="n">
        <v>13369.32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27/04/2026</t>
        </is>
      </c>
      <c r="C405" s="8" t="inlineStr">
        <is>
          <t>108814</t>
        </is>
      </c>
      <c r="D405" s="8" t="inlineStr">
        <is>
          <t>CR DEBIN SPOT - CUIT/CUIL: 30711424179</t>
        </is>
      </c>
      <c r="E405" s="9" t="n">
        <v>22777.36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27/04/2026</t>
        </is>
      </c>
      <c r="C406" s="8" t="inlineStr">
        <is>
          <t>108813</t>
        </is>
      </c>
      <c r="D406" s="8" t="inlineStr">
        <is>
          <t>CR DEBIN SPOT - CUIT/CUIL: 30711424179</t>
        </is>
      </c>
      <c r="E406" s="9" t="n">
        <v>26738.64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27/04/2026</t>
        </is>
      </c>
      <c r="C407" s="8" t="inlineStr">
        <is>
          <t>108808</t>
        </is>
      </c>
      <c r="D407" s="8" t="inlineStr">
        <is>
          <t>CR DEBIN SPOT - CUIT/CUIL: 30711424179</t>
        </is>
      </c>
      <c r="E407" s="9" t="n">
        <v>14854.8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27/04/2026</t>
        </is>
      </c>
      <c r="C408" s="8" t="inlineStr">
        <is>
          <t>108805</t>
        </is>
      </c>
      <c r="D408" s="8" t="inlineStr">
        <is>
          <t>CR DEBIN SPOT - CUIT/CUIL: 30711424179</t>
        </is>
      </c>
      <c r="E408" s="9" t="n">
        <v>26738.64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27/04/2026</t>
        </is>
      </c>
      <c r="C409" s="8" t="inlineStr">
        <is>
          <t>108802</t>
        </is>
      </c>
      <c r="D409" s="8" t="inlineStr">
        <is>
          <t>CR DEBIN SPOT - CUIT/CUIL: 30711424179</t>
        </is>
      </c>
      <c r="E409" s="9" t="n">
        <v>38127.32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27/04/2026</t>
        </is>
      </c>
      <c r="C410" s="8" t="inlineStr">
        <is>
          <t>108801</t>
        </is>
      </c>
      <c r="D410" s="8" t="inlineStr">
        <is>
          <t>CR DEBIN SPOT - CUIT/CUIL: 30711424179</t>
        </is>
      </c>
      <c r="E410" s="9" t="n">
        <v>8912.879999999999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27/04/2026</t>
        </is>
      </c>
      <c r="C411" s="8" t="inlineStr">
        <is>
          <t>108796</t>
        </is>
      </c>
      <c r="D411" s="8" t="inlineStr">
        <is>
          <t>CR DEBIN SPOT - CUIT/CUIL: 30711424179</t>
        </is>
      </c>
      <c r="E411" s="9" t="n">
        <v>78037.22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27/04/2026</t>
        </is>
      </c>
      <c r="C412" s="8" t="inlineStr">
        <is>
          <t>108792</t>
        </is>
      </c>
      <c r="D412" s="8" t="inlineStr">
        <is>
          <t>CR DEBIN SPOT - CUIT/CUIL: 30711424179</t>
        </is>
      </c>
      <c r="E412" s="9" t="n">
        <v>18915.11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27/04/2026</t>
        </is>
      </c>
      <c r="C413" s="8" t="inlineStr">
        <is>
          <t>108791</t>
        </is>
      </c>
      <c r="D413" s="8" t="inlineStr">
        <is>
          <t>CR DEBIN SPOT - CUIT/CUIL: 30711424179</t>
        </is>
      </c>
      <c r="E413" s="9" t="n">
        <v>34166.04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27/04/2026</t>
        </is>
      </c>
      <c r="C414" s="8" t="inlineStr">
        <is>
          <t>108787</t>
        </is>
      </c>
      <c r="D414" s="8" t="inlineStr">
        <is>
          <t>CR DEBIN SPOT - CUIT/CUIL: 30711424179</t>
        </is>
      </c>
      <c r="E414" s="9" t="n">
        <v>45455.69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27/04/2026</t>
        </is>
      </c>
      <c r="C415" s="8" t="inlineStr">
        <is>
          <t>108786</t>
        </is>
      </c>
      <c r="D415" s="8" t="inlineStr">
        <is>
          <t>CR DEBIN SPOT - CUIT/CUIL: 30711424179</t>
        </is>
      </c>
      <c r="E415" s="9" t="n">
        <v>11388.68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27/04/2026</t>
        </is>
      </c>
      <c r="C416" s="8" t="inlineStr">
        <is>
          <t>108778</t>
        </is>
      </c>
      <c r="D416" s="8" t="inlineStr">
        <is>
          <t>CR DEBIN SPOT - CUIT/CUIL: 30711424179</t>
        </is>
      </c>
      <c r="E416" s="9" t="n">
        <v>33175.72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27/04/2026</t>
        </is>
      </c>
      <c r="C417" s="8" t="inlineStr">
        <is>
          <t>108773</t>
        </is>
      </c>
      <c r="D417" s="8" t="inlineStr">
        <is>
          <t>CR DEBIN SPOT - CUIT/CUIL: 30711424179</t>
        </is>
      </c>
      <c r="E417" s="9" t="n">
        <v>8417.719999999999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27/04/2026</t>
        </is>
      </c>
      <c r="C418" s="8" t="inlineStr">
        <is>
          <t>108772</t>
        </is>
      </c>
      <c r="D418" s="8" t="inlineStr">
        <is>
          <t>CR DEBIN SPOT - CUIT/CUIL: 30711424179</t>
        </is>
      </c>
      <c r="E418" s="9" t="n">
        <v>4456.44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27/04/2026</t>
        </is>
      </c>
      <c r="C419" s="8" t="inlineStr">
        <is>
          <t>108769</t>
        </is>
      </c>
      <c r="D419" s="8" t="inlineStr">
        <is>
          <t>CR DEBIN SPOT - CUIT/CUIL: 30711424179</t>
        </is>
      </c>
      <c r="E419" s="9" t="n">
        <v>7724.5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27/04/2026</t>
        </is>
      </c>
      <c r="C420" s="8" t="inlineStr">
        <is>
          <t>108767</t>
        </is>
      </c>
      <c r="D420" s="8" t="inlineStr">
        <is>
          <t>CR DEBIN SPOT - CUIT/CUIL: 30711424179</t>
        </is>
      </c>
      <c r="E420" s="9" t="n">
        <v>13369.32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27/04/2026</t>
        </is>
      </c>
      <c r="C421" s="8" t="inlineStr">
        <is>
          <t>108766</t>
        </is>
      </c>
      <c r="D421" s="8" t="inlineStr">
        <is>
          <t>CR DEBIN SPOT - CUIT/CUIL: 30711424179</t>
        </is>
      </c>
      <c r="E421" s="9" t="n">
        <v>22777.36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27/04/2026</t>
        </is>
      </c>
      <c r="C422" s="8" t="inlineStr">
        <is>
          <t>108765</t>
        </is>
      </c>
      <c r="D422" s="8" t="inlineStr">
        <is>
          <t>CR DEBIN SPOT - CUIT/CUIL: 30711424179</t>
        </is>
      </c>
      <c r="E422" s="9" t="n">
        <v>26738.64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27/04/2026</t>
        </is>
      </c>
      <c r="C423" s="8" t="inlineStr">
        <is>
          <t>108764</t>
        </is>
      </c>
      <c r="D423" s="8" t="inlineStr">
        <is>
          <t>CR DEBIN SPOT - CUIT/CUIL: 30711424179</t>
        </is>
      </c>
      <c r="E423" s="9" t="n">
        <v>13369.32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27/04/2026</t>
        </is>
      </c>
      <c r="C424" s="8" t="inlineStr">
        <is>
          <t>108762</t>
        </is>
      </c>
      <c r="D424" s="8" t="inlineStr">
        <is>
          <t>CR DEBIN SPOT - CUIT/CUIL: 30711424179</t>
        </is>
      </c>
      <c r="E424" s="9" t="n">
        <v>109331.33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27/04/2026</t>
        </is>
      </c>
      <c r="C425" s="8" t="inlineStr">
        <is>
          <t>108761</t>
        </is>
      </c>
      <c r="D425" s="8" t="inlineStr">
        <is>
          <t>CR DEBIN SPOT - CUIT/CUIL: 30711424179</t>
        </is>
      </c>
      <c r="E425" s="9" t="n">
        <v>40107.96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27/04/2026</t>
        </is>
      </c>
      <c r="C426" s="8" t="inlineStr">
        <is>
          <t>108759</t>
        </is>
      </c>
      <c r="D426" s="8" t="inlineStr">
        <is>
          <t>PAGO CON TRANSFERENCIA</t>
        </is>
      </c>
      <c r="E426" s="9" t="n">
        <v>0.01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27/04/2026</t>
        </is>
      </c>
      <c r="C427" s="8" t="inlineStr">
        <is>
          <t>108758</t>
        </is>
      </c>
      <c r="D427" s="8" t="inlineStr">
        <is>
          <t>CR DEBIN SPOT - CUIT/CUIL: 30711424179</t>
        </is>
      </c>
      <c r="E427" s="9" t="n">
        <v>0.01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27/04/2026</t>
        </is>
      </c>
      <c r="C428" s="8" t="inlineStr">
        <is>
          <t>108755</t>
        </is>
      </c>
      <c r="D428" s="8" t="inlineStr">
        <is>
          <t>CR DEBIN SPOT - CUIT/CUIL: 30711424179</t>
        </is>
      </c>
      <c r="E428" s="9" t="n">
        <v>6833.21</v>
      </c>
      <c r="F428" s="8" t="inlineStr">
        <is>
          <t>Pendiente visible en hojas Banco no Flexxus</t>
        </is>
      </c>
      <c r="G428" s="8" t="inlineStr"/>
    </row>
  </sheetData>
  <autoFilter ref="A1:G4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V5.9.1</t>
        </is>
      </c>
      <c r="B11" s="2" t="inlineStr">
        <is>
          <t>Agrega auditoría QR humana uno a uno: Transacciones -&gt; Banco -&gt; Flexxus. Elimina diagnóstico final 'QR no reflejado' y clasifica en Cerrado, Banco no Flexxus, Flexxus no Banco o Solo Transacciones.</t>
        </is>
      </c>
    </row>
    <row r="12">
      <c r="A12" s="3" t="inlineStr">
        <is>
          <t>V5.5</t>
        </is>
      </c>
      <c r="B12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20" customWidth="1" min="3" max="3"/>
    <col width="16" customWidth="1" min="4" max="4"/>
    <col width="25" customWidth="1" min="5" max="5"/>
    <col width="16" customWidth="1" min="6" max="6"/>
    <col width="14" customWidth="1" min="7" max="7"/>
    <col width="18" customWidth="1" min="8" max="8"/>
    <col width="13" customWidth="1" min="9" max="9"/>
    <col width="65" customWidth="1" min="10" max="10"/>
  </cols>
  <sheetData>
    <row r="1">
      <c r="A1" s="6" t="inlineStr">
        <is>
          <t>Cierres QR V5.9.11: solo doble punta abierta simultánea</t>
        </is>
      </c>
    </row>
    <row r="2">
      <c r="A2" s="2" t="inlineStr">
        <is>
          <t>Estos cierres bajan Banco ingresos no Flexxus y Flexxus no Banco al mismo tiempo. No usan PAV históricos ya procesados.</t>
        </is>
      </c>
    </row>
    <row r="3"/>
    <row r="4">
      <c r="A4" s="7" t="inlineStr">
        <is>
          <t>ID Banco</t>
        </is>
      </c>
      <c r="B4" s="7" t="inlineStr">
        <is>
          <t>Fecha banco</t>
        </is>
      </c>
      <c r="C4" s="7" t="inlineStr">
        <is>
          <t>Comprobante banco</t>
        </is>
      </c>
      <c r="D4" s="7" t="inlineStr">
        <is>
          <t>Importe banco</t>
        </is>
      </c>
      <c r="E4" s="7" t="inlineStr">
        <is>
          <t>ID Flexxus</t>
        </is>
      </c>
      <c r="F4" s="7" t="inlineStr">
        <is>
          <t>Fecha Flexxus</t>
        </is>
      </c>
      <c r="G4" s="7" t="inlineStr">
        <is>
          <t>PAV Flexxus</t>
        </is>
      </c>
      <c r="H4" s="7" t="inlineStr">
        <is>
          <t>Importe Flexxus</t>
        </is>
      </c>
      <c r="I4" s="7" t="inlineStr">
        <is>
          <t>Diferencia</t>
        </is>
      </c>
      <c r="J4" s="7" t="inlineStr">
        <is>
          <t>Diagnóstico</t>
        </is>
      </c>
    </row>
    <row r="5">
      <c r="A5" s="8" t="inlineStr">
        <is>
          <t>PEND-ACAF80B1B8EA-A001</t>
        </is>
      </c>
      <c r="B5" s="8" t="inlineStr">
        <is>
          <t>27/04/2026</t>
        </is>
      </c>
      <c r="C5" s="8" t="inlineStr">
        <is>
          <t>108839</t>
        </is>
      </c>
      <c r="D5" s="9" t="n">
        <v>7625.46</v>
      </c>
      <c r="E5" s="8" t="inlineStr">
        <is>
          <t>PEND-3B96BDF7A8DF-A001</t>
        </is>
      </c>
      <c r="F5" s="8" t="inlineStr">
        <is>
          <t>26/04/2026</t>
        </is>
      </c>
      <c r="G5" s="8" t="inlineStr">
        <is>
          <t>1800042924</t>
        </is>
      </c>
      <c r="H5" s="9" t="n">
        <v>7625.58</v>
      </c>
      <c r="I5" s="9" t="n">
        <v>-0.12</v>
      </c>
      <c r="J5" s="8" t="inlineStr">
        <is>
          <t>Cierre QR V5.9.11 con doble punta abierta; no usa PAV histórico ya procesado</t>
        </is>
      </c>
    </row>
    <row r="6">
      <c r="A6" s="8" t="inlineStr">
        <is>
          <t>PEND-899CCE4A4438-A001</t>
        </is>
      </c>
      <c r="B6" s="8" t="inlineStr">
        <is>
          <t>27/04/2026</t>
        </is>
      </c>
      <c r="C6" s="8" t="inlineStr">
        <is>
          <t>108825</t>
        </is>
      </c>
      <c r="D6" s="9" t="n">
        <v>13369.32</v>
      </c>
      <c r="E6" s="8" t="inlineStr">
        <is>
          <t>PEND-2073512ACB55-A001</t>
        </is>
      </c>
      <c r="F6" s="8" t="inlineStr">
        <is>
          <t>26/04/2026</t>
        </is>
      </c>
      <c r="G6" s="8" t="inlineStr">
        <is>
          <t>1700036997</t>
        </is>
      </c>
      <c r="H6" s="9" t="n">
        <v>13368.35</v>
      </c>
      <c r="I6" s="9" t="n">
        <v>0.97</v>
      </c>
      <c r="J6" s="8" t="inlineStr">
        <is>
          <t>Cierre QR V5.9.11 con doble punta abierta; no usa PAV histórico ya procesado</t>
        </is>
      </c>
    </row>
    <row r="7">
      <c r="A7" s="8" t="inlineStr">
        <is>
          <t>PEND-35809A6356E5-A001</t>
        </is>
      </c>
      <c r="B7" s="8" t="inlineStr">
        <is>
          <t>27/04/2026</t>
        </is>
      </c>
      <c r="C7" s="8" t="inlineStr">
        <is>
          <t>108796</t>
        </is>
      </c>
      <c r="D7" s="9" t="n">
        <v>78037.22</v>
      </c>
      <c r="E7" s="8" t="inlineStr">
        <is>
          <t>PEND-D12018A4F0FA-A001</t>
        </is>
      </c>
      <c r="F7" s="8" t="inlineStr">
        <is>
          <t>26/04/2026</t>
        </is>
      </c>
      <c r="G7" s="8" t="inlineStr">
        <is>
          <t>2100058108</t>
        </is>
      </c>
      <c r="H7" s="9" t="n">
        <v>78037.32000000001</v>
      </c>
      <c r="I7" s="9" t="n">
        <v>-0.1</v>
      </c>
      <c r="J7" s="8" t="inlineStr">
        <is>
          <t>Cierre QR V5.9.11 con doble punta abierta; no usa PAV histórico ya procesado</t>
        </is>
      </c>
    </row>
    <row r="8">
      <c r="A8" s="8" t="inlineStr">
        <is>
          <t>PEND-E413CD332E01-A001</t>
        </is>
      </c>
      <c r="B8" s="8" t="inlineStr">
        <is>
          <t>27/04/2026</t>
        </is>
      </c>
      <c r="C8" s="8" t="inlineStr">
        <is>
          <t>108762</t>
        </is>
      </c>
      <c r="D8" s="9" t="n">
        <v>109331.33</v>
      </c>
      <c r="E8" s="8" t="inlineStr">
        <is>
          <t>PEND-0694795B54BD-A001</t>
        </is>
      </c>
      <c r="F8" s="8" t="inlineStr">
        <is>
          <t>25/04/2026</t>
        </is>
      </c>
      <c r="G8" s="8" t="inlineStr">
        <is>
          <t>1700036959</t>
        </is>
      </c>
      <c r="H8" s="9" t="n">
        <v>109330.83</v>
      </c>
      <c r="I8" s="9" t="n">
        <v>0.5</v>
      </c>
      <c r="J8" s="8" t="inlineStr">
        <is>
          <t>Cierre QR V5.9.11 con doble punta abierta; no usa PAV histórico ya procesado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2026-05-03T16:12:46Z</dcterms:created>
  <dcterms:modified xsi:type="dcterms:W3CDTF">2026-05-03T16:12:48Z</dcterms:modified>
</cp:coreProperties>
</file>