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Control cobertura" sheetId="10" state="visible" r:id="rId10"/>
    <sheet name="Notas proceso" sheetId="11" state="visible" r:id="rId11"/>
  </sheets>
  <definedNames>
    <definedName name="_xlnm._FilterDatabase" localSheetId="2" hidden="1">'Flexxus no Banco'!$A$1:$L$10</definedName>
    <definedName name="_xlnm._FilterDatabase" localSheetId="3" hidden="1">'Banco ingresos no Flexxus'!$A$1:$R$67</definedName>
    <definedName name="_xlnm._FilterDatabase" localSheetId="4" hidden="1">'Banco egresos no Flexxus'!$A$1:$K$506</definedName>
    <definedName name="_xlnm._FilterDatabase" localSheetId="6" hidden="1">'Carga Flexxus'!$A$1:$I$34</definedName>
    <definedName name="_xlnm._FilterDatabase" localSheetId="7" hidden="1">'Auditoría QR PCT'!$A$1:$K$14</definedName>
    <definedName name="_xlnm._FilterDatabase" localSheetId="8" hidden="1">'Auditoría TRX Merchant'!$A$1:$H$35</definedName>
    <definedName name="_xlnm._FilterDatabase" localSheetId="9" hidden="1">'Control cobertura'!$A$1:$G$134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28/04/2026 (período 28/04/2026 al 28/04/2026; banco con movimientos hasta 28/04/2026)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28/04/2026</t>
        </is>
      </c>
      <c r="B6" s="4" t="n">
        <v>34825407.75</v>
      </c>
    </row>
    <row r="7">
      <c r="A7" s="2" t="inlineStr">
        <is>
          <t>Saldo S/FLEXXUS al 28/04/2026</t>
        </is>
      </c>
      <c r="B7" s="4" t="n">
        <v>32111180.42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FINAL S/FLEXXUS al 28/04/2026</t>
        </is>
      </c>
      <c r="B16" s="4">
        <f>B7</f>
        <v/>
      </c>
    </row>
    <row r="17">
      <c r="A17" s="3" t="inlineStr">
        <is>
          <t>SALDO BANCO CALCULADO (= Flex - C1 + C2 + C3 - C4)</t>
        </is>
      </c>
      <c r="B17" s="4">
        <f>B7-B10+B11+B12-B13</f>
        <v/>
      </c>
    </row>
    <row r="18">
      <c r="A18" s="3" t="inlineStr">
        <is>
          <t>SALDO SEGÚN EXTRACTO BANCO al 28/04/2026</t>
        </is>
      </c>
      <c r="B18" s="4">
        <f>B6</f>
        <v/>
      </c>
    </row>
    <row r="19">
      <c r="A19" s="3" t="inlineStr">
        <is>
          <t>DIFERENCIA FINAL (debe ser 0)</t>
        </is>
      </c>
      <c r="B19" s="5">
        <f>B18-B17</f>
        <v/>
      </c>
    </row>
    <row r="20">
      <c r="A20" s="3" t="inlineStr">
        <is>
          <t>SALDO FLEXXUS AJUSTADO PARA CONCILIACIÓN BANCARIA (= Flex - C1 + C2)</t>
        </is>
      </c>
      <c r="B20" s="4">
        <f>B7-B10+B11</f>
        <v/>
      </c>
    </row>
    <row r="21">
      <c r="A21" s="3" t="inlineStr">
        <is>
          <t>SALDO BANCO CALCULADO LUEGO DE TODOS LOS BLOQUES</t>
        </is>
      </c>
      <c r="B21" s="4">
        <f>B17</f>
        <v/>
      </c>
    </row>
    <row r="22">
      <c r="A22" s="3" t="inlineStr">
        <is>
          <t>SALDO REAL EN FLEXXUS SEGÚN ARCHIVO ACTUAL / POST-IMPORT SI APLICA</t>
        </is>
      </c>
      <c r="B22" s="4">
        <f>B7</f>
        <v/>
      </c>
    </row>
    <row r="23">
      <c r="A23" s="6" t="inlineStr">
        <is>
          <t>Controles de consistencia interna</t>
        </is>
      </c>
    </row>
    <row r="24">
      <c r="A24" s="7" t="inlineStr">
        <is>
          <t>Control</t>
        </is>
      </c>
      <c r="B24" s="7" t="inlineStr">
        <is>
          <t>Fórmula / Resultado esperado</t>
        </is>
      </c>
      <c r="C24" s="7" t="inlineStr">
        <is>
          <t>Estado</t>
        </is>
      </c>
    </row>
    <row r="25">
      <c r="A25" s="8" t="inlineStr">
        <is>
          <t>B10 = suma hoja Flexxus no Banco PAV</t>
        </is>
      </c>
      <c r="B25" s="9">
        <f>B10-SUMIF('Flexxus no Banco'!D:D,"PAV",'Flexxus no Banco'!G:G)</f>
        <v/>
      </c>
      <c r="C25" s="8" t="inlineStr">
        <is>
          <t>Debe dar 0</t>
        </is>
      </c>
    </row>
    <row r="26">
      <c r="A26" s="8" t="inlineStr">
        <is>
          <t>B11 = suma hoja Flexxus no Banco egresos</t>
        </is>
      </c>
      <c r="B26" s="9">
        <f>B11-(SUM('Flexxus no Banco'!G:G)-B10)</f>
        <v/>
      </c>
      <c r="C26" s="8" t="inlineStr">
        <is>
          <t>Debe dar 0</t>
        </is>
      </c>
    </row>
    <row r="27">
      <c r="A27" s="8" t="inlineStr">
        <is>
          <t>B12 = suma hoja Banco ingresos no Flexxus</t>
        </is>
      </c>
      <c r="B27" s="9">
        <f>B12-SUM('Banco ingresos no Flexxus'!H:H)</f>
        <v/>
      </c>
      <c r="C27" s="8" t="inlineStr">
        <is>
          <t>Debe dar 0</t>
        </is>
      </c>
    </row>
    <row r="28">
      <c r="A28" s="8" t="inlineStr">
        <is>
          <t>B13 = suma hoja Banco egresos no Flexxus</t>
        </is>
      </c>
      <c r="B28" s="9">
        <f>B13-SUM('Banco egresos no Flexxus'!I:I)</f>
        <v/>
      </c>
      <c r="C28" s="8" t="inlineStr">
        <is>
          <t>Debe dar 0</t>
        </is>
      </c>
    </row>
    <row r="29">
      <c r="A29" s="8" t="inlineStr">
        <is>
          <t>B14 no es residual de cierre</t>
        </is>
      </c>
      <c r="B29" s="9">
        <f>B14</f>
        <v/>
      </c>
      <c r="C29" s="8" t="inlineStr">
        <is>
          <t>Debe dar 0</t>
        </is>
      </c>
    </row>
    <row r="32">
      <c r="A32" s="6" t="inlineStr">
        <is>
          <t>Detalle de diferencias por bloque</t>
        </is>
      </c>
    </row>
    <row r="33">
      <c r="A33" s="7" t="inlineStr">
        <is>
          <t>Bloque</t>
        </is>
      </c>
      <c r="B33" s="7" t="inlineStr">
        <is>
          <t>Fecha</t>
        </is>
      </c>
      <c r="C33" s="7" t="inlineStr">
        <is>
          <t>Detalle / cuenta sugerida</t>
        </is>
      </c>
      <c r="D33" s="7" t="inlineStr">
        <is>
          <t>Cantidad</t>
        </is>
      </c>
      <c r="E33" s="7" t="inlineStr">
        <is>
          <t>Importe</t>
        </is>
      </c>
      <c r="F33" s="7" t="inlineStr">
        <is>
          <t>Observación</t>
        </is>
      </c>
    </row>
    <row r="34">
      <c r="A34" s="3" t="inlineStr">
        <is>
          <t>Menos: INGRESOS registrados en FLEXXUS que NO están en el Banco</t>
        </is>
      </c>
      <c r="E34" s="4">
        <f>B10</f>
        <v/>
      </c>
    </row>
    <row r="35">
      <c r="A35" s="8" t="inlineStr">
        <is>
          <t>Flexxus ingreso no banco</t>
        </is>
      </c>
      <c r="B35" s="8" t="inlineStr">
        <is>
          <t>21/04/2026</t>
        </is>
      </c>
      <c r="C35" s="8" t="inlineStr">
        <is>
          <t>2 PAV sin acreditar en banco</t>
        </is>
      </c>
      <c r="D35" s="8" t="n">
        <v>2</v>
      </c>
      <c r="E35" s="9" t="n">
        <v>107348.44</v>
      </c>
      <c r="F35" s="8" t="inlineStr">
        <is>
          <t>Detalle en hoja Flexxus no Banco</t>
        </is>
      </c>
    </row>
    <row r="36">
      <c r="A36" s="8" t="inlineStr">
        <is>
          <t>Flexxus ingreso no banco</t>
        </is>
      </c>
      <c r="B36" s="8" t="inlineStr">
        <is>
          <t>24/04/2026</t>
        </is>
      </c>
      <c r="C36" s="8" t="inlineStr">
        <is>
          <t>1 PAV sin acreditar en banco</t>
        </is>
      </c>
      <c r="D36" s="8" t="n">
        <v>1</v>
      </c>
      <c r="E36" s="9" t="n">
        <v>32086.61</v>
      </c>
      <c r="F36" s="8" t="inlineStr">
        <is>
          <t>Detalle en hoja Flexxus no Banco</t>
        </is>
      </c>
    </row>
    <row r="37">
      <c r="A37" s="8" t="inlineStr">
        <is>
          <t>Flexxus ingreso no banco</t>
        </is>
      </c>
      <c r="B37" s="8" t="inlineStr">
        <is>
          <t>25/04/2026</t>
        </is>
      </c>
      <c r="C37" s="8" t="inlineStr">
        <is>
          <t>1 PAV sin acreditar en banco</t>
        </is>
      </c>
      <c r="D37" s="8" t="n">
        <v>1</v>
      </c>
      <c r="E37" s="9" t="n">
        <v>109330.83</v>
      </c>
      <c r="F37" s="8" t="inlineStr">
        <is>
          <t>Detalle en hoja Flexxus no Banco</t>
        </is>
      </c>
    </row>
    <row r="38">
      <c r="A38" s="8" t="inlineStr">
        <is>
          <t>Flexxus ingreso no banco</t>
        </is>
      </c>
      <c r="B38" s="8" t="inlineStr">
        <is>
          <t>26/04/2026</t>
        </is>
      </c>
      <c r="C38" s="8" t="inlineStr">
        <is>
          <t>3 PAV sin acreditar en banco</t>
        </is>
      </c>
      <c r="D38" s="8" t="n">
        <v>3</v>
      </c>
      <c r="E38" s="9" t="n">
        <v>99031.25000000001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28/04/2026</t>
        </is>
      </c>
      <c r="C39" s="8" t="inlineStr">
        <is>
          <t>1 PAV sin acreditar en banco</t>
        </is>
      </c>
      <c r="D39" s="8" t="n">
        <v>1</v>
      </c>
      <c r="E39" s="9" t="n">
        <v>104082.63</v>
      </c>
      <c r="F39" s="8" t="inlineStr">
        <is>
          <t>Detalle en hoja Flexxus no Banco</t>
        </is>
      </c>
    </row>
    <row r="40">
      <c r="A40" s="3" t="inlineStr">
        <is>
          <t>Más: EGRESOS registrados en FLEXXUS que NO están en el Banco</t>
        </is>
      </c>
      <c r="E40" s="4">
        <f>B11</f>
        <v/>
      </c>
    </row>
    <row r="41">
      <c r="A41" s="3" t="inlineStr">
        <is>
          <t>Más: INGRESOS en el Banco pero NO registrados en FLEXXUS</t>
        </is>
      </c>
      <c r="E41" s="4">
        <f>B12</f>
        <v/>
      </c>
    </row>
    <row r="42">
      <c r="A42" s="8" t="inlineStr">
        <is>
          <t>Banco ingreso no Flexxus</t>
        </is>
      </c>
      <c r="B42" s="8" t="inlineStr"/>
      <c r="C42" s="8" t="inlineStr">
        <is>
          <t>Ajuste menor redondeo/extracto</t>
        </is>
      </c>
      <c r="D42" s="8" t="n">
        <v>1</v>
      </c>
      <c r="E42" s="9" t="n">
        <v>0.53</v>
      </c>
      <c r="F42" s="8" t="inlineStr">
        <is>
          <t>Detalle en hoja Banco ingresos no Flexxus</t>
        </is>
      </c>
    </row>
    <row r="43">
      <c r="A43" s="8" t="inlineStr">
        <is>
          <t>Banco ingreso no Flexxus</t>
        </is>
      </c>
      <c r="B43" s="8" t="inlineStr"/>
      <c r="C43" s="8" t="inlineStr">
        <is>
          <t>Ajuste menor redondeo/extracto</t>
        </is>
      </c>
      <c r="D43" s="8" t="n">
        <v>1</v>
      </c>
      <c r="E43" s="9" t="n">
        <v>0.02</v>
      </c>
      <c r="F43" s="8" t="inlineStr">
        <is>
          <t>Detalle en hoja Banco ingresos no Flexxus</t>
        </is>
      </c>
    </row>
    <row r="44">
      <c r="A44" s="8" t="inlineStr">
        <is>
          <t>Banco ingreso no Flexxus</t>
        </is>
      </c>
      <c r="B44" s="8" t="inlineStr"/>
      <c r="C44" s="8" t="inlineStr">
        <is>
          <t>Liquidación tarjeta</t>
        </is>
      </c>
      <c r="D44" s="8" t="n">
        <v>13</v>
      </c>
      <c r="E44" s="9" t="n">
        <v>4069807.01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Liquidación tarjeta</t>
        </is>
      </c>
      <c r="D45" s="8" t="n">
        <v>11</v>
      </c>
      <c r="E45" s="9" t="n">
        <v>2205583.77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QR / CR DEBIN SPOT</t>
        </is>
      </c>
      <c r="D46" s="8" t="n">
        <v>4</v>
      </c>
      <c r="E46" s="9" t="n">
        <v>77938.19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QR / CR DEBIN SPOT</t>
        </is>
      </c>
      <c r="D47" s="8" t="n">
        <v>34</v>
      </c>
      <c r="E47" s="9" t="n">
        <v>861578.42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Transferencia entrante</t>
        </is>
      </c>
      <c r="D48" s="8" t="n">
        <v>1</v>
      </c>
      <c r="E48" s="9" t="n">
        <v>33180.87</v>
      </c>
      <c r="F48" s="8" t="inlineStr">
        <is>
          <t>Detalle en hoja Banco ingresos no Flexxus</t>
        </is>
      </c>
    </row>
    <row r="49">
      <c r="A49" s="3" t="inlineStr">
        <is>
          <t>Menos: EGRESOS en el Banco pero NO registrados en FLEXXUS</t>
        </is>
      </c>
      <c r="E49" s="4">
        <f>B13</f>
        <v/>
      </c>
    </row>
    <row r="50">
      <c r="A50" s="8" t="inlineStr">
        <is>
          <t>Banco egreso no Flexxus</t>
        </is>
      </c>
      <c r="B50" s="8" t="inlineStr"/>
      <c r="C50" s="8" t="inlineStr">
        <is>
          <t>Débito liquidación tarjeta</t>
        </is>
      </c>
      <c r="D50" s="8" t="n">
        <v>3</v>
      </c>
      <c r="E50" s="9" t="n">
        <v>245.71</v>
      </c>
      <c r="F50" s="8" t="inlineStr">
        <is>
          <t>Copiar en Flexxus: Tipo=MB-EXT | Movimiento=DEB LIQ MASTERCARD 24H | Monto=245,71</t>
        </is>
      </c>
    </row>
    <row r="51">
      <c r="A51" s="8" t="inlineStr">
        <is>
          <t>Banco egreso no Flexxus</t>
        </is>
      </c>
      <c r="B51" s="8" t="inlineStr"/>
      <c r="C51" s="8" t="inlineStr">
        <is>
          <t>Débito pago directo</t>
        </is>
      </c>
      <c r="D51" s="8" t="n">
        <v>1</v>
      </c>
      <c r="E51" s="9" t="n">
        <v>1734593.38</v>
      </c>
      <c r="F51" s="8" t="inlineStr">
        <is>
          <t>Copiar en Flexxus: Tipo=MB-EXT | Movimiento=DEBITO PAGO DIRECTO | Monto=1.734.593,38</t>
        </is>
      </c>
    </row>
    <row r="52">
      <c r="A52" s="8" t="inlineStr">
        <is>
          <t>Banco egreso no Flexxus</t>
        </is>
      </c>
      <c r="B52" s="8" t="inlineStr"/>
      <c r="C52" s="8" t="inlineStr">
        <is>
          <t>Gasto bancario / comisión</t>
        </is>
      </c>
      <c r="D52" s="8" t="n">
        <v>1</v>
      </c>
      <c r="E52" s="9" t="n">
        <v>956</v>
      </c>
      <c r="F52" s="8" t="inlineStr">
        <is>
          <t>Copiar en Flexxus: Tipo=MB-EXT | Movimiento=COM TRANSFE ELECTRONICA | Monto=956,00</t>
        </is>
      </c>
    </row>
    <row r="53">
      <c r="A53" s="8" t="inlineStr">
        <is>
          <t>Banco egreso no Flexxus</t>
        </is>
      </c>
      <c r="B53" s="8" t="inlineStr"/>
      <c r="C53" s="8" t="inlineStr">
        <is>
          <t>Anticipo Ganancias Ley 25.413 créditos</t>
        </is>
      </c>
      <c r="D53" s="8" t="n">
        <v>164</v>
      </c>
      <c r="E53" s="9" t="n">
        <v>119480.89</v>
      </c>
      <c r="F53" s="8" t="inlineStr">
        <is>
          <t>Copiar en Flexxus: Tipo=MB-EXT | Movimiento=GRAVAMEN LEY 25.413 S/CRED | Monto=119.480,89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débitos</t>
        </is>
      </c>
      <c r="D54" s="8" t="n">
        <v>168</v>
      </c>
      <c r="E54" s="9" t="n">
        <v>27370.26</v>
      </c>
      <c r="F54" s="8" t="inlineStr">
        <is>
          <t>Copiar en Flexxus: Tipo=MB-EXT | Movimiento=GRAVAMEN LEY 25.413 S/DEB | Monto=27.370,26</t>
        </is>
      </c>
    </row>
    <row r="55">
      <c r="A55" s="8" t="inlineStr">
        <is>
          <t>Banco egreso no Flexxus</t>
        </is>
      </c>
      <c r="B55" s="8" t="inlineStr"/>
      <c r="C55" s="8" t="inlineStr">
        <is>
          <t>IVA base / IVA sobre gastos</t>
        </is>
      </c>
      <c r="D55" s="8" t="n">
        <v>1</v>
      </c>
      <c r="E55" s="9" t="n">
        <v>200.76</v>
      </c>
      <c r="F55" s="8" t="inlineStr">
        <is>
          <t>Copiar en Flexxus: Tipo=MB-EXT | Movimiento=I.V.A. BASE | Monto=200,76</t>
        </is>
      </c>
    </row>
    <row r="56">
      <c r="A56" s="8" t="inlineStr">
        <is>
          <t>Banco egreso no Flexxus</t>
        </is>
      </c>
      <c r="B56" s="8" t="inlineStr"/>
      <c r="C56" s="8" t="inlineStr">
        <is>
          <t>Otro</t>
        </is>
      </c>
      <c r="D56" s="8" t="n">
        <v>1</v>
      </c>
      <c r="E56" s="9" t="n">
        <v>0.01</v>
      </c>
      <c r="F56" s="8" t="inlineStr">
        <is>
          <t>Revisar según concepto antes de cargar</t>
        </is>
      </c>
    </row>
    <row r="57">
      <c r="A57" s="8" t="inlineStr">
        <is>
          <t>Banco egreso no Flexxus</t>
        </is>
      </c>
      <c r="B57" s="8" t="inlineStr"/>
      <c r="C57" s="8" t="inlineStr">
        <is>
          <t>Retención Ingresos Brutos Mendoza</t>
        </is>
      </c>
      <c r="D57" s="8" t="n">
        <v>164</v>
      </c>
      <c r="E57" s="9" t="n">
        <v>199134.71</v>
      </c>
      <c r="F57" s="8" t="inlineStr">
        <is>
          <t>Copiar en Flexxus: Tipo=MB-EXT | Movimiento=INGRESOS BRUTOS MENDOZA | Monto=199.134,71</t>
        </is>
      </c>
    </row>
    <row r="58">
      <c r="A58" s="8" t="inlineStr">
        <is>
          <t>Banco egreso no Flexxus</t>
        </is>
      </c>
      <c r="B58" s="8" t="inlineStr"/>
      <c r="C58" s="8" t="inlineStr">
        <is>
          <t>Transferencia saliente</t>
        </is>
      </c>
      <c r="D58" s="8" t="n">
        <v>1</v>
      </c>
      <c r="E58" s="9" t="n">
        <v>2000000</v>
      </c>
      <c r="F58" s="8" t="inlineStr">
        <is>
          <t>Revisar según concepto antes de cargar</t>
        </is>
      </c>
    </row>
    <row r="59">
      <c r="A59" s="3" t="inlineStr">
        <is>
          <t>Pendientes anteriores</t>
        </is>
      </c>
      <c r="E59" s="4">
        <f>B14</f>
        <v/>
      </c>
    </row>
    <row r="60">
      <c r="A60" s="8" t="inlineStr">
        <is>
          <t>Info</t>
        </is>
      </c>
      <c r="B60" s="8" t="inlineStr"/>
      <c r="C60" s="8" t="inlineStr">
        <is>
          <t>Los pendientes anteriores abiertos están dentro de Flexxus no Banco, Banco ingresos no Flexxus o Banco egresos no Flexxus. No se usa residual.</t>
        </is>
      </c>
      <c r="D60" s="8" t="inlineStr"/>
      <c r="E60" s="9" t="n">
        <v>0</v>
      </c>
      <c r="F60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Monto=245,71</t>
        </is>
      </c>
      <c r="D3" s="8" t="n">
        <v>3</v>
      </c>
      <c r="E3" s="9" t="n">
        <v>245.71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Monto=119.480,89</t>
        </is>
      </c>
      <c r="D6" s="8" t="n">
        <v>164</v>
      </c>
      <c r="E6" s="9" t="n">
        <v>119480.89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Monto=27.370,26</t>
        </is>
      </c>
      <c r="D7" s="8" t="n">
        <v>168</v>
      </c>
      <c r="E7" s="9" t="n">
        <v>27370.26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PAGO CON TRANSFERENCIA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1</v>
      </c>
      <c r="E9" s="9" t="n">
        <v>0.01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Monto=199.134,71</t>
        </is>
      </c>
      <c r="D10" s="8" t="n">
        <v>164</v>
      </c>
      <c r="E10" s="9" t="n">
        <v>199134.71</v>
      </c>
      <c r="F10" s="8" t="inlineStr">
        <is>
          <t>Banco egreso no Flexxus</t>
        </is>
      </c>
    </row>
    <row r="11">
      <c r="A11" s="8" t="inlineStr">
        <is>
          <t>DB CREDIN TRANSFERENCIA</t>
        </is>
      </c>
      <c r="B11" s="8" t="inlineStr">
        <is>
          <t>Transferencia saliente</t>
        </is>
      </c>
      <c r="C11" s="8" t="inlineStr">
        <is>
          <t>Revisar según concepto</t>
        </is>
      </c>
      <c r="D11" s="8" t="n">
        <v>1</v>
      </c>
      <c r="E11" s="9" t="n">
        <v>2000000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—</t>
        </is>
      </c>
      <c r="I5" s="8" t="inlineStr"/>
      <c r="J5" s="8" t="inlineStr">
        <is>
          <t>No encontrado en TRX</t>
        </is>
      </c>
      <c r="K5" s="9" t="inlineStr">
        <is>
          <t>—</t>
        </is>
      </c>
      <c r="L5" s="9" t="inlineStr"/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—</t>
        </is>
      </c>
      <c r="I6" s="8" t="inlineStr"/>
      <c r="J6" s="8" t="inlineStr">
        <is>
          <t>No encontrado en TRX</t>
        </is>
      </c>
      <c r="K6" s="9" t="inlineStr">
        <is>
          <t>—</t>
        </is>
      </c>
      <c r="L6" s="9" t="inlineStr"/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Local 8</t>
        </is>
      </c>
      <c r="I7" s="8" t="inlineStr"/>
      <c r="J7" s="8" t="inlineStr">
        <is>
          <t>343141</t>
        </is>
      </c>
      <c r="K7" s="9" t="n">
        <v>32085.62</v>
      </c>
      <c r="L7" s="9" t="n">
        <v>0.99</v>
      </c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5</t>
        </is>
      </c>
      <c r="I8" s="8" t="inlineStr">
        <is>
          <t>508</t>
        </is>
      </c>
      <c r="J8" s="8" t="inlineStr"/>
      <c r="K8" s="9" t="n">
        <v>13369.32</v>
      </c>
      <c r="L8" s="9" t="n">
        <v>-0.97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  <row r="10">
      <c r="A10" s="8" t="inlineStr">
        <is>
          <t>PEND-0025CCB46DA6-A001</t>
        </is>
      </c>
      <c r="B10" s="8" t="inlineStr">
        <is>
          <t>ABIERTO_NUEVO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2200022717</t>
        </is>
      </c>
      <c r="F10" s="8" t="inlineStr">
        <is>
          <t>PAGO TARJETA CREDITO</t>
        </is>
      </c>
      <c r="G10" s="9" t="n">
        <v>104082.63</v>
      </c>
      <c r="H10" s="8" t="inlineStr">
        <is>
          <t>Local 7</t>
        </is>
      </c>
      <c r="I10" s="8" t="inlineStr">
        <is>
          <t>718</t>
        </is>
      </c>
      <c r="J10" s="8" t="inlineStr"/>
      <c r="K10" s="9" t="n">
        <v>104082.63</v>
      </c>
      <c r="L10" s="9" t="n">
        <v>0</v>
      </c>
    </row>
  </sheetData>
  <autoFilter ref="A1:L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3" customWidth="1" min="8" max="8"/>
    <col width="14" customWidth="1" min="9" max="9"/>
    <col width="33" customWidth="1" min="10" max="10"/>
    <col width="37" customWidth="1" min="11" max="11"/>
    <col width="10" customWidth="1" min="12" max="12"/>
    <col width="11" customWidth="1" min="13" max="13"/>
    <col width="35" customWidth="1" min="14" max="14"/>
    <col width="18" customWidth="1" min="15" max="15"/>
    <col width="13" customWidth="1" min="16" max="16"/>
    <col width="37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PEND-5EBE470AC496-A001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27/04/2026</t>
        </is>
      </c>
      <c r="E3" s="8" t="inlineStr">
        <is>
          <t>32032899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647618.6899999999</v>
      </c>
      <c r="I3" s="9" t="inlineStr"/>
      <c r="J3" s="8" t="inlineStr">
        <is>
          <t>Liquidación tarjeta</t>
        </is>
      </c>
      <c r="K3" s="8" t="inlineStr">
        <is>
          <t>Banco ingresos no Flexxus anterior</t>
        </is>
      </c>
      <c r="L3" s="8" t="inlineStr"/>
      <c r="M3" s="8" t="inlineStr"/>
      <c r="N3" s="8" t="inlineStr"/>
      <c r="O3" s="8" t="inlineStr"/>
      <c r="P3" s="8" t="inlineStr"/>
      <c r="Q3" s="8" t="inlineStr">
        <is>
          <t>Ingreso bancario pendiente abierto</t>
        </is>
      </c>
      <c r="R3" s="8" t="inlineStr">
        <is>
          <t>Verificar si corresponde registrar como PAV o regularización</t>
        </is>
      </c>
    </row>
    <row r="4">
      <c r="A4" s="8" t="inlineStr">
        <is>
          <t>PEND-4ADF5DA7E31A-A001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471926.13</v>
      </c>
      <c r="I4" s="9" t="inlineStr"/>
      <c r="J4" s="8" t="inlineStr">
        <is>
          <t>Liquidación tarjeta</t>
        </is>
      </c>
      <c r="K4" s="8" t="inlineStr">
        <is>
          <t>Banco ingresos no Flexxus anterior</t>
        </is>
      </c>
      <c r="L4" s="8" t="inlineStr"/>
      <c r="M4" s="8" t="inlineStr"/>
      <c r="N4" s="8" t="inlineStr"/>
      <c r="O4" s="8" t="inlineStr"/>
      <c r="P4" s="8" t="inlineStr"/>
      <c r="Q4" s="8" t="inlineStr">
        <is>
          <t>Ingreso bancario pendiente abierto</t>
        </is>
      </c>
      <c r="R4" s="8" t="inlineStr">
        <is>
          <t>Verificar si corresponde registrar como PAV o regularización</t>
        </is>
      </c>
    </row>
    <row r="5">
      <c r="A5" s="8" t="inlineStr">
        <is>
          <t>PEND-3BEDEB9BD3B3-A001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295259.37</v>
      </c>
      <c r="I5" s="9" t="inlineStr"/>
      <c r="J5" s="8" t="inlineStr">
        <is>
          <t>Liquidación tarjeta</t>
        </is>
      </c>
      <c r="K5" s="8" t="inlineStr">
        <is>
          <t>Banco ingresos no Flexxus anterior</t>
        </is>
      </c>
      <c r="L5" s="8" t="inlineStr"/>
      <c r="M5" s="8" t="inlineStr"/>
      <c r="N5" s="8" t="inlineStr"/>
      <c r="O5" s="8" t="inlineStr"/>
      <c r="P5" s="8" t="inlineStr"/>
      <c r="Q5" s="8" t="inlineStr">
        <is>
          <t>Ingreso bancario pendiente abierto</t>
        </is>
      </c>
      <c r="R5" s="8" t="inlineStr">
        <is>
          <t>Verificar si corresponde registrar como PAV o regularización</t>
        </is>
      </c>
    </row>
    <row r="6">
      <c r="A6" s="8" t="inlineStr">
        <is>
          <t>PEND-A42097C01C2B-A001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32032899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191553.81</v>
      </c>
      <c r="I6" s="9" t="inlineStr"/>
      <c r="J6" s="8" t="inlineStr">
        <is>
          <t>Liquidación tarjeta</t>
        </is>
      </c>
      <c r="K6" s="8" t="inlineStr">
        <is>
          <t>Banco ingresos no Flexxus anterior</t>
        </is>
      </c>
      <c r="L6" s="8" t="inlineStr"/>
      <c r="M6" s="8" t="inlineStr"/>
      <c r="N6" s="8" t="inlineStr"/>
      <c r="O6" s="8" t="inlineStr"/>
      <c r="P6" s="8" t="inlineStr"/>
      <c r="Q6" s="8" t="inlineStr">
        <is>
          <t>Ingreso bancario pendiente abierto</t>
        </is>
      </c>
      <c r="R6" s="8" t="inlineStr">
        <is>
          <t>Verificar si corresponde registrar como PAV o regularización</t>
        </is>
      </c>
    </row>
    <row r="7">
      <c r="A7" s="8" t="inlineStr">
        <is>
          <t>PEND-BFB8519D4B7C-A001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CR LIQ MASTERCARD 24H</t>
        </is>
      </c>
      <c r="G7" s="8" t="inlineStr">
        <is>
          <t>Liquidación tarjeta</t>
        </is>
      </c>
      <c r="H7" s="9" t="n">
        <v>140199.31</v>
      </c>
      <c r="I7" s="9" t="inlineStr"/>
      <c r="J7" s="8" t="inlineStr">
        <is>
          <t>Liquidación tarjeta</t>
        </is>
      </c>
      <c r="K7" s="8" t="inlineStr">
        <is>
          <t>Banco ingresos no Flexxus anterior</t>
        </is>
      </c>
      <c r="L7" s="8" t="inlineStr"/>
      <c r="M7" s="8" t="inlineStr"/>
      <c r="N7" s="8" t="inlineStr"/>
      <c r="O7" s="8" t="inlineStr"/>
      <c r="P7" s="8" t="inlineStr"/>
      <c r="Q7" s="8" t="inlineStr">
        <is>
          <t>Ingreso bancario pendiente abierto</t>
        </is>
      </c>
      <c r="R7" s="8" t="inlineStr">
        <is>
          <t>Verificar si corresponde registrar como PAV o regularización</t>
        </is>
      </c>
    </row>
    <row r="8">
      <c r="A8" s="8" t="inlineStr">
        <is>
          <t>PEND-0ECA1DEE471E-A001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32032899</t>
        </is>
      </c>
      <c r="F8" s="8" t="inlineStr">
        <is>
          <t>CR LIQ AMEX/MADQ FIS 24H</t>
        </is>
      </c>
      <c r="G8" s="8" t="inlineStr">
        <is>
          <t>Liquidación tarjeta</t>
        </is>
      </c>
      <c r="H8" s="9" t="n">
        <v>125533.95</v>
      </c>
      <c r="I8" s="9" t="inlineStr"/>
      <c r="J8" s="8" t="inlineStr">
        <is>
          <t>Liquidación tarjeta</t>
        </is>
      </c>
      <c r="K8" s="8" t="inlineStr">
        <is>
          <t>Banco ingresos no Flexxus anterior</t>
        </is>
      </c>
      <c r="L8" s="8" t="inlineStr"/>
      <c r="M8" s="8" t="inlineStr"/>
      <c r="N8" s="8" t="inlineStr"/>
      <c r="O8" s="8" t="inlineStr"/>
      <c r="P8" s="8" t="inlineStr"/>
      <c r="Q8" s="8" t="inlineStr">
        <is>
          <t>Ingreso bancario pendiente abierto</t>
        </is>
      </c>
      <c r="R8" s="8" t="inlineStr">
        <is>
          <t>Verificar si corresponde registrar como PAV o regularización</t>
        </is>
      </c>
    </row>
    <row r="9">
      <c r="A9" s="8" t="inlineStr">
        <is>
          <t>PEND-BE8AF683603E-A001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29841670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116078.25</v>
      </c>
      <c r="I9" s="9" t="inlineStr"/>
      <c r="J9" s="8" t="inlineStr">
        <is>
          <t>Liquidación tarjeta</t>
        </is>
      </c>
      <c r="K9" s="8" t="inlineStr">
        <is>
          <t>Banco ingresos no Flexxus anterior</t>
        </is>
      </c>
      <c r="L9" s="8" t="inlineStr"/>
      <c r="M9" s="8" t="inlineStr"/>
      <c r="N9" s="8" t="inlineStr"/>
      <c r="O9" s="8" t="inlineStr"/>
      <c r="P9" s="8" t="inlineStr"/>
      <c r="Q9" s="8" t="inlineStr">
        <is>
          <t>Ingreso bancario pendiente abierto</t>
        </is>
      </c>
      <c r="R9" s="8" t="inlineStr">
        <is>
          <t>Verificar si corresponde registrar como PAV o regularización</t>
        </is>
      </c>
    </row>
    <row r="10">
      <c r="A10" s="8" t="inlineStr">
        <is>
          <t>PEND-870396D7AC55-A001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108762</t>
        </is>
      </c>
      <c r="F10" s="8" t="inlineStr">
        <is>
          <t>CR DEBIN SPOT - CUIT/CUIL: 30711424179</t>
        </is>
      </c>
      <c r="G10" s="8" t="inlineStr">
        <is>
          <t>QR / CR DEBIN SPOT</t>
        </is>
      </c>
      <c r="H10" s="9" t="n">
        <v>109331.33</v>
      </c>
      <c r="I10" s="9" t="inlineStr"/>
      <c r="J10" s="8" t="inlineStr">
        <is>
          <t>QR / CR DEBIN SPOT</t>
        </is>
      </c>
      <c r="K10" s="8" t="inlineStr">
        <is>
          <t>Banco ingresos no Flexxus anterior</t>
        </is>
      </c>
      <c r="L10" s="8" t="inlineStr"/>
      <c r="M10" s="8" t="inlineStr"/>
      <c r="N10" s="8" t="inlineStr"/>
      <c r="O10" s="8" t="inlineStr"/>
      <c r="P10" s="8" t="inlineStr"/>
      <c r="Q10" s="8" t="inlineStr">
        <is>
          <t>Ingreso bancario pendiente abierto</t>
        </is>
      </c>
      <c r="R10" s="8" t="inlineStr">
        <is>
          <t>Verificar si corresponde registrar como PAV o regularización</t>
        </is>
      </c>
    </row>
    <row r="11">
      <c r="A11" s="8" t="inlineStr">
        <is>
          <t>PEND-81636DB1755D-A001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29841683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85354.56</v>
      </c>
      <c r="I11" s="9" t="inlineStr"/>
      <c r="J11" s="8" t="inlineStr">
        <is>
          <t>Liquidación tarjeta</t>
        </is>
      </c>
      <c r="K11" s="8" t="inlineStr">
        <is>
          <t>Banco ingresos no Flexxus anterior</t>
        </is>
      </c>
      <c r="L11" s="8" t="inlineStr"/>
      <c r="M11" s="8" t="inlineStr"/>
      <c r="N11" s="8" t="inlineStr"/>
      <c r="O11" s="8" t="inlineStr"/>
      <c r="P11" s="8" t="inlineStr"/>
      <c r="Q11" s="8" t="inlineStr">
        <is>
          <t>Ingreso bancario pendiente abierto</t>
        </is>
      </c>
      <c r="R11" s="8" t="inlineStr">
        <is>
          <t>Verificar si corresponde registrar como PAV o regularización</t>
        </is>
      </c>
    </row>
    <row r="12">
      <c r="A12" s="8" t="inlineStr">
        <is>
          <t>PEND-78CBFF1E549A-A001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108796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78037.22</v>
      </c>
      <c r="I12" s="9" t="inlineStr"/>
      <c r="J12" s="8" t="inlineStr">
        <is>
          <t>QR / CR DEBIN SPOT</t>
        </is>
      </c>
      <c r="K12" s="8" t="inlineStr">
        <is>
          <t>Banco ingresos no Flexxus anterior</t>
        </is>
      </c>
      <c r="L12" s="8" t="inlineStr"/>
      <c r="M12" s="8" t="inlineStr"/>
      <c r="N12" s="8" t="inlineStr"/>
      <c r="O12" s="8" t="inlineStr"/>
      <c r="P12" s="8" t="inlineStr"/>
      <c r="Q12" s="8" t="inlineStr">
        <is>
          <t>Ingreso bancario pendiente abierto</t>
        </is>
      </c>
      <c r="R12" s="8" t="inlineStr">
        <is>
          <t>Verificar si corresponde registrar como PAV o regularización</t>
        </is>
      </c>
    </row>
    <row r="13">
      <c r="A13" s="8" t="inlineStr">
        <is>
          <t>PEND-EC2A03B699D8-A001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29841670</t>
        </is>
      </c>
      <c r="F13" s="8" t="inlineStr">
        <is>
          <t>CR LIQ MASTER DEB 24H</t>
        </is>
      </c>
      <c r="G13" s="8" t="inlineStr">
        <is>
          <t>Liquidación tarjeta</t>
        </is>
      </c>
      <c r="H13" s="9" t="n">
        <v>68866.69</v>
      </c>
      <c r="I13" s="9" t="inlineStr"/>
      <c r="J13" s="8" t="inlineStr">
        <is>
          <t>Liquidación tarjeta</t>
        </is>
      </c>
      <c r="K13" s="8" t="inlineStr">
        <is>
          <t>Banco ingresos no Flexxus anterior</t>
        </is>
      </c>
      <c r="L13" s="8" t="inlineStr"/>
      <c r="M13" s="8" t="inlineStr"/>
      <c r="N13" s="8" t="inlineStr"/>
      <c r="O13" s="8" t="inlineStr"/>
      <c r="P13" s="8" t="inlineStr"/>
      <c r="Q13" s="8" t="inlineStr">
        <is>
          <t>Ingreso bancario pendiente abierto</t>
        </is>
      </c>
      <c r="R13" s="8" t="inlineStr">
        <is>
          <t>Verificar si corresponde registrar como PAV o regularización</t>
        </is>
      </c>
    </row>
    <row r="14">
      <c r="A14" s="8" t="inlineStr">
        <is>
          <t>PEND-1DD6B2DA4BE1-A001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108787</t>
        </is>
      </c>
      <c r="F14" s="8" t="inlineStr">
        <is>
          <t>CR DEBIN SPOT - CUIT/CUIL: 30711424179</t>
        </is>
      </c>
      <c r="G14" s="8" t="inlineStr">
        <is>
          <t>QR / CR DEBIN SPOT</t>
        </is>
      </c>
      <c r="H14" s="9" t="n">
        <v>45455.69</v>
      </c>
      <c r="I14" s="9" t="inlineStr"/>
      <c r="J14" s="8" t="inlineStr">
        <is>
          <t>QR / CR DEBIN SPOT</t>
        </is>
      </c>
      <c r="K14" s="8" t="inlineStr">
        <is>
          <t>Banco ingresos no Flexxus anterior</t>
        </is>
      </c>
      <c r="L14" s="8" t="inlineStr"/>
      <c r="M14" s="8" t="inlineStr"/>
      <c r="N14" s="8" t="inlineStr"/>
      <c r="O14" s="8" t="inlineStr"/>
      <c r="P14" s="8" t="inlineStr"/>
      <c r="Q14" s="8" t="inlineStr">
        <is>
          <t>Ingreso bancario pendiente abierto</t>
        </is>
      </c>
      <c r="R14" s="8" t="inlineStr">
        <is>
          <t>Verificar si corresponde registrar como PAV o regularización</t>
        </is>
      </c>
    </row>
    <row r="15">
      <c r="A15" s="8" t="inlineStr">
        <is>
          <t>PEND-3BB39ECCB015-A001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108761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40107.96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/>
      <c r="M15" s="8" t="inlineStr"/>
      <c r="N15" s="8" t="inlineStr"/>
      <c r="O15" s="8" t="inlineStr"/>
      <c r="P15" s="8" t="inlineStr"/>
      <c r="Q15" s="8" t="inlineStr">
        <is>
          <t>Ingreso bancario pendiente abierto</t>
        </is>
      </c>
      <c r="R15" s="8" t="inlineStr">
        <is>
          <t>Verificar si corresponde registrar como PAV o regularización</t>
        </is>
      </c>
    </row>
    <row r="16">
      <c r="A16" s="8" t="inlineStr">
        <is>
          <t>PEND-358815720359-A001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29841670</t>
        </is>
      </c>
      <c r="F16" s="8" t="inlineStr">
        <is>
          <t>CR LIQ MASTER DEB 24H</t>
        </is>
      </c>
      <c r="G16" s="8" t="inlineStr">
        <is>
          <t>Liquidación tarjeta</t>
        </is>
      </c>
      <c r="H16" s="9" t="n">
        <v>39715.73</v>
      </c>
      <c r="I16" s="9" t="inlineStr"/>
      <c r="J16" s="8" t="inlineStr">
        <is>
          <t>Liquidación tarjeta</t>
        </is>
      </c>
      <c r="K16" s="8" t="inlineStr">
        <is>
          <t>Banco ingresos no Flexxus anterior</t>
        </is>
      </c>
      <c r="L16" s="8" t="inlineStr"/>
      <c r="M16" s="8" t="inlineStr"/>
      <c r="N16" s="8" t="inlineStr"/>
      <c r="O16" s="8" t="inlineStr"/>
      <c r="P16" s="8" t="inlineStr"/>
      <c r="Q16" s="8" t="inlineStr">
        <is>
          <t>Ingreso bancario pendiente abierto</t>
        </is>
      </c>
      <c r="R16" s="8" t="inlineStr">
        <is>
          <t>Verificar si corresponde registrar como PAV o regularización</t>
        </is>
      </c>
    </row>
    <row r="17">
      <c r="A17" s="8" t="inlineStr">
        <is>
          <t>PEND-52E650A0FDAB-A001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108802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38127.32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/>
      <c r="M17" s="8" t="inlineStr"/>
      <c r="N17" s="8" t="inlineStr"/>
      <c r="O17" s="8" t="inlineStr"/>
      <c r="P17" s="8" t="inlineStr"/>
      <c r="Q17" s="8" t="inlineStr">
        <is>
          <t>Ingreso bancario pendiente abierto</t>
        </is>
      </c>
      <c r="R17" s="8" t="inlineStr">
        <is>
          <t>Verificar si corresponde registrar como PAV o regularización</t>
        </is>
      </c>
    </row>
    <row r="18">
      <c r="A18" s="8" t="inlineStr">
        <is>
          <t>PEND-7B10D3D79E58-A001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108824</t>
        </is>
      </c>
      <c r="F18" s="8" t="inlineStr">
        <is>
          <t>CR DEBIN SPOT - CUIT/CUIL: 30711424179</t>
        </is>
      </c>
      <c r="G18" s="8" t="inlineStr">
        <is>
          <t>QR / CR DEBIN SPOT</t>
        </is>
      </c>
      <c r="H18" s="9" t="n">
        <v>34166.04</v>
      </c>
      <c r="I18" s="9" t="inlineStr"/>
      <c r="J18" s="8" t="inlineStr">
        <is>
          <t>QR / CR DEBIN SPOT</t>
        </is>
      </c>
      <c r="K18" s="8" t="inlineStr">
        <is>
          <t>Banco ingresos no Flexxus anterior</t>
        </is>
      </c>
      <c r="L18" s="8" t="inlineStr"/>
      <c r="M18" s="8" t="inlineStr"/>
      <c r="N18" s="8" t="inlineStr"/>
      <c r="O18" s="8" t="inlineStr"/>
      <c r="P18" s="8" t="inlineStr"/>
      <c r="Q18" s="8" t="inlineStr">
        <is>
          <t>Ingreso bancario pendiente abierto</t>
        </is>
      </c>
      <c r="R18" s="8" t="inlineStr">
        <is>
          <t>Verificar si corresponde registrar como PAV o regularización</t>
        </is>
      </c>
    </row>
    <row r="19">
      <c r="A19" s="8" t="inlineStr">
        <is>
          <t>PEND-C25BE5AB5BF3-A001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108791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34166.04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/>
      <c r="M19" s="8" t="inlineStr"/>
      <c r="N19" s="8" t="inlineStr"/>
      <c r="O19" s="8" t="inlineStr"/>
      <c r="P19" s="8" t="inlineStr"/>
      <c r="Q19" s="8" t="inlineStr">
        <is>
          <t>Ingreso bancario pendiente abierto</t>
        </is>
      </c>
      <c r="R19" s="8" t="inlineStr">
        <is>
          <t>Verificar si corresponde registrar como PAV o regularización</t>
        </is>
      </c>
    </row>
    <row r="20">
      <c r="A20" s="8" t="inlineStr">
        <is>
          <t>PEND-625F67D41C37-A001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24/04/2026</t>
        </is>
      </c>
      <c r="E20" s="8" t="inlineStr">
        <is>
          <t>3027923</t>
        </is>
      </c>
      <c r="F20" s="8" t="inlineStr">
        <is>
          <t>C BE TR O/BCO-DIS TIT IBK - CUIT/CUIL: 30685376349</t>
        </is>
      </c>
      <c r="G20" s="8" t="inlineStr">
        <is>
          <t>Transferencia entrante</t>
        </is>
      </c>
      <c r="H20" s="9" t="n">
        <v>33180.87</v>
      </c>
      <c r="I20" s="9" t="inlineStr"/>
      <c r="J20" s="8" t="inlineStr">
        <is>
          <t>Transferencia entrante</t>
        </is>
      </c>
      <c r="K20" s="8" t="inlineStr">
        <is>
          <t>Banco ingresos no Flexxus anterior</t>
        </is>
      </c>
      <c r="L20" s="8" t="inlineStr"/>
      <c r="M20" s="8" t="inlineStr"/>
      <c r="N20" s="8" t="inlineStr"/>
      <c r="O20" s="8" t="inlineStr"/>
      <c r="P20" s="8" t="inlineStr"/>
      <c r="Q20" s="8" t="inlineStr">
        <is>
          <t>Ingreso bancario pendiente abierto</t>
        </is>
      </c>
      <c r="R20" s="8" t="inlineStr">
        <is>
          <t>Verificar si corresponde registrar como PAV o regularización</t>
        </is>
      </c>
    </row>
    <row r="21">
      <c r="A21" s="8" t="inlineStr">
        <is>
          <t>PEND-267DE1003943-A001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108777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33175.72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/>
      <c r="M21" s="8" t="inlineStr"/>
      <c r="N21" s="8" t="inlineStr"/>
      <c r="O21" s="8" t="inlineStr"/>
      <c r="P21" s="8" t="inlineStr"/>
      <c r="Q21" s="8" t="inlineStr">
        <is>
          <t>Ingreso bancario pendiente abierto</t>
        </is>
      </c>
      <c r="R21" s="8" t="inlineStr">
        <is>
          <t>Verificar si corresponde registrar como PAV o regularización</t>
        </is>
      </c>
    </row>
    <row r="22">
      <c r="A22" s="8" t="inlineStr">
        <is>
          <t>PEND-4614A96C8264-A001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24/04/2026</t>
        </is>
      </c>
      <c r="E22" s="8" t="inlineStr">
        <is>
          <t>108559</t>
        </is>
      </c>
      <c r="F22" s="8" t="inlineStr">
        <is>
          <t>CR DEBIN SPOT - CUIT/CUIL: 30711424179</t>
        </is>
      </c>
      <c r="G22" s="8" t="inlineStr">
        <is>
          <t>QR / CR DEBIN SPOT</t>
        </is>
      </c>
      <c r="H22" s="9" t="n">
        <v>32086.37</v>
      </c>
      <c r="I22" s="9" t="inlineStr"/>
      <c r="J22" s="8" t="inlineStr">
        <is>
          <t>QR / CR DEBIN SPOT</t>
        </is>
      </c>
      <c r="K22" s="8" t="inlineStr">
        <is>
          <t>Banco ingresos no Flexxus anterior</t>
        </is>
      </c>
      <c r="L22" s="8" t="inlineStr"/>
      <c r="M22" s="8" t="inlineStr"/>
      <c r="N22" s="8" t="inlineStr"/>
      <c r="O22" s="8" t="inlineStr"/>
      <c r="P22" s="8" t="inlineStr"/>
      <c r="Q22" s="8" t="inlineStr">
        <is>
          <t>Ingreso bancario pendiente abierto</t>
        </is>
      </c>
      <c r="R22" s="8" t="inlineStr">
        <is>
          <t>Verificar si corresponde registrar como PAV o regularización</t>
        </is>
      </c>
    </row>
    <row r="23">
      <c r="A23" s="8" t="inlineStr">
        <is>
          <t>PEND-6B651FED6B88-A001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108829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27629.93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/>
      <c r="M23" s="8" t="inlineStr"/>
      <c r="N23" s="8" t="inlineStr"/>
      <c r="O23" s="8" t="inlineStr"/>
      <c r="P23" s="8" t="inlineStr"/>
      <c r="Q23" s="8" t="inlineStr">
        <is>
          <t>Ingreso bancario pendiente abierto</t>
        </is>
      </c>
      <c r="R23" s="8" t="inlineStr">
        <is>
          <t>Verificar si corresponde registrar como PAV o regularización</t>
        </is>
      </c>
    </row>
    <row r="24">
      <c r="A24" s="8" t="inlineStr">
        <is>
          <t>PEND-78F87BDE9F9C-A001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108835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26738.64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/>
      <c r="M24" s="8" t="inlineStr"/>
      <c r="N24" s="8" t="inlineStr"/>
      <c r="O24" s="8" t="inlineStr"/>
      <c r="P24" s="8" t="inlineStr"/>
      <c r="Q24" s="8" t="inlineStr">
        <is>
          <t>Ingreso bancario pendiente abierto</t>
        </is>
      </c>
      <c r="R24" s="8" t="inlineStr">
        <is>
          <t>Verificar si corresponde registrar como PAV o regularización</t>
        </is>
      </c>
    </row>
    <row r="25">
      <c r="A25" s="8" t="inlineStr">
        <is>
          <t>PEND-317B6B3F6010-A001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108813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26738.64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/>
      <c r="M25" s="8" t="inlineStr"/>
      <c r="N25" s="8" t="inlineStr"/>
      <c r="O25" s="8" t="inlineStr"/>
      <c r="P25" s="8" t="inlineStr"/>
      <c r="Q25" s="8" t="inlineStr">
        <is>
          <t>Ingreso bancario pendiente abierto</t>
        </is>
      </c>
      <c r="R25" s="8" t="inlineStr">
        <is>
          <t>Verificar si corresponde registrar como PAV o regularización</t>
        </is>
      </c>
    </row>
    <row r="26">
      <c r="A26" s="8" t="inlineStr">
        <is>
          <t>PEND-7C0238F8CC18-A001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108805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26738.64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/>
      <c r="M26" s="8" t="inlineStr"/>
      <c r="N26" s="8" t="inlineStr"/>
      <c r="O26" s="8" t="inlineStr"/>
      <c r="P26" s="8" t="inlineStr"/>
      <c r="Q26" s="8" t="inlineStr">
        <is>
          <t>Ingreso bancario pendiente abierto</t>
        </is>
      </c>
      <c r="R26" s="8" t="inlineStr">
        <is>
          <t>Verificar si corresponde registrar como PAV o regularización</t>
        </is>
      </c>
    </row>
    <row r="27">
      <c r="A27" s="8" t="inlineStr">
        <is>
          <t>PEND-826042633707-A001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108765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26738.64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/>
      <c r="M27" s="8" t="inlineStr"/>
      <c r="N27" s="8" t="inlineStr"/>
      <c r="O27" s="8" t="inlineStr"/>
      <c r="P27" s="8" t="inlineStr"/>
      <c r="Q27" s="8" t="inlineStr">
        <is>
          <t>Ingreso bancario pendiente abierto</t>
        </is>
      </c>
      <c r="R27" s="8" t="inlineStr">
        <is>
          <t>Verificar si corresponde registrar como PAV o regularización</t>
        </is>
      </c>
    </row>
    <row r="28">
      <c r="A28" s="8" t="inlineStr">
        <is>
          <t>PEND-2A6134C7265F-A001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108847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24758</v>
      </c>
      <c r="I28" s="9" t="inlineStr"/>
      <c r="J28" s="8" t="inlineStr">
        <is>
          <t>QR / CR DEBIN SPOT</t>
        </is>
      </c>
      <c r="K28" s="8" t="inlineStr">
        <is>
          <t>Banco ingresos no Flexxus anterior</t>
        </is>
      </c>
      <c r="L28" s="8" t="inlineStr"/>
      <c r="M28" s="8" t="inlineStr"/>
      <c r="N28" s="8" t="inlineStr"/>
      <c r="O28" s="8" t="inlineStr"/>
      <c r="P28" s="8" t="inlineStr"/>
      <c r="Q28" s="8" t="inlineStr">
        <is>
          <t>Ingreso bancario pendiente abierto</t>
        </is>
      </c>
      <c r="R28" s="8" t="inlineStr">
        <is>
          <t>Verificar si corresponde registrar como PAV o regularización</t>
        </is>
      </c>
    </row>
    <row r="29">
      <c r="A29" s="8" t="inlineStr">
        <is>
          <t>PEND-5A79C099FC4F-A001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108789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24758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/>
      <c r="M29" s="8" t="inlineStr"/>
      <c r="N29" s="8" t="inlineStr"/>
      <c r="O29" s="8" t="inlineStr"/>
      <c r="P29" s="8" t="inlineStr"/>
      <c r="Q29" s="8" t="inlineStr">
        <is>
          <t>Ingreso bancario pendiente abierto</t>
        </is>
      </c>
      <c r="R29" s="8" t="inlineStr">
        <is>
          <t>Verificar si corresponde registrar como PAV o regularización</t>
        </is>
      </c>
    </row>
    <row r="30">
      <c r="A30" s="8" t="inlineStr">
        <is>
          <t>PEND-17A00CF61DEB-A001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108820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23767.68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/>
      <c r="M30" s="8" t="inlineStr"/>
      <c r="N30" s="8" t="inlineStr"/>
      <c r="O30" s="8" t="inlineStr"/>
      <c r="P30" s="8" t="inlineStr"/>
      <c r="Q30" s="8" t="inlineStr">
        <is>
          <t>Ingreso bancario pendiente abierto</t>
        </is>
      </c>
      <c r="R30" s="8" t="inlineStr">
        <is>
          <t>Verificar si corresponde registrar como PAV o regularización</t>
        </is>
      </c>
    </row>
    <row r="31">
      <c r="A31" s="8" t="inlineStr">
        <is>
          <t>PEND-DAAF308B0163-A001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29841683</t>
        </is>
      </c>
      <c r="F31" s="8" t="inlineStr">
        <is>
          <t>CR LIQ MASTERCARD 24H</t>
        </is>
      </c>
      <c r="G31" s="8" t="inlineStr">
        <is>
          <t>Liquidación tarjeta</t>
        </is>
      </c>
      <c r="H31" s="9" t="n">
        <v>23477.28</v>
      </c>
      <c r="I31" s="9" t="inlineStr"/>
      <c r="J31" s="8" t="inlineStr">
        <is>
          <t>Liquidación tarjeta</t>
        </is>
      </c>
      <c r="K31" s="8" t="inlineStr">
        <is>
          <t>Banco ingresos no Flexxus anterior</t>
        </is>
      </c>
      <c r="L31" s="8" t="inlineStr"/>
      <c r="M31" s="8" t="inlineStr"/>
      <c r="N31" s="8" t="inlineStr"/>
      <c r="O31" s="8" t="inlineStr"/>
      <c r="P31" s="8" t="inlineStr"/>
      <c r="Q31" s="8" t="inlineStr">
        <is>
          <t>Ingreso bancario pendiente abierto</t>
        </is>
      </c>
      <c r="R31" s="8" t="inlineStr">
        <is>
          <t>Verificar si corresponde registrar como PAV o regularización</t>
        </is>
      </c>
    </row>
    <row r="32">
      <c r="A32" s="8" t="inlineStr">
        <is>
          <t>PEND-97FF360B2147-A001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108826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22876.39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/>
      <c r="M32" s="8" t="inlineStr"/>
      <c r="N32" s="8" t="inlineStr"/>
      <c r="O32" s="8" t="inlineStr"/>
      <c r="P32" s="8" t="inlineStr"/>
      <c r="Q32" s="8" t="inlineStr">
        <is>
          <t>Ingreso bancario pendiente abierto</t>
        </is>
      </c>
      <c r="R32" s="8" t="inlineStr">
        <is>
          <t>Verificar si corresponde registrar como PAV o regularización</t>
        </is>
      </c>
    </row>
    <row r="33">
      <c r="A33" s="8" t="inlineStr">
        <is>
          <t>PEND-A4597D2B7403-A001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108814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22777.36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/>
      <c r="M33" s="8" t="inlineStr"/>
      <c r="N33" s="8" t="inlineStr"/>
      <c r="O33" s="8" t="inlineStr"/>
      <c r="P33" s="8" t="inlineStr"/>
      <c r="Q33" s="8" t="inlineStr">
        <is>
          <t>Ingreso bancario pendiente abierto</t>
        </is>
      </c>
      <c r="R33" s="8" t="inlineStr">
        <is>
          <t>Verificar si corresponde registrar como PAV o regularización</t>
        </is>
      </c>
    </row>
    <row r="34">
      <c r="A34" s="8" t="inlineStr">
        <is>
          <t>PEND-F4A8F81F67AC-A001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108766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22777.36</v>
      </c>
      <c r="I34" s="9" t="inlineStr"/>
      <c r="J34" s="8" t="inlineStr">
        <is>
          <t>QR / CR DEBIN SPOT</t>
        </is>
      </c>
      <c r="K34" s="8" t="inlineStr">
        <is>
          <t>Banco ingresos no Flexxus anterior</t>
        </is>
      </c>
      <c r="L34" s="8" t="inlineStr"/>
      <c r="M34" s="8" t="inlineStr"/>
      <c r="N34" s="8" t="inlineStr"/>
      <c r="O34" s="8" t="inlineStr"/>
      <c r="P34" s="8" t="inlineStr"/>
      <c r="Q34" s="8" t="inlineStr">
        <is>
          <t>Ingreso bancario pendiente abierto</t>
        </is>
      </c>
      <c r="R34" s="8" t="inlineStr">
        <is>
          <t>Verificar si corresponde registrar como PAV o regularización</t>
        </is>
      </c>
    </row>
    <row r="35">
      <c r="A35" s="8" t="inlineStr">
        <is>
          <t>PEND-8B2B8DFA1D0C-A001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108792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18915.11</v>
      </c>
      <c r="I35" s="9" t="inlineStr"/>
      <c r="J35" s="8" t="inlineStr">
        <is>
          <t>QR / CR DEBIN SPOT</t>
        </is>
      </c>
      <c r="K35" s="8" t="inlineStr">
        <is>
          <t>Banco ingresos no Flexxus anterior</t>
        </is>
      </c>
      <c r="L35" s="8" t="inlineStr"/>
      <c r="M35" s="8" t="inlineStr"/>
      <c r="N35" s="8" t="inlineStr"/>
      <c r="O35" s="8" t="inlineStr"/>
      <c r="P35" s="8" t="inlineStr"/>
      <c r="Q35" s="8" t="inlineStr">
        <is>
          <t>Ingreso bancario pendiente abierto</t>
        </is>
      </c>
      <c r="R35" s="8" t="inlineStr">
        <is>
          <t>Verificar si corresponde registrar como PAV o regularización</t>
        </is>
      </c>
    </row>
    <row r="36">
      <c r="A36" s="8" t="inlineStr">
        <is>
          <t>PEND-638477440813-A001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108808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14854.8</v>
      </c>
      <c r="I36" s="9" t="inlineStr"/>
      <c r="J36" s="8" t="inlineStr">
        <is>
          <t>QR / CR DEBIN SPOT</t>
        </is>
      </c>
      <c r="K36" s="8" t="inlineStr">
        <is>
          <t>Banco ingresos no Flexxus anterior</t>
        </is>
      </c>
      <c r="L36" s="8" t="inlineStr"/>
      <c r="M36" s="8" t="inlineStr"/>
      <c r="N36" s="8" t="inlineStr"/>
      <c r="O36" s="8" t="inlineStr"/>
      <c r="P36" s="8" t="inlineStr"/>
      <c r="Q36" s="8" t="inlineStr">
        <is>
          <t>Ingreso bancario pendiente abierto</t>
        </is>
      </c>
      <c r="R36" s="8" t="inlineStr">
        <is>
          <t>Verificar si corresponde registrar como PAV o regularización</t>
        </is>
      </c>
    </row>
    <row r="37">
      <c r="A37" s="8" t="inlineStr">
        <is>
          <t>PEND-A4D12E468FDC-A001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108816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13369.32</v>
      </c>
      <c r="I37" s="9" t="inlineStr"/>
      <c r="J37" s="8" t="inlineStr">
        <is>
          <t>QR / CR DEBIN SPOT</t>
        </is>
      </c>
      <c r="K37" s="8" t="inlineStr">
        <is>
          <t>Banco ingresos no Flexxus anterior</t>
        </is>
      </c>
      <c r="L37" s="8" t="inlineStr"/>
      <c r="M37" s="8" t="inlineStr"/>
      <c r="N37" s="8" t="inlineStr"/>
      <c r="O37" s="8" t="inlineStr"/>
      <c r="P37" s="8" t="inlineStr"/>
      <c r="Q37" s="8" t="inlineStr">
        <is>
          <t>Ingreso bancario pendiente abierto</t>
        </is>
      </c>
      <c r="R37" s="8" t="inlineStr">
        <is>
          <t>Verificar si corresponde registrar como PAV o regularización</t>
        </is>
      </c>
    </row>
    <row r="38">
      <c r="A38" s="8" t="inlineStr">
        <is>
          <t>PEND-255ACA090D49-A001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108767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13369.32</v>
      </c>
      <c r="I38" s="9" t="inlineStr"/>
      <c r="J38" s="8" t="inlineStr">
        <is>
          <t>QR / CR DEBIN SPOT</t>
        </is>
      </c>
      <c r="K38" s="8" t="inlineStr">
        <is>
          <t>Banco ingresos no Flexxus anterior</t>
        </is>
      </c>
      <c r="L38" s="8" t="inlineStr"/>
      <c r="M38" s="8" t="inlineStr"/>
      <c r="N38" s="8" t="inlineStr"/>
      <c r="O38" s="8" t="inlineStr"/>
      <c r="P38" s="8" t="inlineStr"/>
      <c r="Q38" s="8" t="inlineStr">
        <is>
          <t>Ingreso bancario pendiente abierto</t>
        </is>
      </c>
      <c r="R38" s="8" t="inlineStr">
        <is>
          <t>Verificar si corresponde registrar como PAV o regularización</t>
        </is>
      </c>
    </row>
    <row r="39">
      <c r="A39" s="8" t="inlineStr">
        <is>
          <t>PEND-AA105B6AA931-A001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108764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13369.32</v>
      </c>
      <c r="I39" s="9" t="inlineStr"/>
      <c r="J39" s="8" t="inlineStr">
        <is>
          <t>QR / CR DEBIN SPOT</t>
        </is>
      </c>
      <c r="K39" s="8" t="inlineStr">
        <is>
          <t>Banco ingresos no Flexxus anterior</t>
        </is>
      </c>
      <c r="L39" s="8" t="inlineStr"/>
      <c r="M39" s="8" t="inlineStr"/>
      <c r="N39" s="8" t="inlineStr"/>
      <c r="O39" s="8" t="inlineStr"/>
      <c r="P39" s="8" t="inlineStr"/>
      <c r="Q39" s="8" t="inlineStr">
        <is>
          <t>Ingreso bancario pendiente abierto</t>
        </is>
      </c>
      <c r="R39" s="8" t="inlineStr">
        <is>
          <t>Verificar si corresponde registrar como PAV o regularización</t>
        </is>
      </c>
    </row>
    <row r="40">
      <c r="A40" s="8" t="inlineStr">
        <is>
          <t>PEND-17BDE19741C8-A001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108822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11388.68</v>
      </c>
      <c r="I40" s="9" t="inlineStr"/>
      <c r="J40" s="8" t="inlineStr">
        <is>
          <t>QR / CR DEBIN SPOT</t>
        </is>
      </c>
      <c r="K40" s="8" t="inlineStr">
        <is>
          <t>Banco ingresos no Flexxus anterior</t>
        </is>
      </c>
      <c r="L40" s="8" t="inlineStr"/>
      <c r="M40" s="8" t="inlineStr"/>
      <c r="N40" s="8" t="inlineStr"/>
      <c r="O40" s="8" t="inlineStr"/>
      <c r="P40" s="8" t="inlineStr"/>
      <c r="Q40" s="8" t="inlineStr">
        <is>
          <t>Ingreso bancario pendiente abierto</t>
        </is>
      </c>
      <c r="R40" s="8" t="inlineStr">
        <is>
          <t>Verificar si corresponde registrar como PAV o regularización</t>
        </is>
      </c>
    </row>
    <row r="41">
      <c r="A41" s="8" t="inlineStr">
        <is>
          <t>PEND-E713FA3A78A0-A001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108786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11388.68</v>
      </c>
      <c r="I41" s="9" t="inlineStr"/>
      <c r="J41" s="8" t="inlineStr">
        <is>
          <t>QR / CR DEBIN SPOT</t>
        </is>
      </c>
      <c r="K41" s="8" t="inlineStr">
        <is>
          <t>Banco ingresos no Flexxus anterior</t>
        </is>
      </c>
      <c r="L41" s="8" t="inlineStr"/>
      <c r="M41" s="8" t="inlineStr"/>
      <c r="N41" s="8" t="inlineStr"/>
      <c r="O41" s="8" t="inlineStr"/>
      <c r="P41" s="8" t="inlineStr"/>
      <c r="Q41" s="8" t="inlineStr">
        <is>
          <t>Ingreso bancario pendiente abierto</t>
        </is>
      </c>
      <c r="R41" s="8" t="inlineStr">
        <is>
          <t>Verificar si corresponde registrar como PAV o regularización</t>
        </is>
      </c>
    </row>
    <row r="42">
      <c r="A42" s="8" t="inlineStr">
        <is>
          <t>PEND-FA219D63113E-A001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108801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8912.879999999999</v>
      </c>
      <c r="I42" s="9" t="inlineStr"/>
      <c r="J42" s="8" t="inlineStr">
        <is>
          <t>QR / CR DEBIN SPOT</t>
        </is>
      </c>
      <c r="K42" s="8" t="inlineStr">
        <is>
          <t>Banco ingresos no Flexxus anterior</t>
        </is>
      </c>
      <c r="L42" s="8" t="inlineStr"/>
      <c r="M42" s="8" t="inlineStr"/>
      <c r="N42" s="8" t="inlineStr"/>
      <c r="O42" s="8" t="inlineStr"/>
      <c r="P42" s="8" t="inlineStr"/>
      <c r="Q42" s="8" t="inlineStr">
        <is>
          <t>Ingreso bancario pendiente abierto</t>
        </is>
      </c>
      <c r="R42" s="8" t="inlineStr">
        <is>
          <t>Verificar si corresponde registrar como PAV o regularización</t>
        </is>
      </c>
    </row>
    <row r="43">
      <c r="A43" s="8" t="inlineStr">
        <is>
          <t>PEND-21680097194A-A001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108773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8417.719999999999</v>
      </c>
      <c r="I43" s="9" t="inlineStr"/>
      <c r="J43" s="8" t="inlineStr">
        <is>
          <t>QR / CR DEBIN SPOT</t>
        </is>
      </c>
      <c r="K43" s="8" t="inlineStr">
        <is>
          <t>Banco ingresos no Flexxus anterior</t>
        </is>
      </c>
      <c r="L43" s="8" t="inlineStr"/>
      <c r="M43" s="8" t="inlineStr"/>
      <c r="N43" s="8" t="inlineStr"/>
      <c r="O43" s="8" t="inlineStr"/>
      <c r="P43" s="8" t="inlineStr"/>
      <c r="Q43" s="8" t="inlineStr">
        <is>
          <t>Ingreso bancario pendiente abierto</t>
        </is>
      </c>
      <c r="R43" s="8" t="inlineStr">
        <is>
          <t>Verificar si corresponde registrar como PAV o regularización</t>
        </is>
      </c>
    </row>
    <row r="44">
      <c r="A44" s="8" t="inlineStr">
        <is>
          <t>PEND-B268C72F50B2-A001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108769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7724.5</v>
      </c>
      <c r="I44" s="9" t="inlineStr"/>
      <c r="J44" s="8" t="inlineStr">
        <is>
          <t>QR / CR DEBIN SPOT</t>
        </is>
      </c>
      <c r="K44" s="8" t="inlineStr">
        <is>
          <t>Banco ingresos no Flexxus anterior</t>
        </is>
      </c>
      <c r="L44" s="8" t="inlineStr"/>
      <c r="M44" s="8" t="inlineStr"/>
      <c r="N44" s="8" t="inlineStr"/>
      <c r="O44" s="8" t="inlineStr"/>
      <c r="P44" s="8" t="inlineStr"/>
      <c r="Q44" s="8" t="inlineStr">
        <is>
          <t>Ingreso bancario pendiente abierto</t>
        </is>
      </c>
      <c r="R44" s="8" t="inlineStr">
        <is>
          <t>Verificar si corresponde registrar como PAV o regularización</t>
        </is>
      </c>
    </row>
    <row r="45">
      <c r="A45" s="8" t="inlineStr">
        <is>
          <t>PEND-1F8C0928361B-A001</t>
        </is>
      </c>
      <c r="B45" s="8" t="inlineStr">
        <is>
          <t>ABIERTO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108839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7625.46</v>
      </c>
      <c r="I45" s="9" t="inlineStr"/>
      <c r="J45" s="8" t="inlineStr">
        <is>
          <t>QR / CR DEBIN SPOT</t>
        </is>
      </c>
      <c r="K45" s="8" t="inlineStr">
        <is>
          <t>Banco ingresos no Flexxus anterior</t>
        </is>
      </c>
      <c r="L45" s="8" t="inlineStr"/>
      <c r="M45" s="8" t="inlineStr"/>
      <c r="N45" s="8" t="inlineStr"/>
      <c r="O45" s="8" t="inlineStr"/>
      <c r="P45" s="8" t="inlineStr"/>
      <c r="Q45" s="8" t="inlineStr">
        <is>
          <t>Ingreso bancario pendiente abierto</t>
        </is>
      </c>
      <c r="R45" s="8" t="inlineStr">
        <is>
          <t>Verificar si corresponde registrar como PAV o regularización</t>
        </is>
      </c>
    </row>
    <row r="46">
      <c r="A46" s="8" t="inlineStr">
        <is>
          <t>PEND-E796DEEBB834-A001</t>
        </is>
      </c>
      <c r="B46" s="8" t="inlineStr">
        <is>
          <t>ABIERTO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108755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6833.21</v>
      </c>
      <c r="I46" s="9" t="inlineStr"/>
      <c r="J46" s="8" t="inlineStr">
        <is>
          <t>QR / CR DEBIN SPOT</t>
        </is>
      </c>
      <c r="K46" s="8" t="inlineStr">
        <is>
          <t>Banco ingresos no Flexxus anterior</t>
        </is>
      </c>
      <c r="L46" s="8" t="inlineStr"/>
      <c r="M46" s="8" t="inlineStr"/>
      <c r="N46" s="8" t="inlineStr"/>
      <c r="O46" s="8" t="inlineStr"/>
      <c r="P46" s="8" t="inlineStr"/>
      <c r="Q46" s="8" t="inlineStr">
        <is>
          <t>Ingreso bancario pendiente abierto</t>
        </is>
      </c>
      <c r="R46" s="8" t="inlineStr">
        <is>
          <t>Verificar si corresponde registrar como PAV o regularización</t>
        </is>
      </c>
    </row>
    <row r="47">
      <c r="A47" s="8" t="inlineStr">
        <is>
          <t>PEND-5A5DFF14466C-A001</t>
        </is>
      </c>
      <c r="B47" s="8" t="inlineStr">
        <is>
          <t>ABIERTO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108772</t>
        </is>
      </c>
      <c r="F47" s="8" t="inlineStr">
        <is>
          <t>CR DEBIN SPOT - CUIT/CUIL: 30711424179</t>
        </is>
      </c>
      <c r="G47" s="8" t="inlineStr">
        <is>
          <t>QR / CR DEBIN SPOT</t>
        </is>
      </c>
      <c r="H47" s="9" t="n">
        <v>4456.44</v>
      </c>
      <c r="I47" s="9" t="inlineStr"/>
      <c r="J47" s="8" t="inlineStr">
        <is>
          <t>QR / CR DEBIN SPOT</t>
        </is>
      </c>
      <c r="K47" s="8" t="inlineStr">
        <is>
          <t>Banco ingresos no Flexxus anterior</t>
        </is>
      </c>
      <c r="L47" s="8" t="inlineStr"/>
      <c r="M47" s="8" t="inlineStr"/>
      <c r="N47" s="8" t="inlineStr"/>
      <c r="O47" s="8" t="inlineStr"/>
      <c r="P47" s="8" t="inlineStr"/>
      <c r="Q47" s="8" t="inlineStr">
        <is>
          <t>Ingreso bancario pendiente abierto</t>
        </is>
      </c>
      <c r="R47" s="8" t="inlineStr">
        <is>
          <t>Verificar si corresponde registrar como PAV o regularización</t>
        </is>
      </c>
    </row>
    <row r="48">
      <c r="A48" s="8" t="inlineStr">
        <is>
          <t>PEND-42CAC52929C8-A001</t>
        </is>
      </c>
      <c r="B48" s="8" t="inlineStr">
        <is>
          <t>ABIERTO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CTRL-CONTINUIDAD</t>
        </is>
      </c>
      <c r="F48" s="8" t="inlineStr">
        <is>
          <t>Diferencia técnica menor de continuidad/extracto bancario</t>
        </is>
      </c>
      <c r="G48" s="8" t="inlineStr">
        <is>
          <t>Ajuste menor redondeo/extracto</t>
        </is>
      </c>
      <c r="H48" s="9" t="n">
        <v>0.02</v>
      </c>
      <c r="I48" s="9" t="inlineStr"/>
      <c r="J48" s="8" t="inlineStr">
        <is>
          <t>Ajuste menor redondeo/extracto</t>
        </is>
      </c>
      <c r="K48" s="8" t="inlineStr">
        <is>
          <t>Banco ingresos no Flexxus anterior</t>
        </is>
      </c>
      <c r="L48" s="8" t="inlineStr"/>
      <c r="M48" s="8" t="inlineStr"/>
      <c r="N48" s="8" t="inlineStr"/>
      <c r="O48" s="8" t="inlineStr"/>
      <c r="P48" s="8" t="inlineStr"/>
      <c r="Q48" s="8" t="inlineStr">
        <is>
          <t>Ingreso bancario pendiente abierto</t>
        </is>
      </c>
      <c r="R48" s="8" t="inlineStr">
        <is>
          <t>Verificar si corresponde registrar como PAV o regularización</t>
        </is>
      </c>
    </row>
    <row r="49">
      <c r="A49" s="8" t="inlineStr">
        <is>
          <t>PEND-71BC55323C7D-A001</t>
        </is>
      </c>
      <c r="B49" s="8" t="inlineStr">
        <is>
          <t>ABIERTO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108758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0.01</v>
      </c>
      <c r="I49" s="9" t="inlineStr"/>
      <c r="J49" s="8" t="inlineStr">
        <is>
          <t>QR / CR DEBIN SPOT</t>
        </is>
      </c>
      <c r="K49" s="8" t="inlineStr">
        <is>
          <t>Banco ingresos no Flexxus anterior</t>
        </is>
      </c>
      <c r="L49" s="8" t="inlineStr"/>
      <c r="M49" s="8" t="inlineStr"/>
      <c r="N49" s="8" t="inlineStr"/>
      <c r="O49" s="8" t="inlineStr"/>
      <c r="P49" s="8" t="inlineStr"/>
      <c r="Q49" s="8" t="inlineStr">
        <is>
          <t>Ingreso bancario pendiente abierto</t>
        </is>
      </c>
      <c r="R49" s="8" t="inlineStr">
        <is>
          <t>Verificar si corresponde registrar como PAV o regularización</t>
        </is>
      </c>
    </row>
    <row r="50">
      <c r="A50" s="8" t="inlineStr">
        <is>
          <t>PEND-324ADF5E74BC-A001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28/04/2026</t>
        </is>
      </c>
      <c r="E50" s="8" t="inlineStr">
        <is>
          <t>109285</t>
        </is>
      </c>
      <c r="F50" s="8" t="inlineStr">
        <is>
          <t>CR DEBIN SPOT</t>
        </is>
      </c>
      <c r="G50" s="8" t="inlineStr">
        <is>
          <t>QR / CR DEBIN SPOT</t>
        </is>
      </c>
      <c r="H50" s="9" t="n">
        <v>21093.82</v>
      </c>
      <c r="I50" s="9" t="inlineStr"/>
      <c r="J50" s="8" t="inlineStr">
        <is>
          <t>QR / CR DEBIN SPOT</t>
        </is>
      </c>
      <c r="K50" s="8" t="inlineStr">
        <is>
          <t>Corriente actual</t>
        </is>
      </c>
      <c r="L50" s="8" t="inlineStr"/>
      <c r="M50" s="8" t="inlineStr"/>
      <c r="N50" s="8" t="inlineStr"/>
      <c r="O50" s="8" t="inlineStr"/>
      <c r="P50" s="8" t="inlineStr"/>
      <c r="Q50" s="8" t="inlineStr">
        <is>
          <t>Ingreso bancario pendiente abierto</t>
        </is>
      </c>
      <c r="R50" s="8" t="inlineStr">
        <is>
          <t>Verificar si corresponde registrar como PAV o regularización</t>
        </is>
      </c>
    </row>
    <row r="51">
      <c r="A51" s="8" t="inlineStr">
        <is>
          <t>PEND-BCDF96B4985F-A001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28/04/2026</t>
        </is>
      </c>
      <c r="E51" s="8" t="inlineStr">
        <is>
          <t>32032899</t>
        </is>
      </c>
      <c r="F51" s="8" t="inlineStr">
        <is>
          <t>CR LIQ MASTER DEB 24H</t>
        </is>
      </c>
      <c r="G51" s="8" t="inlineStr">
        <is>
          <t>Liquidación tarjeta</t>
        </is>
      </c>
      <c r="H51" s="9" t="n">
        <v>2045023.32</v>
      </c>
      <c r="I51" s="9" t="inlineStr"/>
      <c r="J51" s="8" t="inlineStr">
        <is>
          <t>Liquidación tarjeta</t>
        </is>
      </c>
      <c r="K51" s="8" t="inlineStr">
        <is>
          <t>Corriente actual</t>
        </is>
      </c>
      <c r="L51" s="8" t="inlineStr"/>
      <c r="M51" s="8" t="inlineStr"/>
      <c r="N51" s="8" t="inlineStr"/>
      <c r="O51" s="8" t="inlineStr"/>
      <c r="P51" s="8" t="inlineStr"/>
      <c r="Q51" s="8" t="inlineStr">
        <is>
          <t>Ingreso bancario pendiente abierto</t>
        </is>
      </c>
      <c r="R51" s="8" t="inlineStr">
        <is>
          <t>Verificar si corresponde registrar como PAV o regularización</t>
        </is>
      </c>
    </row>
    <row r="52">
      <c r="A52" s="8" t="inlineStr">
        <is>
          <t>PEND-602DCEF257C9-A001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28/04/2026</t>
        </is>
      </c>
      <c r="E52" s="8" t="inlineStr">
        <is>
          <t>29841683</t>
        </is>
      </c>
      <c r="F52" s="8" t="inlineStr">
        <is>
          <t>CR LIQ MASTER DEB 24H</t>
        </is>
      </c>
      <c r="G52" s="8" t="inlineStr">
        <is>
          <t>Liquidación tarjeta</t>
        </is>
      </c>
      <c r="H52" s="9" t="n">
        <v>274651.56</v>
      </c>
      <c r="I52" s="9" t="inlineStr"/>
      <c r="J52" s="8" t="inlineStr">
        <is>
          <t>Liquidación tarjeta</t>
        </is>
      </c>
      <c r="K52" s="8" t="inlineStr">
        <is>
          <t>Corriente actual</t>
        </is>
      </c>
      <c r="L52" s="8" t="inlineStr"/>
      <c r="M52" s="8" t="inlineStr"/>
      <c r="N52" s="8" t="inlineStr"/>
      <c r="O52" s="8" t="inlineStr"/>
      <c r="P52" s="8" t="inlineStr"/>
      <c r="Q52" s="8" t="inlineStr">
        <is>
          <t>Ingreso bancario pendiente abierto</t>
        </is>
      </c>
      <c r="R52" s="8" t="inlineStr">
        <is>
          <t>Verificar si corresponde registrar como PAV o regularización</t>
        </is>
      </c>
    </row>
    <row r="53">
      <c r="A53" s="8" t="inlineStr">
        <is>
          <t>PEND-4A59773D7655-A001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28/04/2026</t>
        </is>
      </c>
      <c r="E53" s="8" t="inlineStr">
        <is>
          <t>29841670</t>
        </is>
      </c>
      <c r="F53" s="8" t="inlineStr">
        <is>
          <t>CR LIQ MASTER DEB 24H</t>
        </is>
      </c>
      <c r="G53" s="8" t="inlineStr">
        <is>
          <t>Liquidación tarjeta</t>
        </is>
      </c>
      <c r="H53" s="9" t="n">
        <v>594633.96</v>
      </c>
      <c r="I53" s="9" t="inlineStr"/>
      <c r="J53" s="8" t="inlineStr">
        <is>
          <t>Liquidación tarjeta</t>
        </is>
      </c>
      <c r="K53" s="8" t="inlineStr">
        <is>
          <t>Corriente actual</t>
        </is>
      </c>
      <c r="L53" s="8" t="inlineStr"/>
      <c r="M53" s="8" t="inlineStr"/>
      <c r="N53" s="8" t="inlineStr"/>
      <c r="O53" s="8" t="inlineStr"/>
      <c r="P53" s="8" t="inlineStr"/>
      <c r="Q53" s="8" t="inlineStr">
        <is>
          <t>Ingreso bancario pendiente abierto</t>
        </is>
      </c>
      <c r="R53" s="8" t="inlineStr">
        <is>
          <t>Verificar si corresponde registrar como PAV o regularización</t>
        </is>
      </c>
    </row>
    <row r="54">
      <c r="A54" s="8" t="inlineStr">
        <is>
          <t>PEND-F00F3DDAAD4C-A001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28/04/2026</t>
        </is>
      </c>
      <c r="E54" s="8" t="inlineStr">
        <is>
          <t>32032899</t>
        </is>
      </c>
      <c r="F54" s="8" t="inlineStr">
        <is>
          <t>CR LIQ MASTER DEB 24H</t>
        </is>
      </c>
      <c r="G54" s="8" t="inlineStr">
        <is>
          <t>Liquidación tarjeta</t>
        </is>
      </c>
      <c r="H54" s="9" t="n">
        <v>113213.34</v>
      </c>
      <c r="I54" s="9" t="inlineStr"/>
      <c r="J54" s="8" t="inlineStr">
        <is>
          <t>Liquidación tarjeta</t>
        </is>
      </c>
      <c r="K54" s="8" t="inlineStr">
        <is>
          <t>Corriente actual</t>
        </is>
      </c>
      <c r="L54" s="8" t="inlineStr"/>
      <c r="M54" s="8" t="inlineStr"/>
      <c r="N54" s="8" t="inlineStr"/>
      <c r="O54" s="8" t="inlineStr"/>
      <c r="P54" s="8" t="inlineStr"/>
      <c r="Q54" s="8" t="inlineStr">
        <is>
          <t>Ingreso bancario pendiente abierto</t>
        </is>
      </c>
      <c r="R54" s="8" t="inlineStr">
        <is>
          <t>Verificar si corresponde registrar como PAV o regularización</t>
        </is>
      </c>
    </row>
    <row r="55">
      <c r="A55" s="8" t="inlineStr">
        <is>
          <t>PEND-9E1765CB595C-A001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28/04/2026</t>
        </is>
      </c>
      <c r="E55" s="8" t="inlineStr">
        <is>
          <t>29841683</t>
        </is>
      </c>
      <c r="F55" s="8" t="inlineStr">
        <is>
          <t>CR LIQ MASTER DEB 24H</t>
        </is>
      </c>
      <c r="G55" s="8" t="inlineStr">
        <is>
          <t>Liquidación tarjeta</t>
        </is>
      </c>
      <c r="H55" s="9" t="n">
        <v>278206.92</v>
      </c>
      <c r="I55" s="9" t="inlineStr"/>
      <c r="J55" s="8" t="inlineStr">
        <is>
          <t>Liquidación tarjeta</t>
        </is>
      </c>
      <c r="K55" s="8" t="inlineStr">
        <is>
          <t>Corriente actual</t>
        </is>
      </c>
      <c r="L55" s="8" t="inlineStr"/>
      <c r="M55" s="8" t="inlineStr"/>
      <c r="N55" s="8" t="inlineStr"/>
      <c r="O55" s="8" t="inlineStr"/>
      <c r="P55" s="8" t="inlineStr"/>
      <c r="Q55" s="8" t="inlineStr">
        <is>
          <t>Ingreso bancario pendiente abierto</t>
        </is>
      </c>
      <c r="R55" s="8" t="inlineStr">
        <is>
          <t>Verificar si corresponde registrar como PAV o regularización</t>
        </is>
      </c>
    </row>
    <row r="56">
      <c r="A56" s="8" t="inlineStr">
        <is>
          <t>PEND-E110064ED00C-A001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28/04/2026</t>
        </is>
      </c>
      <c r="E56" s="8" t="inlineStr">
        <is>
          <t>29841670</t>
        </is>
      </c>
      <c r="F56" s="8" t="inlineStr">
        <is>
          <t>CR LIQ MASTER DEB 24H</t>
        </is>
      </c>
      <c r="G56" s="8" t="inlineStr">
        <is>
          <t>Liquidación tarjeta</t>
        </is>
      </c>
      <c r="H56" s="9" t="n">
        <v>114892.77</v>
      </c>
      <c r="I56" s="9" t="inlineStr"/>
      <c r="J56" s="8" t="inlineStr">
        <is>
          <t>Liquidación tarjeta</t>
        </is>
      </c>
      <c r="K56" s="8" t="inlineStr">
        <is>
          <t>Corriente actual</t>
        </is>
      </c>
      <c r="L56" s="8" t="inlineStr"/>
      <c r="M56" s="8" t="inlineStr"/>
      <c r="N56" s="8" t="inlineStr"/>
      <c r="O56" s="8" t="inlineStr"/>
      <c r="P56" s="8" t="inlineStr"/>
      <c r="Q56" s="8" t="inlineStr">
        <is>
          <t>Ingreso bancario pendiente abierto</t>
        </is>
      </c>
      <c r="R56" s="8" t="inlineStr">
        <is>
          <t>Verificar si corresponde registrar como PAV o regularización</t>
        </is>
      </c>
    </row>
    <row r="57">
      <c r="A57" s="8" t="inlineStr">
        <is>
          <t>PEND-6E0259F16F68-A001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CR LIQ MASTER DEB 24H</t>
        </is>
      </c>
      <c r="G57" s="8" t="inlineStr">
        <is>
          <t>Liquidación tarjeta</t>
        </is>
      </c>
      <c r="H57" s="9" t="n">
        <v>32085.62</v>
      </c>
      <c r="I57" s="9" t="inlineStr"/>
      <c r="J57" s="8" t="inlineStr">
        <is>
          <t>Liquidación tarjeta</t>
        </is>
      </c>
      <c r="K57" s="8" t="inlineStr">
        <is>
          <t>Corriente actual</t>
        </is>
      </c>
      <c r="L57" s="8" t="inlineStr"/>
      <c r="M57" s="8" t="inlineStr"/>
      <c r="N57" s="8" t="inlineStr"/>
      <c r="O57" s="8" t="inlineStr"/>
      <c r="P57" s="8" t="inlineStr"/>
      <c r="Q57" s="8" t="inlineStr">
        <is>
          <t>Ingreso bancario pendiente abierto</t>
        </is>
      </c>
      <c r="R57" s="8" t="inlineStr">
        <is>
          <t>Verificar si corresponde registrar como PAV o regularización</t>
        </is>
      </c>
    </row>
    <row r="58">
      <c r="A58" s="8" t="inlineStr">
        <is>
          <t>PEND-C45F103E026D-A001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28/04/2026</t>
        </is>
      </c>
      <c r="E58" s="8" t="inlineStr">
        <is>
          <t>32032899</t>
        </is>
      </c>
      <c r="F58" s="8" t="inlineStr">
        <is>
          <t>CR LIQ AMEX/MADQ FIS 24H</t>
        </is>
      </c>
      <c r="G58" s="8" t="inlineStr">
        <is>
          <t>Liquidación tarjeta</t>
        </is>
      </c>
      <c r="H58" s="9" t="n">
        <v>72828.22</v>
      </c>
      <c r="I58" s="9" t="inlineStr"/>
      <c r="J58" s="8" t="inlineStr">
        <is>
          <t>Liquidación tarjeta</t>
        </is>
      </c>
      <c r="K58" s="8" t="inlineStr">
        <is>
          <t>Corriente actual</t>
        </is>
      </c>
      <c r="L58" s="8" t="inlineStr"/>
      <c r="M58" s="8" t="inlineStr"/>
      <c r="N58" s="8" t="inlineStr"/>
      <c r="O58" s="8" t="inlineStr"/>
      <c r="P58" s="8" t="inlineStr"/>
      <c r="Q58" s="8" t="inlineStr">
        <is>
          <t>Ingreso bancario pendiente abierto</t>
        </is>
      </c>
      <c r="R58" s="8" t="inlineStr">
        <is>
          <t>Verificar si corresponde registrar como PAV o regularización</t>
        </is>
      </c>
    </row>
    <row r="59">
      <c r="A59" s="8" t="inlineStr">
        <is>
          <t>PEND-3983BDA95712-A001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28/04/2026</t>
        </is>
      </c>
      <c r="E59" s="8" t="inlineStr">
        <is>
          <t>32032899</t>
        </is>
      </c>
      <c r="F59" s="8" t="inlineStr">
        <is>
          <t>CR LIQ MASTER DEB 24H</t>
        </is>
      </c>
      <c r="G59" s="8" t="inlineStr">
        <is>
          <t>Liquidación tarjeta</t>
        </is>
      </c>
      <c r="H59" s="9" t="n">
        <v>273975.26</v>
      </c>
      <c r="I59" s="9" t="inlineStr"/>
      <c r="J59" s="8" t="inlineStr">
        <is>
          <t>Liquidación tarjeta</t>
        </is>
      </c>
      <c r="K59" s="8" t="inlineStr">
        <is>
          <t>Corriente actual</t>
        </is>
      </c>
      <c r="L59" s="8" t="inlineStr"/>
      <c r="M59" s="8" t="inlineStr"/>
      <c r="N59" s="8" t="inlineStr"/>
      <c r="O59" s="8" t="inlineStr"/>
      <c r="P59" s="8" t="inlineStr"/>
      <c r="Q59" s="8" t="inlineStr">
        <is>
          <t>Ingreso bancario pendiente abierto</t>
        </is>
      </c>
      <c r="R59" s="8" t="inlineStr">
        <is>
          <t>Verificar si corresponde registrar como PAV o regularización</t>
        </is>
      </c>
    </row>
    <row r="60">
      <c r="A60" s="8" t="inlineStr">
        <is>
          <t>PEND-D3F3847B34D3-A001</t>
        </is>
      </c>
      <c r="B60" s="8" t="inlineStr">
        <is>
          <t>ABIERTO_NUEVO</t>
        </is>
      </c>
      <c r="C60" s="8" t="inlineStr">
        <is>
          <t>Banco ingreso no Flexxus</t>
        </is>
      </c>
      <c r="D60" s="8" t="inlineStr">
        <is>
          <t>28/04/2026</t>
        </is>
      </c>
      <c r="E60" s="8" t="inlineStr">
        <is>
          <t>32032899</t>
        </is>
      </c>
      <c r="F60" s="8" t="inlineStr">
        <is>
          <t>CR LIQ MASTER DEB 24H</t>
        </is>
      </c>
      <c r="G60" s="8" t="inlineStr">
        <is>
          <t>Liquidación tarjeta</t>
        </is>
      </c>
      <c r="H60" s="9" t="n">
        <v>152029.24</v>
      </c>
      <c r="I60" s="9" t="inlineStr"/>
      <c r="J60" s="8" t="inlineStr">
        <is>
          <t>Liquidación tarjeta</t>
        </is>
      </c>
      <c r="K60" s="8" t="inlineStr">
        <is>
          <t>Corriente actual</t>
        </is>
      </c>
      <c r="L60" s="8" t="inlineStr"/>
      <c r="M60" s="8" t="inlineStr"/>
      <c r="N60" s="8" t="inlineStr"/>
      <c r="O60" s="8" t="inlineStr"/>
      <c r="P60" s="8" t="inlineStr"/>
      <c r="Q60" s="8" t="inlineStr">
        <is>
          <t>Ingreso bancario pendiente abierto</t>
        </is>
      </c>
      <c r="R60" s="8" t="inlineStr">
        <is>
          <t>Verificar si corresponde registrar como PAV o regularización</t>
        </is>
      </c>
    </row>
    <row r="61">
      <c r="A61" s="8" t="inlineStr">
        <is>
          <t>PEND-54141AD39FCF-A001</t>
        </is>
      </c>
      <c r="B61" s="8" t="inlineStr">
        <is>
          <t>ABIERTO_NUEVO</t>
        </is>
      </c>
      <c r="C61" s="8" t="inlineStr">
        <is>
          <t>Banco ingreso no Flexxus</t>
        </is>
      </c>
      <c r="D61" s="8" t="inlineStr">
        <is>
          <t>28/04/2026</t>
        </is>
      </c>
      <c r="E61" s="8" t="inlineStr">
        <is>
          <t>29841683</t>
        </is>
      </c>
      <c r="F61" s="8" t="inlineStr">
        <is>
          <t>CR LIQ MASTER DEB 24H</t>
        </is>
      </c>
      <c r="G61" s="8" t="inlineStr">
        <is>
          <t>Liquidación tarjeta</t>
        </is>
      </c>
      <c r="H61" s="9" t="n">
        <v>31694.33</v>
      </c>
      <c r="I61" s="9" t="inlineStr"/>
      <c r="J61" s="8" t="inlineStr">
        <is>
          <t>Liquidación tarjeta</t>
        </is>
      </c>
      <c r="K61" s="8" t="inlineStr">
        <is>
          <t>Corriente actual</t>
        </is>
      </c>
      <c r="L61" s="8" t="inlineStr"/>
      <c r="M61" s="8" t="inlineStr"/>
      <c r="N61" s="8" t="inlineStr"/>
      <c r="O61" s="8" t="inlineStr"/>
      <c r="P61" s="8" t="inlineStr"/>
      <c r="Q61" s="8" t="inlineStr">
        <is>
          <t>Ingreso bancario pendiente abierto</t>
        </is>
      </c>
      <c r="R61" s="8" t="inlineStr">
        <is>
          <t>Verificar si corresponde registrar como PAV o regularización</t>
        </is>
      </c>
    </row>
    <row r="62">
      <c r="A62" s="8" t="inlineStr">
        <is>
          <t>PEND-8D6801676B8B-A001</t>
        </is>
      </c>
      <c r="B62" s="8" t="inlineStr">
        <is>
          <t>ABIERTO_NUEVO</t>
        </is>
      </c>
      <c r="C62" s="8" t="inlineStr">
        <is>
          <t>Banco ingreso no Flexxus</t>
        </is>
      </c>
      <c r="D62" s="8" t="inlineStr">
        <is>
          <t>28/04/2026</t>
        </is>
      </c>
      <c r="E62" s="8" t="inlineStr">
        <is>
          <t>29841670</t>
        </is>
      </c>
      <c r="F62" s="8" t="inlineStr">
        <is>
          <t>CR LIQ MASTER DEB 24H</t>
        </is>
      </c>
      <c r="G62" s="8" t="inlineStr">
        <is>
          <t>Liquidación tarjeta</t>
        </is>
      </c>
      <c r="H62" s="9" t="n">
        <v>27194.52</v>
      </c>
      <c r="I62" s="9" t="inlineStr"/>
      <c r="J62" s="8" t="inlineStr">
        <is>
          <t>Liquidación tarjeta</t>
        </is>
      </c>
      <c r="K62" s="8" t="inlineStr">
        <is>
          <t>Corriente actual</t>
        </is>
      </c>
      <c r="L62" s="8" t="inlineStr"/>
      <c r="M62" s="8" t="inlineStr"/>
      <c r="N62" s="8" t="inlineStr"/>
      <c r="O62" s="8" t="inlineStr"/>
      <c r="P62" s="8" t="inlineStr"/>
      <c r="Q62" s="8" t="inlineStr">
        <is>
          <t>Ingreso bancario pendiente abierto</t>
        </is>
      </c>
      <c r="R62" s="8" t="inlineStr">
        <is>
          <t>Verificar si corresponde registrar como PAV o regularización</t>
        </is>
      </c>
    </row>
    <row r="63">
      <c r="A63" s="8" t="inlineStr">
        <is>
          <t>PEND-E82ABD49AB61-A001</t>
        </is>
      </c>
      <c r="B63" s="8" t="inlineStr">
        <is>
          <t>ABIERTO_NUEVO</t>
        </is>
      </c>
      <c r="C63" s="8" t="inlineStr">
        <is>
          <t>Banco ingreso no Flexxus</t>
        </is>
      </c>
      <c r="D63" s="8" t="inlineStr">
        <is>
          <t>28/04/2026</t>
        </is>
      </c>
      <c r="E63" s="8" t="inlineStr">
        <is>
          <t>32032899</t>
        </is>
      </c>
      <c r="F63" s="8" t="inlineStr">
        <is>
          <t>CR LIQ MASTERCARD 24H</t>
        </is>
      </c>
      <c r="G63" s="8" t="inlineStr">
        <is>
          <t>Liquidación tarjeta</t>
        </is>
      </c>
      <c r="H63" s="9" t="n">
        <v>59377.95</v>
      </c>
      <c r="I63" s="9" t="inlineStr"/>
      <c r="J63" s="8" t="inlineStr">
        <is>
          <t>Liquidación tarjeta</t>
        </is>
      </c>
      <c r="K63" s="8" t="inlineStr">
        <is>
          <t>Corriente actual</t>
        </is>
      </c>
      <c r="L63" s="8" t="inlineStr"/>
      <c r="M63" s="8" t="inlineStr"/>
      <c r="N63" s="8" t="inlineStr"/>
      <c r="O63" s="8" t="inlineStr"/>
      <c r="P63" s="8" t="inlineStr"/>
      <c r="Q63" s="8" t="inlineStr">
        <is>
          <t>Ingreso bancario pendiente abierto</t>
        </is>
      </c>
      <c r="R63" s="8" t="inlineStr">
        <is>
          <t>Verificar si corresponde registrar como PAV o regularización</t>
        </is>
      </c>
    </row>
    <row r="64">
      <c r="A64" s="8" t="inlineStr">
        <is>
          <t>PEND-6CBC0C8393E1-A001</t>
        </is>
      </c>
      <c r="B64" s="8" t="inlineStr">
        <is>
          <t>ABIERTO_NUEVO</t>
        </is>
      </c>
      <c r="C64" s="8" t="inlineStr">
        <is>
          <t>Banco ingreso no Flexxus</t>
        </is>
      </c>
      <c r="D64" s="8" t="inlineStr">
        <is>
          <t>28/04/2026</t>
        </is>
      </c>
      <c r="E64" s="8" t="inlineStr">
        <is>
          <t>109287</t>
        </is>
      </c>
      <c r="F64" s="8" t="inlineStr">
        <is>
          <t>CR DEBIN SPOT</t>
        </is>
      </c>
      <c r="G64" s="8" t="inlineStr">
        <is>
          <t>QR / CR DEBIN SPOT</t>
        </is>
      </c>
      <c r="H64" s="9" t="n">
        <v>13369.32</v>
      </c>
      <c r="I64" s="9" t="inlineStr"/>
      <c r="J64" s="8" t="inlineStr">
        <is>
          <t>QR / CR DEBIN SPOT</t>
        </is>
      </c>
      <c r="K64" s="8" t="inlineStr">
        <is>
          <t>Corriente actual</t>
        </is>
      </c>
      <c r="L64" s="8" t="inlineStr"/>
      <c r="M64" s="8" t="inlineStr"/>
      <c r="N64" s="8" t="inlineStr"/>
      <c r="O64" s="8" t="inlineStr"/>
      <c r="P64" s="8" t="inlineStr"/>
      <c r="Q64" s="8" t="inlineStr">
        <is>
          <t>Ingreso bancario pendiente abierto</t>
        </is>
      </c>
      <c r="R64" s="8" t="inlineStr">
        <is>
          <t>Verificar si corresponde registrar como PAV o regularización</t>
        </is>
      </c>
    </row>
    <row r="65">
      <c r="A65" s="8" t="inlineStr">
        <is>
          <t>PEND-A678FE30F568-A001</t>
        </is>
      </c>
      <c r="B65" s="8" t="inlineStr">
        <is>
          <t>ABIERTO_NUEVO</t>
        </is>
      </c>
      <c r="C65" s="8" t="inlineStr">
        <is>
          <t>Banco ingreso no Flexxus</t>
        </is>
      </c>
      <c r="D65" s="8" t="inlineStr">
        <is>
          <t>28/04/2026</t>
        </is>
      </c>
      <c r="E65" s="8" t="inlineStr">
        <is>
          <t>109286</t>
        </is>
      </c>
      <c r="F65" s="8" t="inlineStr">
        <is>
          <t>CR DEBIN SPOT</t>
        </is>
      </c>
      <c r="G65" s="8" t="inlineStr">
        <is>
          <t>QR / CR DEBIN SPOT</t>
        </is>
      </c>
      <c r="H65" s="9" t="n">
        <v>32086.37</v>
      </c>
      <c r="I65" s="9" t="inlineStr"/>
      <c r="J65" s="8" t="inlineStr">
        <is>
          <t>QR / CR DEBIN SPOT</t>
        </is>
      </c>
      <c r="K65" s="8" t="inlineStr">
        <is>
          <t>Corriente actual</t>
        </is>
      </c>
      <c r="L65" s="8" t="inlineStr"/>
      <c r="M65" s="8" t="inlineStr"/>
      <c r="N65" s="8" t="inlineStr"/>
      <c r="O65" s="8" t="inlineStr"/>
      <c r="P65" s="8" t="inlineStr"/>
      <c r="Q65" s="8" t="inlineStr">
        <is>
          <t>Ingreso bancario pendiente abierto</t>
        </is>
      </c>
      <c r="R65" s="8" t="inlineStr">
        <is>
          <t>Verificar si corresponde registrar como PAV o regularización</t>
        </is>
      </c>
    </row>
    <row r="66">
      <c r="A66" s="8" t="inlineStr">
        <is>
          <t>PEND-24EE8BE9B73C-A001</t>
        </is>
      </c>
      <c r="B66" s="8" t="inlineStr">
        <is>
          <t>ABIERTO_NUEVO</t>
        </is>
      </c>
      <c r="C66" s="8" t="inlineStr">
        <is>
          <t>Banco ingreso no Flexxus</t>
        </is>
      </c>
      <c r="D66" s="8" t="inlineStr">
        <is>
          <t>28/04/2026</t>
        </is>
      </c>
      <c r="E66" s="8" t="inlineStr">
        <is>
          <t>109241</t>
        </is>
      </c>
      <c r="F66" s="8" t="inlineStr">
        <is>
          <t>CR DEBIN SPOT - CUIT/CUIL: 30711424179</t>
        </is>
      </c>
      <c r="G66" s="8" t="inlineStr">
        <is>
          <t>QR / CR DEBIN SPOT</t>
        </is>
      </c>
      <c r="H66" s="9" t="n">
        <v>11388.68</v>
      </c>
      <c r="I66" s="9" t="inlineStr"/>
      <c r="J66" s="8" t="inlineStr">
        <is>
          <t>QR / CR DEBIN SPOT</t>
        </is>
      </c>
      <c r="K66" s="8" t="inlineStr">
        <is>
          <t>Corriente actual</t>
        </is>
      </c>
      <c r="L66" s="8" t="inlineStr"/>
      <c r="M66" s="8" t="inlineStr"/>
      <c r="N66" s="8" t="inlineStr"/>
      <c r="O66" s="8" t="inlineStr"/>
      <c r="P66" s="8" t="inlineStr"/>
      <c r="Q66" s="8" t="inlineStr">
        <is>
          <t>Ingreso bancario pendiente abierto</t>
        </is>
      </c>
      <c r="R66" s="8" t="inlineStr">
        <is>
          <t>Verificar si corresponde registrar como PAV o regularización</t>
        </is>
      </c>
    </row>
    <row r="67">
      <c r="A67" s="8" t="inlineStr">
        <is>
          <t>PEND-50634C3A94B9-A001</t>
        </is>
      </c>
      <c r="B67" s="8" t="inlineStr">
        <is>
          <t>CONTROL_CONTINUIDAD_MENOR</t>
        </is>
      </c>
      <c r="C67" s="8" t="inlineStr">
        <is>
          <t>Banco ingreso no Flexxus</t>
        </is>
      </c>
      <c r="D67" s="8" t="inlineStr">
        <is>
          <t>28/04/2026</t>
        </is>
      </c>
      <c r="E67" s="8" t="inlineStr">
        <is>
          <t>CTRL-CONTINUIDAD</t>
        </is>
      </c>
      <c r="F67" s="8" t="inlineStr">
        <is>
          <t>Diferencia técnica menor de continuidad/extracto bancario</t>
        </is>
      </c>
      <c r="G67" s="8" t="inlineStr">
        <is>
          <t>Ajuste menor redondeo/extracto</t>
        </is>
      </c>
      <c r="H67" s="9" t="n">
        <v>0.53</v>
      </c>
      <c r="I67" s="9" t="inlineStr"/>
      <c r="J67" s="8" t="inlineStr">
        <is>
          <t>Ajuste menor redondeo/extracto</t>
        </is>
      </c>
      <c r="K67" s="8" t="inlineStr">
        <is>
          <t>Control de cobertura</t>
        </is>
      </c>
      <c r="L67" s="8" t="inlineStr"/>
      <c r="M67" s="8" t="inlineStr"/>
      <c r="N67" s="8" t="inlineStr"/>
      <c r="O67" s="8" t="inlineStr"/>
      <c r="P67" s="8" t="inlineStr"/>
      <c r="Q67" s="8" t="inlineStr">
        <is>
          <t>Ingreso bancario pendiente abierto</t>
        </is>
      </c>
      <c r="R67" s="8" t="inlineStr">
        <is>
          <t>Verificar si corresponde registrar como PAV o regularización</t>
        </is>
      </c>
    </row>
  </sheetData>
  <autoFilter ref="A1:R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PEND-8555E677B1EC-A001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4062494</t>
        </is>
      </c>
      <c r="F5" s="8" t="inlineStr">
        <is>
          <t>GRAVAMEN LEY 25413 S/CRED</t>
        </is>
      </c>
      <c r="G5" s="8" t="inlineStr">
        <is>
          <t>Anticipo Ganancias Ley 25.413 créditos</t>
        </is>
      </c>
      <c r="H5" s="8" t="inlineStr">
        <is>
          <t>Anticipo Impuesto a las Ganancias</t>
        </is>
      </c>
      <c r="I5" s="9" t="n">
        <v>17011.1</v>
      </c>
      <c r="J5" s="9" t="inlineStr"/>
      <c r="K5" s="8" t="inlineStr">
        <is>
          <t>Copiar en Flexxus: Tipo=MB-EXT | Movimiento=GRAVAMEN LEY 25.413 S/CRED | Monto=17.011,10 | Fecha: 27/04/2026</t>
        </is>
      </c>
    </row>
    <row r="6">
      <c r="A6" s="8" t="inlineStr">
        <is>
          <t>PEND-34E25209BB13-A001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108845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14168.52</v>
      </c>
      <c r="J6" s="9" t="inlineStr"/>
      <c r="K6" s="8" t="inlineStr">
        <is>
          <t>Copiar en Flexxus: Tipo=MB-EXT | Movimiento=GRAVAMEN LEY 25.413 S/DEB | Monto=14.168,52 | Fecha: 27/04/2026</t>
        </is>
      </c>
    </row>
    <row r="7">
      <c r="A7" s="8" t="inlineStr">
        <is>
          <t>PEND-65BDC0BC3100-A001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INGRESOS BRUTOS MENDOZA</t>
        </is>
      </c>
      <c r="G7" s="8" t="inlineStr">
        <is>
          <t>Retención Ingresos Brutos Mendoza</t>
        </is>
      </c>
      <c r="H7" s="8" t="inlineStr">
        <is>
          <t>Retención de Ingresos Brutos</t>
        </is>
      </c>
      <c r="I7" s="9" t="n">
        <v>6476.19</v>
      </c>
      <c r="J7" s="9" t="inlineStr"/>
      <c r="K7" s="8" t="inlineStr">
        <is>
          <t>Copiar en Flexxus: Tipo=MB-EXT | Movimiento=INGRESOS BRUTOS MENDOZA | Monto=6.476,19 | Fecha: 27/04/2026</t>
        </is>
      </c>
    </row>
    <row r="8">
      <c r="A8" s="8" t="inlineStr">
        <is>
          <t>PEND-1F5C507A6C47-A001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31995644</t>
        </is>
      </c>
      <c r="F8" s="8" t="inlineStr">
        <is>
          <t>INGRESOS BRUTOS MENDOZA</t>
        </is>
      </c>
      <c r="G8" s="8" t="inlineStr">
        <is>
          <t>Retención Ingresos Brutos Mendoza</t>
        </is>
      </c>
      <c r="H8" s="8" t="inlineStr">
        <is>
          <t>Retención de Ingresos Brutos</t>
        </is>
      </c>
      <c r="I8" s="9" t="n">
        <v>4752.83</v>
      </c>
      <c r="J8" s="9" t="inlineStr"/>
      <c r="K8" s="8" t="inlineStr">
        <is>
          <t>Copiar en Flexxus: Tipo=MB-EXT | Movimiento=INGRESOS BRUTOS MENDOZA | Monto=4.752,83 | Fecha: 27/04/2026</t>
        </is>
      </c>
    </row>
    <row r="9">
      <c r="A9" s="8" t="inlineStr">
        <is>
          <t>PEND-86F3A86308BA-A001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32032899</t>
        </is>
      </c>
      <c r="F9" s="8" t="inlineStr">
        <is>
          <t>INGRESOS BRUTOS MENDOZA</t>
        </is>
      </c>
      <c r="G9" s="8" t="inlineStr">
        <is>
          <t>Retención Ingresos Brutos Mendoza</t>
        </is>
      </c>
      <c r="H9" s="8" t="inlineStr">
        <is>
          <t>Retención de Ingresos Brutos</t>
        </is>
      </c>
      <c r="I9" s="9" t="n">
        <v>4719.26</v>
      </c>
      <c r="J9" s="9" t="inlineStr"/>
      <c r="K9" s="8" t="inlineStr">
        <is>
          <t>Copiar en Flexxus: Tipo=MB-EXT | Movimiento=INGRESOS BRUTOS MENDOZA | Monto=4.719,26 | Fecha: 27/04/2026</t>
        </is>
      </c>
    </row>
    <row r="10">
      <c r="A10" s="8" t="inlineStr">
        <is>
          <t>PEND-F9A92BA97CF3-A001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4534.48</v>
      </c>
      <c r="J10" s="9" t="inlineStr"/>
      <c r="K10" s="8" t="inlineStr">
        <is>
          <t>Copiar en Flexxus: Tipo=MB-EXT | Movimiento=INGRESOS BRUTOS MENDOZA | Monto=4.534,48 | Fecha: 27/04/2026</t>
        </is>
      </c>
    </row>
    <row r="11">
      <c r="A11" s="8" t="inlineStr">
        <is>
          <t>PEND-BDD7364E0F52-A001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S/CRED</t>
        </is>
      </c>
      <c r="G11" s="8" t="inlineStr">
        <is>
          <t>Anticipo Ganancias Ley 25.413 créditos</t>
        </is>
      </c>
      <c r="H11" s="8" t="inlineStr">
        <is>
          <t>Anticipo Impuesto a las Ganancias</t>
        </is>
      </c>
      <c r="I11" s="9" t="n">
        <v>3885.71</v>
      </c>
      <c r="J11" s="9" t="inlineStr"/>
      <c r="K11" s="8" t="inlineStr">
        <is>
          <t>Copiar en Flexxus: Tipo=MB-EXT | Movimiento=GRAVAMEN LEY 25.413 S/CRED | Monto=3.885,71 | Fecha: 27/04/2026</t>
        </is>
      </c>
    </row>
    <row r="12">
      <c r="A12" s="8" t="inlineStr">
        <is>
          <t>PEND-36F565BEFD07-A001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31995644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3596.85</v>
      </c>
      <c r="J12" s="9" t="inlineStr"/>
      <c r="K12" s="8" t="inlineStr">
        <is>
          <t>Copiar en Flexxus: Tipo=MB-EXT | Movimiento=INGRESOS BRUTOS MENDOZA | Monto=3.596,85 | Fecha: 27/04/2026</t>
        </is>
      </c>
    </row>
    <row r="13">
      <c r="A13" s="8" t="inlineStr">
        <is>
          <t>PEND-7C35AF9D68C3-A001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32032899</t>
        </is>
      </c>
      <c r="F13" s="8" t="inlineStr">
        <is>
          <t>INGRESOS BRUTOS MENDOZA</t>
        </is>
      </c>
      <c r="G13" s="8" t="inlineStr">
        <is>
          <t>Retención Ingresos Brutos Mendoza</t>
        </is>
      </c>
      <c r="H13" s="8" t="inlineStr">
        <is>
          <t>Retención de Ingresos Brutos</t>
        </is>
      </c>
      <c r="I13" s="9" t="n">
        <v>2952.59</v>
      </c>
      <c r="J13" s="9" t="inlineStr"/>
      <c r="K13" s="8" t="inlineStr">
        <is>
          <t>Copiar en Flexxus: Tipo=MB-EXT | Movimiento=INGRESOS BRUTOS MENDOZA | Monto=2.952,59 | Fecha: 27/04/2026</t>
        </is>
      </c>
    </row>
    <row r="14">
      <c r="A14" s="8" t="inlineStr">
        <is>
          <t>PEND-FEB05AECAA90-A001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31995644</t>
        </is>
      </c>
      <c r="F14" s="8" t="inlineStr">
        <is>
          <t>GRAVAMEN LEY 25413 S/CRED</t>
        </is>
      </c>
      <c r="G14" s="8" t="inlineStr">
        <is>
          <t>Anticipo Ganancias Ley 25.413 créditos</t>
        </is>
      </c>
      <c r="H14" s="8" t="inlineStr">
        <is>
          <t>Anticipo Impuesto a las Ganancias</t>
        </is>
      </c>
      <c r="I14" s="9" t="n">
        <v>2851.7</v>
      </c>
      <c r="J14" s="9" t="inlineStr"/>
      <c r="K14" s="8" t="inlineStr">
        <is>
          <t>Copiar en Flexxus: Tipo=MB-EXT | Movimiento=GRAVAMEN LEY 25.413 S/CRED | Monto=2.851,70 | Fecha: 27/04/2026</t>
        </is>
      </c>
    </row>
    <row r="15">
      <c r="A15" s="8" t="inlineStr">
        <is>
          <t>PEND-5A3416E423AD-A001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32032899</t>
        </is>
      </c>
      <c r="F15" s="8" t="inlineStr">
        <is>
          <t>GRAVAMEN LEY 25413 S/CRED</t>
        </is>
      </c>
      <c r="G15" s="8" t="inlineStr">
        <is>
          <t>Anticipo Ganancias Ley 25.413 créditos</t>
        </is>
      </c>
      <c r="H15" s="8" t="inlineStr">
        <is>
          <t>Anticipo Impuesto a las Ganancias</t>
        </is>
      </c>
      <c r="I15" s="9" t="n">
        <v>2831.56</v>
      </c>
      <c r="J15" s="9" t="inlineStr"/>
      <c r="K15" s="8" t="inlineStr">
        <is>
          <t>Copiar en Flexxus: Tipo=MB-EXT | Movimiento=GRAVAMEN LEY 25.413 S/CRED | Monto=2.831,56 | Fecha: 27/04/2026</t>
        </is>
      </c>
    </row>
    <row r="16">
      <c r="A16" s="8" t="inlineStr">
        <is>
          <t>PEND-489F28015531-A001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S/CRED</t>
        </is>
      </c>
      <c r="G16" s="8" t="inlineStr">
        <is>
          <t>Anticipo Ganancias Ley 25.413 créditos</t>
        </is>
      </c>
      <c r="H16" s="8" t="inlineStr">
        <is>
          <t>Anticipo Impuesto a las Ganancias</t>
        </is>
      </c>
      <c r="I16" s="9" t="n">
        <v>2720.69</v>
      </c>
      <c r="J16" s="9" t="inlineStr"/>
      <c r="K16" s="8" t="inlineStr">
        <is>
          <t>Copiar en Flexxus: Tipo=MB-EXT | Movimiento=GRAVAMEN LEY 25.413 S/CRED | Monto=2.720,69 | Fecha: 27/04/2026</t>
        </is>
      </c>
    </row>
    <row r="17">
      <c r="A17" s="8" t="inlineStr">
        <is>
          <t>PEND-45CC5877C6D6-A001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2158.11</v>
      </c>
      <c r="J17" s="9" t="inlineStr"/>
      <c r="K17" s="8" t="inlineStr">
        <is>
          <t>Copiar en Flexxus: Tipo=MB-EXT | Movimiento=GRAVAMEN LEY 25.413 S/CRED | Monto=2.158,11 | Fecha: 27/04/2026</t>
        </is>
      </c>
    </row>
    <row r="18">
      <c r="A18" s="8" t="inlineStr">
        <is>
          <t>PEND-B270EFDE0D7A-A001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1915.54</v>
      </c>
      <c r="J18" s="9" t="inlineStr"/>
      <c r="K18" s="8" t="inlineStr">
        <is>
          <t>Copiar en Flexxus: Tipo=MB-EXT | Movimiento=INGRESOS BRUTOS MENDOZA | Monto=1.915,54 | Fecha: 27/04/2026</t>
        </is>
      </c>
    </row>
    <row r="19">
      <c r="A19" s="8" t="inlineStr">
        <is>
          <t>PEND-FD37153FEDFE-A001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S/CRED</t>
        </is>
      </c>
      <c r="G19" s="8" t="inlineStr">
        <is>
          <t>Anticipo Ganancias Ley 25.413 créditos</t>
        </is>
      </c>
      <c r="H19" s="8" t="inlineStr">
        <is>
          <t>Anticipo Impuesto a las Ganancias</t>
        </is>
      </c>
      <c r="I19" s="9" t="n">
        <v>1771.56</v>
      </c>
      <c r="J19" s="9" t="inlineStr"/>
      <c r="K19" s="8" t="inlineStr">
        <is>
          <t>Copiar en Flexxus: Tipo=MB-EXT | Movimiento=GRAVAMEN LEY 25.413 S/CRED | Monto=1.771,56 | Fecha: 27/04/2026</t>
        </is>
      </c>
    </row>
    <row r="20">
      <c r="A20" s="8" t="inlineStr">
        <is>
          <t>PEND-3D1B794D5BEB-A001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1549.62</v>
      </c>
      <c r="J20" s="9" t="inlineStr"/>
      <c r="K20" s="8" t="inlineStr">
        <is>
          <t>Copiar en Flexxus: Tipo=MB-EXT | Movimiento=INGRESOS BRUTOS MENDOZA | Monto=1.549,62 | Fecha: 27/04/2026</t>
        </is>
      </c>
    </row>
    <row r="21">
      <c r="A21" s="8" t="inlineStr">
        <is>
          <t>PEND-AA0A7F36A389-A001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108756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1494.39</v>
      </c>
      <c r="J21" s="9" t="inlineStr"/>
      <c r="K21" s="8" t="inlineStr">
        <is>
          <t>Copiar en Flexxus: Tipo=MB-EXT | Movimiento=INGRESOS BRUTOS MENDOZA | Monto=1.494,39 | Fecha: 27/04/2026</t>
        </is>
      </c>
    </row>
    <row r="22">
      <c r="A22" s="8" t="inlineStr">
        <is>
          <t>PEND-B28FC5C0CD27-A001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1401.99</v>
      </c>
      <c r="J22" s="9" t="inlineStr"/>
      <c r="K22" s="8" t="inlineStr">
        <is>
          <t>Copiar en Flexxus: Tipo=MB-EXT | Movimiento=INGRESOS BRUTOS MENDOZA | Monto=1.401,99 | Fecha: 27/04/2026</t>
        </is>
      </c>
    </row>
    <row r="23">
      <c r="A23" s="8" t="inlineStr">
        <is>
          <t>PEND-8DCB46EF0BAF-A001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29841642</t>
        </is>
      </c>
      <c r="F23" s="8" t="inlineStr">
        <is>
          <t>INGRESOS BRUTOS MENDOZA</t>
        </is>
      </c>
      <c r="G23" s="8" t="inlineStr">
        <is>
          <t>Retención Ingresos Brutos Mendoza</t>
        </is>
      </c>
      <c r="H23" s="8" t="inlineStr">
        <is>
          <t>Retención de Ingresos Brutos</t>
        </is>
      </c>
      <c r="I23" s="9" t="n">
        <v>1332.68</v>
      </c>
      <c r="J23" s="9" t="inlineStr"/>
      <c r="K23" s="8" t="inlineStr">
        <is>
          <t>Copiar en Flexxus: Tipo=MB-EXT | Movimiento=INGRESOS BRUTOS MENDOZA | Monto=1.332,68 | Fecha: 27/04/2026</t>
        </is>
      </c>
    </row>
    <row r="24">
      <c r="A24" s="8" t="inlineStr">
        <is>
          <t>PEND-6BEB4ED59945-A001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32032899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1255.34</v>
      </c>
      <c r="J24" s="9" t="inlineStr"/>
      <c r="K24" s="8" t="inlineStr">
        <is>
          <t>Copiar en Flexxus: Tipo=MB-EXT | Movimiento=INGRESOS BRUTOS MENDOZA | Monto=1.255,34 | Fecha: 27/04/2026</t>
        </is>
      </c>
    </row>
    <row r="25">
      <c r="A25" s="8" t="inlineStr">
        <is>
          <t>PEND-9048D4E25C5F-A001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108793</t>
        </is>
      </c>
      <c r="F25" s="8" t="inlineStr">
        <is>
          <t>INGRESOS BRUTOS MENDOZA</t>
        </is>
      </c>
      <c r="G25" s="8" t="inlineStr">
        <is>
          <t>Retención Ingresos Brutos Mendoza</t>
        </is>
      </c>
      <c r="H25" s="8" t="inlineStr">
        <is>
          <t>Retención de Ingresos Brutos</t>
        </is>
      </c>
      <c r="I25" s="9" t="n">
        <v>1214.13</v>
      </c>
      <c r="J25" s="9" t="inlineStr"/>
      <c r="K25" s="8" t="inlineStr">
        <is>
          <t>Copiar en Flexxus: Tipo=MB-EXT | Movimiento=INGRESOS BRUTOS MENDOZA | Monto=1.214,13 | Fecha: 27/04/2026</t>
        </is>
      </c>
    </row>
    <row r="26">
      <c r="A26" s="8" t="inlineStr">
        <is>
          <t>PEND-121FAEF48C78-A001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INGRESOS BRUTOS MENDOZA</t>
        </is>
      </c>
      <c r="G26" s="8" t="inlineStr">
        <is>
          <t>Retención Ingresos Brutos Mendoza</t>
        </is>
      </c>
      <c r="H26" s="8" t="inlineStr">
        <is>
          <t>Retención de Ingresos Brutos</t>
        </is>
      </c>
      <c r="I26" s="9" t="n">
        <v>1160.78</v>
      </c>
      <c r="J26" s="9" t="inlineStr"/>
      <c r="K26" s="8" t="inlineStr">
        <is>
          <t>Copiar en Flexxus: Tipo=MB-EXT | Movimiento=INGRESOS BRUTOS MENDOZA | Monto=1.160,78 | Fecha: 27/04/2026</t>
        </is>
      </c>
    </row>
    <row r="27">
      <c r="A27" s="8" t="inlineStr">
        <is>
          <t>PEND-3064D82744E6-A001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32032899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1149.32</v>
      </c>
      <c r="J27" s="9" t="inlineStr"/>
      <c r="K27" s="8" t="inlineStr">
        <is>
          <t>Copiar en Flexxus: Tipo=MB-EXT | Movimiento=GRAVAMEN LEY 25.413 S/CRED | Monto=1.149,32 | Fecha: 27/04/2026</t>
        </is>
      </c>
    </row>
    <row r="28">
      <c r="A28" s="8" t="inlineStr">
        <is>
          <t>PEND-A467979A5D06-A001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108754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1136.89</v>
      </c>
      <c r="J28" s="9" t="inlineStr"/>
      <c r="K28" s="8" t="inlineStr">
        <is>
          <t>Copiar en Flexxus: Tipo=MB-EXT | Movimiento=INGRESOS BRUTOS MENDOZA | Monto=1.136,89 | Fecha: 27/04/2026</t>
        </is>
      </c>
    </row>
    <row r="29">
      <c r="A29" s="8" t="inlineStr">
        <is>
          <t>PEND-A4BA08948AF1-A001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INGRESOS BRUTOS MENDOZA</t>
        </is>
      </c>
      <c r="G29" s="8" t="inlineStr">
        <is>
          <t>Retención Ingresos Brutos Mendoza</t>
        </is>
      </c>
      <c r="H29" s="8" t="inlineStr">
        <is>
          <t>Retención de Ingresos Brutos</t>
        </is>
      </c>
      <c r="I29" s="9" t="n">
        <v>1100.54</v>
      </c>
      <c r="J29" s="9" t="inlineStr"/>
      <c r="K29" s="8" t="inlineStr">
        <is>
          <t>Copiar en Flexxus: Tipo=MB-EXT | Movimiento=INGRESOS BRUTOS MENDOZA | Monto=1.100,54 | Fecha: 27/04/2026</t>
        </is>
      </c>
    </row>
    <row r="30">
      <c r="A30" s="8" t="inlineStr">
        <is>
          <t>PEND-31B7B48BE405-A001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108762</t>
        </is>
      </c>
      <c r="F30" s="8" t="inlineStr">
        <is>
          <t>INGRESOS BRUTOS MENDOZA</t>
        </is>
      </c>
      <c r="G30" s="8" t="inlineStr">
        <is>
          <t>Retención Ingresos Brutos Mendoza</t>
        </is>
      </c>
      <c r="H30" s="8" t="inlineStr">
        <is>
          <t>Retención de Ingresos Brutos</t>
        </is>
      </c>
      <c r="I30" s="9" t="n">
        <v>1093.31</v>
      </c>
      <c r="J30" s="9" t="inlineStr"/>
      <c r="K30" s="8" t="inlineStr">
        <is>
          <t>Copiar en Flexxus: Tipo=MB-EXT | Movimiento=INGRESOS BRUTOS MENDOZA | Monto=1.093,31 | Fecha: 27/04/2026</t>
        </is>
      </c>
    </row>
    <row r="31">
      <c r="A31" s="8" t="inlineStr">
        <is>
          <t>PEND-1151C052366F-A001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108785</t>
        </is>
      </c>
      <c r="F31" s="8" t="inlineStr">
        <is>
          <t>INGRESOS BRUTOS MENDOZA</t>
        </is>
      </c>
      <c r="G31" s="8" t="inlineStr">
        <is>
          <t>Retención Ingresos Brutos Mendoza</t>
        </is>
      </c>
      <c r="H31" s="8" t="inlineStr">
        <is>
          <t>Retención de Ingresos Brutos</t>
        </is>
      </c>
      <c r="I31" s="9" t="n">
        <v>1066.08</v>
      </c>
      <c r="J31" s="9" t="inlineStr"/>
      <c r="K31" s="8" t="inlineStr">
        <is>
          <t>Copiar en Flexxus: Tipo=MB-EXT | Movimiento=INGRESOS BRUTOS MENDOZA | Monto=1.066,08 | Fecha: 27/04/2026</t>
        </is>
      </c>
    </row>
    <row r="32">
      <c r="A32" s="8" t="inlineStr">
        <is>
          <t>PEND-716CC2B1C407-A001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31995644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988</v>
      </c>
      <c r="J32" s="9" t="inlineStr"/>
      <c r="K32" s="8" t="inlineStr">
        <is>
          <t>Copiar en Flexxus: Tipo=MB-EXT | Movimiento=INGRESOS BRUTOS MENDOZA | Monto=988,00 | Fecha: 27/04/2026</t>
        </is>
      </c>
    </row>
    <row r="33">
      <c r="A33" s="8" t="inlineStr">
        <is>
          <t>PEND-C0BE3804D45E-A001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108879</t>
        </is>
      </c>
      <c r="F33" s="8" t="inlineStr">
        <is>
          <t>COM TRANSFE ELECTRONICA</t>
        </is>
      </c>
      <c r="G33" s="8" t="inlineStr">
        <is>
          <t>Gasto bancario / comisión</t>
        </is>
      </c>
      <c r="H33" s="8" t="inlineStr">
        <is>
          <t>Revisar según concepto</t>
        </is>
      </c>
      <c r="I33" s="9" t="n">
        <v>956</v>
      </c>
      <c r="J33" s="9" t="inlineStr"/>
      <c r="K33" s="8" t="inlineStr">
        <is>
          <t>Copiar en Flexxus: Tipo=MB-EXT | Movimiento=COM TRANSFE ELECTRONICA | Monto=956,00 | Fecha: 27/04/2026</t>
        </is>
      </c>
    </row>
    <row r="34">
      <c r="A34" s="8" t="inlineStr">
        <is>
          <t>PEND-69A82E551F09-A001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108818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940.8</v>
      </c>
      <c r="J34" s="9" t="inlineStr"/>
      <c r="K34" s="8" t="inlineStr">
        <is>
          <t>Copiar en Flexxus: Tipo=MB-EXT | Movimiento=INGRESOS BRUTOS MENDOZA | Monto=940,80 | Fecha: 27/04/2026</t>
        </is>
      </c>
    </row>
    <row r="35">
      <c r="A35" s="8" t="inlineStr">
        <is>
          <t>PEND-251E5E4D397C-A001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929.77</v>
      </c>
      <c r="J35" s="9" t="inlineStr"/>
      <c r="K35" s="8" t="inlineStr">
        <is>
          <t>Copiar en Flexxus: Tipo=MB-EXT | Movimiento=GRAVAMEN LEY 25.413 S/CRED | Monto=929,77 | Fecha: 27/04/2026</t>
        </is>
      </c>
    </row>
    <row r="36">
      <c r="A36" s="8" t="inlineStr">
        <is>
          <t>PEND-12F1867F83B4-A001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108756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896.64</v>
      </c>
      <c r="J36" s="9" t="inlineStr"/>
      <c r="K36" s="8" t="inlineStr">
        <is>
          <t>Copiar en Flexxus: Tipo=MB-EXT | Movimiento=GRAVAMEN LEY 25.413 S/CRED | Monto=896,64 | Fecha: 27/04/2026</t>
        </is>
      </c>
    </row>
    <row r="37">
      <c r="A37" s="8" t="inlineStr">
        <is>
          <t>PEND-4371F32E2994-A001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29841683</t>
        </is>
      </c>
      <c r="F37" s="8" t="inlineStr">
        <is>
          <t>INGRESOS BRUTOS MENDOZA</t>
        </is>
      </c>
      <c r="G37" s="8" t="inlineStr">
        <is>
          <t>Retención Ingresos Brutos Mendoza</t>
        </is>
      </c>
      <c r="H37" s="8" t="inlineStr">
        <is>
          <t>Retención de Ingresos Brutos</t>
        </is>
      </c>
      <c r="I37" s="9" t="n">
        <v>853.55</v>
      </c>
      <c r="J37" s="9" t="inlineStr"/>
      <c r="K37" s="8" t="inlineStr">
        <is>
          <t>Copiar en Flexxus: Tipo=MB-EXT | Movimiento=INGRESOS BRUTOS MENDOZA | Monto=853,55 | Fecha: 27/04/2026</t>
        </is>
      </c>
    </row>
    <row r="38">
      <c r="A38" s="8" t="inlineStr">
        <is>
          <t>PEND-0C3CB0846A87-A001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108795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843.75</v>
      </c>
      <c r="J38" s="9" t="inlineStr"/>
      <c r="K38" s="8" t="inlineStr">
        <is>
          <t>Copiar en Flexxus: Tipo=MB-EXT | Movimiento=INGRESOS BRUTOS MENDOZA | Monto=843,75 | Fecha: 27/04/2026</t>
        </is>
      </c>
    </row>
    <row r="39">
      <c r="A39" s="8" t="inlineStr">
        <is>
          <t>PEND-2E71722CC149-A001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841.2</v>
      </c>
      <c r="J39" s="9" t="inlineStr"/>
      <c r="K39" s="8" t="inlineStr">
        <is>
          <t>Copiar en Flexxus: Tipo=MB-EXT | Movimiento=GRAVAMEN LEY 25.413 S/CRED | Monto=841,20 | Fecha: 27/04/2026</t>
        </is>
      </c>
    </row>
    <row r="40">
      <c r="A40" s="8" t="inlineStr">
        <is>
          <t>PEND-1359B011B8A2-A001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29841642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799.61</v>
      </c>
      <c r="J40" s="9" t="inlineStr"/>
      <c r="K40" s="8" t="inlineStr">
        <is>
          <t>Copiar en Flexxus: Tipo=MB-EXT | Movimiento=GRAVAMEN LEY 25.413 S/CRED | Monto=799,61 | Fecha: 27/04/2026</t>
        </is>
      </c>
    </row>
    <row r="41">
      <c r="A41" s="8" t="inlineStr">
        <is>
          <t>PEND-DBD0D10B5BC0-A001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108821</t>
        </is>
      </c>
      <c r="F41" s="8" t="inlineStr">
        <is>
          <t>INGRESOS BRUTOS MENDOZA</t>
        </is>
      </c>
      <c r="G41" s="8" t="inlineStr">
        <is>
          <t>Retención Ingresos Brutos Mendoza</t>
        </is>
      </c>
      <c r="H41" s="8" t="inlineStr">
        <is>
          <t>Retención de Ingresos Brutos</t>
        </is>
      </c>
      <c r="I41" s="9" t="n">
        <v>797.21</v>
      </c>
      <c r="J41" s="9" t="inlineStr"/>
      <c r="K41" s="8" t="inlineStr">
        <is>
          <t>Copiar en Flexxus: Tipo=MB-EXT | Movimiento=INGRESOS BRUTOS MENDOZA | Monto=797,21 | Fecha: 27/04/2026</t>
        </is>
      </c>
    </row>
    <row r="42">
      <c r="A42" s="8" t="inlineStr">
        <is>
          <t>PEND-E0BCEBC2BD36-A001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108796</t>
        </is>
      </c>
      <c r="F42" s="8" t="inlineStr">
        <is>
          <t>INGRESOS BRUTOS MENDOZA</t>
        </is>
      </c>
      <c r="G42" s="8" t="inlineStr">
        <is>
          <t>Retención Ingresos Brutos Mendoza</t>
        </is>
      </c>
      <c r="H42" s="8" t="inlineStr">
        <is>
          <t>Retención de Ingresos Brutos</t>
        </is>
      </c>
      <c r="I42" s="9" t="n">
        <v>780.37</v>
      </c>
      <c r="J42" s="9" t="inlineStr"/>
      <c r="K42" s="8" t="inlineStr">
        <is>
          <t>Copiar en Flexxus: Tipo=MB-EXT | Movimiento=INGRESOS BRUTOS MENDOZA | Monto=780,37 | Fecha: 27/04/2026</t>
        </is>
      </c>
    </row>
    <row r="43">
      <c r="A43" s="8" t="inlineStr">
        <is>
          <t>PEND-9B5E83A4A3D8-A001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108810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757.59</v>
      </c>
      <c r="J43" s="9" t="inlineStr"/>
      <c r="K43" s="8" t="inlineStr">
        <is>
          <t>Copiar en Flexxus: Tipo=MB-EXT | Movimiento=INGRESOS BRUTOS MENDOZA | Monto=757,59 | Fecha: 27/04/2026</t>
        </is>
      </c>
    </row>
    <row r="44">
      <c r="A44" s="8" t="inlineStr">
        <is>
          <t>PEND-C97AEB341046-A001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108774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755.61</v>
      </c>
      <c r="J44" s="9" t="inlineStr"/>
      <c r="K44" s="8" t="inlineStr">
        <is>
          <t>Copiar en Flexxus: Tipo=MB-EXT | Movimiento=INGRESOS BRUTOS MENDOZA | Monto=755,61 | Fecha: 27/04/2026</t>
        </is>
      </c>
    </row>
    <row r="45">
      <c r="A45" s="8" t="inlineStr">
        <is>
          <t>PEND-A301FE377910-A001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32032899</t>
        </is>
      </c>
      <c r="F45" s="8" t="inlineStr">
        <is>
          <t>GRAVAMEN LEY 25413 S/CRED</t>
        </is>
      </c>
      <c r="G45" s="8" t="inlineStr">
        <is>
          <t>Anticipo Ganancias Ley 25.413 créditos</t>
        </is>
      </c>
      <c r="H45" s="8" t="inlineStr">
        <is>
          <t>Anticipo Impuesto a las Ganancias</t>
        </is>
      </c>
      <c r="I45" s="9" t="n">
        <v>753.2</v>
      </c>
      <c r="J45" s="9" t="inlineStr"/>
      <c r="K45" s="8" t="inlineStr">
        <is>
          <t>Copiar en Flexxus: Tipo=MB-EXT | Movimiento=GRAVAMEN LEY 25.413 S/CRED | Monto=753,20 | Fecha: 27/04/2026</t>
        </is>
      </c>
    </row>
    <row r="46">
      <c r="A46" s="8" t="inlineStr">
        <is>
          <t>PEND-9080D001461B-A001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108784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728.88</v>
      </c>
      <c r="J46" s="9" t="inlineStr"/>
      <c r="K46" s="8" t="inlineStr">
        <is>
          <t>Copiar en Flexxus: Tipo=MB-EXT | Movimiento=INGRESOS BRUTOS MENDOZA | Monto=728,88 | Fecha: 27/04/2026</t>
        </is>
      </c>
    </row>
    <row r="47">
      <c r="A47" s="8" t="inlineStr">
        <is>
          <t>PEND-4D4C387896D1-A001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108793</t>
        </is>
      </c>
      <c r="F47" s="8" t="inlineStr">
        <is>
          <t>GRAVAMEN LEY 25413 S/CRED</t>
        </is>
      </c>
      <c r="G47" s="8" t="inlineStr">
        <is>
          <t>Anticipo Ganancias Ley 25.413 créditos</t>
        </is>
      </c>
      <c r="H47" s="8" t="inlineStr">
        <is>
          <t>Anticipo Impuesto a las Ganancias</t>
        </is>
      </c>
      <c r="I47" s="9" t="n">
        <v>728.48</v>
      </c>
      <c r="J47" s="9" t="inlineStr"/>
      <c r="K47" s="8" t="inlineStr">
        <is>
          <t>Copiar en Flexxus: Tipo=MB-EXT | Movimiento=GRAVAMEN LEY 25.413 S/CRED | Monto=728,48 | Fecha: 27/04/2026</t>
        </is>
      </c>
    </row>
    <row r="48">
      <c r="A48" s="8" t="inlineStr">
        <is>
          <t>PEND-4AC1B46BA46B-A001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108827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699.17</v>
      </c>
      <c r="J48" s="9" t="inlineStr"/>
      <c r="K48" s="8" t="inlineStr">
        <is>
          <t>Copiar en Flexxus: Tipo=MB-EXT | Movimiento=INGRESOS BRUTOS MENDOZA | Monto=699,17 | Fecha: 27/04/2026</t>
        </is>
      </c>
    </row>
    <row r="49">
      <c r="A49" s="8" t="inlineStr">
        <is>
          <t>PEND-AF49E2824407-A001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29841670</t>
        </is>
      </c>
      <c r="F49" s="8" t="inlineStr">
        <is>
          <t>GRAVAMEN LEY 25413 S/CRED</t>
        </is>
      </c>
      <c r="G49" s="8" t="inlineStr">
        <is>
          <t>Anticipo Ganancias Ley 25.413 créditos</t>
        </is>
      </c>
      <c r="H49" s="8" t="inlineStr">
        <is>
          <t>Anticipo Impuesto a las Ganancias</t>
        </is>
      </c>
      <c r="I49" s="9" t="n">
        <v>696.47</v>
      </c>
      <c r="J49" s="9" t="inlineStr"/>
      <c r="K49" s="8" t="inlineStr">
        <is>
          <t>Copiar en Flexxus: Tipo=MB-EXT | Movimiento=GRAVAMEN LEY 25.413 S/CRED | Monto=696,47 | Fecha: 27/04/2026</t>
        </is>
      </c>
    </row>
    <row r="50">
      <c r="A50" s="8" t="inlineStr">
        <is>
          <t>PEND-04DDE48430C6-A001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108838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695.2</v>
      </c>
      <c r="J50" s="9" t="inlineStr"/>
      <c r="K50" s="8" t="inlineStr">
        <is>
          <t>Copiar en Flexxus: Tipo=MB-EXT | Movimiento=INGRESOS BRUTOS MENDOZA | Monto=695,20 | Fecha: 27/04/2026</t>
        </is>
      </c>
    </row>
    <row r="51">
      <c r="A51" s="8" t="inlineStr">
        <is>
          <t>PEND-CD20F5E195F6-A001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29841670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688.67</v>
      </c>
      <c r="J51" s="9" t="inlineStr"/>
      <c r="K51" s="8" t="inlineStr">
        <is>
          <t>Copiar en Flexxus: Tipo=MB-EXT | Movimiento=INGRESOS BRUTOS MENDOZA | Monto=688,67 | Fecha: 27/04/2026</t>
        </is>
      </c>
    </row>
    <row r="52">
      <c r="A52" s="8" t="inlineStr">
        <is>
          <t>PEND-54B0008E4E43-A001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108754</t>
        </is>
      </c>
      <c r="F52" s="8" t="inlineStr">
        <is>
          <t>GRAVAMEN LEY 25413 S/CRED</t>
        </is>
      </c>
      <c r="G52" s="8" t="inlineStr">
        <is>
          <t>Anticipo Ganancias Ley 25.413 créditos</t>
        </is>
      </c>
      <c r="H52" s="8" t="inlineStr">
        <is>
          <t>Anticipo Impuesto a las Ganancias</t>
        </is>
      </c>
      <c r="I52" s="9" t="n">
        <v>682.13</v>
      </c>
      <c r="J52" s="9" t="inlineStr"/>
      <c r="K52" s="8" t="inlineStr">
        <is>
          <t>Copiar en Flexxus: Tipo=MB-EXT | Movimiento=GRAVAMEN LEY 25.413 S/CRED | Monto=682,13 | Fecha: 27/04/2026</t>
        </is>
      </c>
    </row>
    <row r="53">
      <c r="A53" s="8" t="inlineStr">
        <is>
          <t>PEND-3FBD5226A65D-A001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108840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670.45</v>
      </c>
      <c r="J53" s="9" t="inlineStr"/>
      <c r="K53" s="8" t="inlineStr">
        <is>
          <t>Copiar en Flexxus: Tipo=MB-EXT | Movimiento=INGRESOS BRUTOS MENDOZA | Monto=670,45 | Fecha: 27/04/2026</t>
        </is>
      </c>
    </row>
    <row r="54">
      <c r="A54" s="8" t="inlineStr">
        <is>
          <t>PEND-623DD4F6F6DE-A001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31995644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660.33</v>
      </c>
      <c r="J54" s="9" t="inlineStr"/>
      <c r="K54" s="8" t="inlineStr">
        <is>
          <t>Copiar en Flexxus: Tipo=MB-EXT | Movimiento=GRAVAMEN LEY 25.413 S/CRED | Monto=660,33 | Fecha: 27/04/2026</t>
        </is>
      </c>
    </row>
    <row r="55">
      <c r="A55" s="8" t="inlineStr">
        <is>
          <t>PEND-B0D9BECD84B2-A001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108780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659.55</v>
      </c>
      <c r="J55" s="9" t="inlineStr"/>
      <c r="K55" s="8" t="inlineStr">
        <is>
          <t>Copiar en Flexxus: Tipo=MB-EXT | Movimiento=INGRESOS BRUTOS MENDOZA | Monto=659,55 | Fecha: 27/04/2026</t>
        </is>
      </c>
    </row>
    <row r="56">
      <c r="A56" s="8" t="inlineStr">
        <is>
          <t>PEND-155978B972C0-A001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108762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655.99</v>
      </c>
      <c r="J56" s="9" t="inlineStr"/>
      <c r="K56" s="8" t="inlineStr">
        <is>
          <t>Copiar en Flexxus: Tipo=MB-EXT | Movimiento=GRAVAMEN LEY 25.413 S/CRED | Monto=655,99 | Fecha: 27/04/2026</t>
        </is>
      </c>
    </row>
    <row r="57">
      <c r="A57" s="8" t="inlineStr">
        <is>
          <t>PEND-5118E17FE8B8-A001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108837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645.6900000000001</v>
      </c>
      <c r="J57" s="9" t="inlineStr"/>
      <c r="K57" s="8" t="inlineStr">
        <is>
          <t>Copiar en Flexxus: Tipo=MB-EXT | Movimiento=INGRESOS BRUTOS MENDOZA | Monto=645,69 | Fecha: 27/04/2026</t>
        </is>
      </c>
    </row>
    <row r="58">
      <c r="A58" s="8" t="inlineStr">
        <is>
          <t>PEND-45F9A18014BE-A001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108785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639.65</v>
      </c>
      <c r="J58" s="9" t="inlineStr"/>
      <c r="K58" s="8" t="inlineStr">
        <is>
          <t>Copiar en Flexxus: Tipo=MB-EXT | Movimiento=GRAVAMEN LEY 25.413 S/CRED | Monto=639,65 | Fecha: 27/04/2026</t>
        </is>
      </c>
    </row>
    <row r="59">
      <c r="A59" s="8" t="inlineStr">
        <is>
          <t>PEND-A1598A0AF5FE-A001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108782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630.83</v>
      </c>
      <c r="J59" s="9" t="inlineStr"/>
      <c r="K59" s="8" t="inlineStr">
        <is>
          <t>Copiar en Flexxus: Tipo=MB-EXT | Movimiento=INGRESOS BRUTOS MENDOZA | Monto=630,83 | Fecha: 27/04/2026</t>
        </is>
      </c>
    </row>
    <row r="60">
      <c r="A60" s="8" t="inlineStr">
        <is>
          <t>PEND-014C3176583B-A001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108775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626.87</v>
      </c>
      <c r="J60" s="9" t="inlineStr"/>
      <c r="K60" s="8" t="inlineStr">
        <is>
          <t>Copiar en Flexxus: Tipo=MB-EXT | Movimiento=INGRESOS BRUTOS MENDOZA | Monto=626,87 | Fecha: 27/04/2026</t>
        </is>
      </c>
    </row>
    <row r="61">
      <c r="A61" s="8" t="inlineStr">
        <is>
          <t>PEND-C12F99FD0D84-A001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108807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609.05</v>
      </c>
      <c r="J61" s="9" t="inlineStr"/>
      <c r="K61" s="8" t="inlineStr">
        <is>
          <t>Copiar en Flexxus: Tipo=MB-EXT | Movimiento=INGRESOS BRUTOS MENDOZA | Monto=609,05 | Fecha: 27/04/2026</t>
        </is>
      </c>
    </row>
    <row r="62">
      <c r="A62" s="8" t="inlineStr">
        <is>
          <t>PEND-771A82F5D7E5-A001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108842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600.13</v>
      </c>
      <c r="J62" s="9" t="inlineStr"/>
      <c r="K62" s="8" t="inlineStr">
        <is>
          <t>Copiar en Flexxus: Tipo=MB-EXT | Movimiento=INGRESOS BRUTOS MENDOZA | Monto=600,13 | Fecha: 27/04/2026</t>
        </is>
      </c>
    </row>
    <row r="63">
      <c r="A63" s="8" t="inlineStr">
        <is>
          <t>PEND-DB8455348D2E-A001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31995644</t>
        </is>
      </c>
      <c r="F63" s="8" t="inlineStr">
        <is>
          <t>GRAVAMEN LEY 25413 S/CRED</t>
        </is>
      </c>
      <c r="G63" s="8" t="inlineStr">
        <is>
          <t>Anticipo Ganancias Ley 25.413 créditos</t>
        </is>
      </c>
      <c r="H63" s="8" t="inlineStr">
        <is>
          <t>Anticipo Impuesto a las Ganancias</t>
        </is>
      </c>
      <c r="I63" s="9" t="n">
        <v>592.8</v>
      </c>
      <c r="J63" s="9" t="inlineStr"/>
      <c r="K63" s="8" t="inlineStr">
        <is>
          <t>Copiar en Flexxus: Tipo=MB-EXT | Movimiento=GRAVAMEN LEY 25.413 S/CRED | Monto=592,80 | Fecha: 27/04/2026</t>
        </is>
      </c>
    </row>
    <row r="64">
      <c r="A64" s="8" t="inlineStr">
        <is>
          <t>PEND-13556158C1AB-A001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108781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578.35</v>
      </c>
      <c r="J64" s="9" t="inlineStr"/>
      <c r="K64" s="8" t="inlineStr">
        <is>
          <t>Copiar en Flexxus: Tipo=MB-EXT | Movimiento=INGRESOS BRUTOS MENDOZA | Monto=578,35 | Fecha: 27/04/2026</t>
        </is>
      </c>
    </row>
    <row r="65">
      <c r="A65" s="8" t="inlineStr">
        <is>
          <t>PEND-D5F041D4D407-A001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108841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576.37</v>
      </c>
      <c r="J65" s="9" t="inlineStr"/>
      <c r="K65" s="8" t="inlineStr">
        <is>
          <t>Copiar en Flexxus: Tipo=MB-EXT | Movimiento=INGRESOS BRUTOS MENDOZA | Monto=576,37 | Fecha: 27/04/2026</t>
        </is>
      </c>
    </row>
    <row r="66">
      <c r="A66" s="8" t="inlineStr">
        <is>
          <t>PEND-6AB0A8CC9996-A001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108818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564.48</v>
      </c>
      <c r="J66" s="9" t="inlineStr"/>
      <c r="K66" s="8" t="inlineStr">
        <is>
          <t>Copiar en Flexxus: Tipo=MB-EXT | Movimiento=GRAVAMEN LEY 25.413 S/CRED | Monto=564,48 | Fecha: 27/04/2026</t>
        </is>
      </c>
    </row>
    <row r="67">
      <c r="A67" s="8" t="inlineStr">
        <is>
          <t>PEND-422B21AF634D-A001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108830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549.63</v>
      </c>
      <c r="J67" s="9" t="inlineStr"/>
      <c r="K67" s="8" t="inlineStr">
        <is>
          <t>Copiar en Flexxus: Tipo=MB-EXT | Movimiento=INGRESOS BRUTOS MENDOZA | Monto=549,63 | Fecha: 27/04/2026</t>
        </is>
      </c>
    </row>
    <row r="68">
      <c r="A68" s="8" t="inlineStr">
        <is>
          <t>PEND-89ED2303F82E-A001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31995644</t>
        </is>
      </c>
      <c r="F68" s="8" t="inlineStr">
        <is>
          <t>INGRESOS BRUTOS MENDOZA</t>
        </is>
      </c>
      <c r="G68" s="8" t="inlineStr">
        <is>
          <t>Retención Ingresos Brutos Mendoza</t>
        </is>
      </c>
      <c r="H68" s="8" t="inlineStr">
        <is>
          <t>Retención de Ingresos Brutos</t>
        </is>
      </c>
      <c r="I68" s="9" t="n">
        <v>543.0599999999999</v>
      </c>
      <c r="J68" s="9" t="inlineStr"/>
      <c r="K68" s="8" t="inlineStr">
        <is>
          <t>Copiar en Flexxus: Tipo=MB-EXT | Movimiento=INGRESOS BRUTOS MENDOZA | Monto=543,06 | Fecha: 27/04/2026</t>
        </is>
      </c>
    </row>
    <row r="69">
      <c r="A69" s="8" t="inlineStr">
        <is>
          <t>PEND-19A32B74E3F8-A001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108770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524.87</v>
      </c>
      <c r="J69" s="9" t="inlineStr"/>
      <c r="K69" s="8" t="inlineStr">
        <is>
          <t>Copiar en Flexxus: Tipo=MB-EXT | Movimiento=INGRESOS BRUTOS MENDOZA | Monto=524,87 | Fecha: 27/04/2026</t>
        </is>
      </c>
    </row>
    <row r="70">
      <c r="A70" s="8" t="inlineStr">
        <is>
          <t>PEND-BF9D93CE6E7C-A001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108811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512.99</v>
      </c>
      <c r="J70" s="9" t="inlineStr"/>
      <c r="K70" s="8" t="inlineStr">
        <is>
          <t>Copiar en Flexxus: Tipo=MB-EXT | Movimiento=INGRESOS BRUTOS MENDOZA | Monto=512,99 | Fecha: 27/04/2026</t>
        </is>
      </c>
    </row>
    <row r="71">
      <c r="A71" s="8" t="inlineStr">
        <is>
          <t>PEND-F506FE40BA4C-A001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29841683</t>
        </is>
      </c>
      <c r="F71" s="8" t="inlineStr">
        <is>
          <t>GRAVAMEN LEY 25413 S/CRED</t>
        </is>
      </c>
      <c r="G71" s="8" t="inlineStr">
        <is>
          <t>Anticipo Ganancias Ley 25.413 créditos</t>
        </is>
      </c>
      <c r="H71" s="8" t="inlineStr">
        <is>
          <t>Anticipo Impuesto a las Ganancias</t>
        </is>
      </c>
      <c r="I71" s="9" t="n">
        <v>512.13</v>
      </c>
      <c r="J71" s="9" t="inlineStr"/>
      <c r="K71" s="8" t="inlineStr">
        <is>
          <t>Copiar en Flexxus: Tipo=MB-EXT | Movimiento=GRAVAMEN LEY 25.413 S/CRED | Monto=512,13 | Fecha: 27/04/2026</t>
        </is>
      </c>
    </row>
    <row r="72">
      <c r="A72" s="8" t="inlineStr">
        <is>
          <t>PEND-FFC895FC315A-A001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108795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506.25</v>
      </c>
      <c r="J72" s="9" t="inlineStr"/>
      <c r="K72" s="8" t="inlineStr">
        <is>
          <t>Copiar en Flexxus: Tipo=MB-EXT | Movimiento=GRAVAMEN LEY 25.413 S/CRED | Monto=506,25 | Fecha: 27/04/2026</t>
        </is>
      </c>
    </row>
    <row r="73">
      <c r="A73" s="8" t="inlineStr">
        <is>
          <t>PEND-DB776A85B8CB-A001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108763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506.05</v>
      </c>
      <c r="J73" s="9" t="inlineStr"/>
      <c r="K73" s="8" t="inlineStr">
        <is>
          <t>Copiar en Flexxus: Tipo=MB-EXT | Movimiento=INGRESOS BRUTOS MENDOZA | Monto=506,05 | Fecha: 27/04/2026</t>
        </is>
      </c>
    </row>
    <row r="74">
      <c r="A74" s="8" t="inlineStr">
        <is>
          <t>PEND-094E5E0346D4-A001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108812</t>
        </is>
      </c>
      <c r="F74" s="8" t="inlineStr">
        <is>
          <t>INGRESOS BRUTOS MENDOZA</t>
        </is>
      </c>
      <c r="G74" s="8" t="inlineStr">
        <is>
          <t>Retención Ingresos Brutos Mendoza</t>
        </is>
      </c>
      <c r="H74" s="8" t="inlineStr">
        <is>
          <t>Retención de Ingresos Brutos</t>
        </is>
      </c>
      <c r="I74" s="9" t="n">
        <v>495.16</v>
      </c>
      <c r="J74" s="9" t="inlineStr"/>
      <c r="K74" s="8" t="inlineStr">
        <is>
          <t>Copiar en Flexxus: Tipo=MB-EXT | Movimiento=INGRESOS BRUTOS MENDOZA | Monto=495,16 | Fecha: 27/04/2026</t>
        </is>
      </c>
    </row>
    <row r="75">
      <c r="A75" s="8" t="inlineStr">
        <is>
          <t>PEND-BB7F391A6524-A001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108821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478.32</v>
      </c>
      <c r="J75" s="9" t="inlineStr"/>
      <c r="K75" s="8" t="inlineStr">
        <is>
          <t>Copiar en Flexxus: Tipo=MB-EXT | Movimiento=GRAVAMEN LEY 25.413 S/CRED | Monto=478,32 | Fecha: 27/04/2026</t>
        </is>
      </c>
    </row>
    <row r="76">
      <c r="A76" s="8" t="inlineStr">
        <is>
          <t>PEND-065A52F61748-A001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108796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468.22</v>
      </c>
      <c r="J76" s="9" t="inlineStr"/>
      <c r="K76" s="8" t="inlineStr">
        <is>
          <t>Copiar en Flexxus: Tipo=MB-EXT | Movimiento=GRAVAMEN LEY 25.413 S/CRED | Monto=468,22 | Fecha: 27/04/2026</t>
        </is>
      </c>
    </row>
    <row r="77">
      <c r="A77" s="8" t="inlineStr">
        <is>
          <t>PEND-DC3A19B8E43F-A001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108771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459.51</v>
      </c>
      <c r="J77" s="9" t="inlineStr"/>
      <c r="K77" s="8" t="inlineStr">
        <is>
          <t>Copiar en Flexxus: Tipo=MB-EXT | Movimiento=INGRESOS BRUTOS MENDOZA | Monto=459,51 | Fecha: 27/04/2026</t>
        </is>
      </c>
    </row>
    <row r="78">
      <c r="A78" s="8" t="inlineStr">
        <is>
          <t>PEND-B9F31FC0E914-A001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108810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454.56</v>
      </c>
      <c r="J78" s="9" t="inlineStr"/>
      <c r="K78" s="8" t="inlineStr">
        <is>
          <t>Copiar en Flexxus: Tipo=MB-EXT | Movimiento=GRAVAMEN LEY 25.413 S/CRED | Monto=454,56 | Fecha: 27/04/2026</t>
        </is>
      </c>
    </row>
    <row r="79">
      <c r="A79" s="8" t="inlineStr">
        <is>
          <t>PEND-4AEE7A1B795E-A001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108787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454.56</v>
      </c>
      <c r="J79" s="9" t="inlineStr"/>
      <c r="K79" s="8" t="inlineStr">
        <is>
          <t>Copiar en Flexxus: Tipo=MB-EXT | Movimiento=INGRESOS BRUTOS MENDOZA | Monto=454,56 | Fecha: 27/04/2026</t>
        </is>
      </c>
    </row>
    <row r="80">
      <c r="A80" s="8" t="inlineStr">
        <is>
          <t>PEND-62DE2A4369C7-A001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108774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453.37</v>
      </c>
      <c r="J80" s="9" t="inlineStr"/>
      <c r="K80" s="8" t="inlineStr">
        <is>
          <t>Copiar en Flexxus: Tipo=MB-EXT | Movimiento=GRAVAMEN LEY 25.413 S/CRED | Monto=453,37 | Fecha: 27/04/2026</t>
        </is>
      </c>
    </row>
    <row r="81">
      <c r="A81" s="8" t="inlineStr">
        <is>
          <t>PEND-16B15324D2AE-A001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108784</t>
        </is>
      </c>
      <c r="F81" s="8" t="inlineStr">
        <is>
          <t>GRAVAMEN LEY 25413 S/CRED</t>
        </is>
      </c>
      <c r="G81" s="8" t="inlineStr">
        <is>
          <t>Anticipo Ganancias Ley 25.413 créditos</t>
        </is>
      </c>
      <c r="H81" s="8" t="inlineStr">
        <is>
          <t>Anticipo Impuesto a las Ganancias</t>
        </is>
      </c>
      <c r="I81" s="9" t="n">
        <v>437.33</v>
      </c>
      <c r="J81" s="9" t="inlineStr"/>
      <c r="K81" s="8" t="inlineStr">
        <is>
          <t>Copiar en Flexxus: Tipo=MB-EXT | Movimiento=GRAVAMEN LEY 25.413 S/CRED | Monto=437,33 | Fecha: 27/04/2026</t>
        </is>
      </c>
    </row>
    <row r="82">
      <c r="A82" s="8" t="inlineStr">
        <is>
          <t>PEND-FF69AFE61B71-A001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108817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433.76</v>
      </c>
      <c r="J82" s="9" t="inlineStr"/>
      <c r="K82" s="8" t="inlineStr">
        <is>
          <t>Copiar en Flexxus: Tipo=MB-EXT | Movimiento=INGRESOS BRUTOS MENDOZA | Monto=433,76 | Fecha: 27/04/2026</t>
        </is>
      </c>
    </row>
    <row r="83">
      <c r="A83" s="8" t="inlineStr">
        <is>
          <t>PEND-7C6E9A7E614F-A001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108798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429.8</v>
      </c>
      <c r="J83" s="9" t="inlineStr"/>
      <c r="K83" s="8" t="inlineStr">
        <is>
          <t>Copiar en Flexxus: Tipo=MB-EXT | Movimiento=INGRESOS BRUTOS MENDOZA | Monto=429,80 | Fecha: 27/04/2026</t>
        </is>
      </c>
    </row>
    <row r="84">
      <c r="A84" s="8" t="inlineStr">
        <is>
          <t>PEND-8DD43409A7DE-A001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108827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419.5</v>
      </c>
      <c r="J84" s="9" t="inlineStr"/>
      <c r="K84" s="8" t="inlineStr">
        <is>
          <t>Copiar en Flexxus: Tipo=MB-EXT | Movimiento=GRAVAMEN LEY 25.413 S/CRED | Monto=419,50 | Fecha: 27/04/2026</t>
        </is>
      </c>
    </row>
    <row r="85">
      <c r="A85" s="8" t="inlineStr">
        <is>
          <t>PEND-6DBBADEAF2DB-A001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108838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417.12</v>
      </c>
      <c r="J85" s="9" t="inlineStr"/>
      <c r="K85" s="8" t="inlineStr">
        <is>
          <t>Copiar en Flexxus: Tipo=MB-EXT | Movimiento=GRAVAMEN LEY 25.413 S/CRED | Monto=417,12 | Fecha: 27/04/2026</t>
        </is>
      </c>
    </row>
    <row r="86">
      <c r="A86" s="8" t="inlineStr">
        <is>
          <t>PEND-8905E3CA91A2-A001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29841670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413.2</v>
      </c>
      <c r="J86" s="9" t="inlineStr"/>
      <c r="K86" s="8" t="inlineStr">
        <is>
          <t>Copiar en Flexxus: Tipo=MB-EXT | Movimiento=GRAVAMEN LEY 25.413 S/CRED | Monto=413,20 | Fecha: 27/04/2026</t>
        </is>
      </c>
    </row>
    <row r="87">
      <c r="A87" s="8" t="inlineStr">
        <is>
          <t>PEND-AC49CCAD2E3A-A001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108840</t>
        </is>
      </c>
      <c r="F87" s="8" t="inlineStr">
        <is>
          <t>GRAVAMEN LEY 25413 S/CRED</t>
        </is>
      </c>
      <c r="G87" s="8" t="inlineStr">
        <is>
          <t>Anticipo Ganancias Ley 25.413 créditos</t>
        </is>
      </c>
      <c r="H87" s="8" t="inlineStr">
        <is>
          <t>Anticipo Impuesto a las Ganancias</t>
        </is>
      </c>
      <c r="I87" s="9" t="n">
        <v>402.27</v>
      </c>
      <c r="J87" s="9" t="inlineStr"/>
      <c r="K87" s="8" t="inlineStr">
        <is>
          <t>Copiar en Flexxus: Tipo=MB-EXT | Movimiento=GRAVAMEN LEY 25.413 S/CRED | Monto=402,27 | Fecha: 27/04/2026</t>
        </is>
      </c>
    </row>
    <row r="88">
      <c r="A88" s="8" t="inlineStr">
        <is>
          <t>PEND-9DC7167ED0B3-A001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108761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401.08</v>
      </c>
      <c r="J88" s="9" t="inlineStr"/>
      <c r="K88" s="8" t="inlineStr">
        <is>
          <t>Copiar en Flexxus: Tipo=MB-EXT | Movimiento=INGRESOS BRUTOS MENDOZA | Monto=401,08 | Fecha: 27/04/2026</t>
        </is>
      </c>
    </row>
    <row r="89">
      <c r="A89" s="8" t="inlineStr">
        <is>
          <t>PEND-BF4669D985E2-A001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397.16</v>
      </c>
      <c r="J89" s="9" t="inlineStr"/>
      <c r="K89" s="8" t="inlineStr">
        <is>
          <t>Copiar en Flexxus: Tipo=MB-EXT | Movimiento=INGRESOS BRUTOS MENDOZA | Monto=397,16 | Fecha: 27/04/2026</t>
        </is>
      </c>
    </row>
    <row r="90">
      <c r="A90" s="8" t="inlineStr">
        <is>
          <t>PEND-7953228046DD-A001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108780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395.73</v>
      </c>
      <c r="J90" s="9" t="inlineStr"/>
      <c r="K90" s="8" t="inlineStr">
        <is>
          <t>Copiar en Flexxus: Tipo=MB-EXT | Movimiento=GRAVAMEN LEY 25.413 S/CRED | Monto=395,73 | Fecha: 27/04/2026</t>
        </is>
      </c>
    </row>
    <row r="91">
      <c r="A91" s="8" t="inlineStr">
        <is>
          <t>PEND-3A8F28548126-A001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108804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388.21</v>
      </c>
      <c r="J91" s="9" t="inlineStr"/>
      <c r="K91" s="8" t="inlineStr">
        <is>
          <t>Copiar en Flexxus: Tipo=MB-EXT | Movimiento=INGRESOS BRUTOS MENDOZA | Monto=388,21 | Fecha: 27/04/2026</t>
        </is>
      </c>
    </row>
    <row r="92">
      <c r="A92" s="8" t="inlineStr">
        <is>
          <t>PEND-63A109388859-A001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108837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387.41</v>
      </c>
      <c r="J92" s="9" t="inlineStr"/>
      <c r="K92" s="8" t="inlineStr">
        <is>
          <t>Copiar en Flexxus: Tipo=MB-EXT | Movimiento=GRAVAMEN LEY 25.413 S/CRED | Monto=387,41 | Fecha: 27/04/2026</t>
        </is>
      </c>
    </row>
    <row r="93">
      <c r="A93" s="8" t="inlineStr">
        <is>
          <t>PEND-F883EACCC507-A001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108833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387.22</v>
      </c>
      <c r="J93" s="9" t="inlineStr"/>
      <c r="K93" s="8" t="inlineStr">
        <is>
          <t>Copiar en Flexxus: Tipo=MB-EXT | Movimiento=INGRESOS BRUTOS MENDOZA | Monto=387,22 | Fecha: 27/04/2026</t>
        </is>
      </c>
    </row>
    <row r="94">
      <c r="A94" s="8" t="inlineStr">
        <is>
          <t>PEND-3852F852D99F-A001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108802</t>
        </is>
      </c>
      <c r="F94" s="8" t="inlineStr">
        <is>
          <t>INGRESOS BRUTOS MENDOZA</t>
        </is>
      </c>
      <c r="G94" s="8" t="inlineStr">
        <is>
          <t>Retención Ingresos Brutos Mendoza</t>
        </is>
      </c>
      <c r="H94" s="8" t="inlineStr">
        <is>
          <t>Retención de Ingresos Brutos</t>
        </is>
      </c>
      <c r="I94" s="9" t="n">
        <v>381.27</v>
      </c>
      <c r="J94" s="9" t="inlineStr"/>
      <c r="K94" s="8" t="inlineStr">
        <is>
          <t>Copiar en Flexxus: Tipo=MB-EXT | Movimiento=INGRESOS BRUTOS MENDOZA | Monto=381,27 | Fecha: 27/04/2026</t>
        </is>
      </c>
    </row>
    <row r="95">
      <c r="A95" s="8" t="inlineStr">
        <is>
          <t>PEND-9ADC81A6494A-A001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108782</t>
        </is>
      </c>
      <c r="F95" s="8" t="inlineStr">
        <is>
          <t>GRAVAMEN LEY 25413 S/CRED</t>
        </is>
      </c>
      <c r="G95" s="8" t="inlineStr">
        <is>
          <t>Anticipo Ganancias Ley 25.413 créditos</t>
        </is>
      </c>
      <c r="H95" s="8" t="inlineStr">
        <is>
          <t>Anticipo Impuesto a las Ganancias</t>
        </is>
      </c>
      <c r="I95" s="9" t="n">
        <v>378.5</v>
      </c>
      <c r="J95" s="9" t="inlineStr"/>
      <c r="K95" s="8" t="inlineStr">
        <is>
          <t>Copiar en Flexxus: Tipo=MB-EXT | Movimiento=GRAVAMEN LEY 25.413 S/CRED | Monto=378,50 | Fecha: 27/04/2026</t>
        </is>
      </c>
    </row>
    <row r="96">
      <c r="A96" s="8" t="inlineStr">
        <is>
          <t>PEND-F6143F5D772F-A001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108775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376.12</v>
      </c>
      <c r="J96" s="9" t="inlineStr"/>
      <c r="K96" s="8" t="inlineStr">
        <is>
          <t>Copiar en Flexxus: Tipo=MB-EXT | Movimiento=GRAVAMEN LEY 25.413 S/CRED | Monto=376,12 | Fecha: 27/04/2026</t>
        </is>
      </c>
    </row>
    <row r="97">
      <c r="A97" s="8" t="inlineStr">
        <is>
          <t>PEND-A298C9150C20-A001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108807</t>
        </is>
      </c>
      <c r="F97" s="8" t="inlineStr">
        <is>
          <t>GRAVAMEN LEY 25413 S/CRED</t>
        </is>
      </c>
      <c r="G97" s="8" t="inlineStr">
        <is>
          <t>Anticipo Ganancias Ley 25.413 créditos</t>
        </is>
      </c>
      <c r="H97" s="8" t="inlineStr">
        <is>
          <t>Anticipo Impuesto a las Ganancias</t>
        </is>
      </c>
      <c r="I97" s="9" t="n">
        <v>365.43</v>
      </c>
      <c r="J97" s="9" t="inlineStr"/>
      <c r="K97" s="8" t="inlineStr">
        <is>
          <t>Copiar en Flexxus: Tipo=MB-EXT | Movimiento=GRAVAMEN LEY 25.413 S/CRED | Monto=365,43 | Fecha: 27/04/2026</t>
        </is>
      </c>
    </row>
    <row r="98">
      <c r="A98" s="8" t="inlineStr">
        <is>
          <t>PEND-94CE5B1530E5-A001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108842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360.08</v>
      </c>
      <c r="J98" s="9" t="inlineStr"/>
      <c r="K98" s="8" t="inlineStr">
        <is>
          <t>Copiar en Flexxus: Tipo=MB-EXT | Movimiento=GRAVAMEN LEY 25.413 S/CRED | Monto=360,08 | Fecha: 27/04/2026</t>
        </is>
      </c>
    </row>
    <row r="99">
      <c r="A99" s="8" t="inlineStr">
        <is>
          <t>PEND-430B9F510052-A001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108781</t>
        </is>
      </c>
      <c r="F99" s="8" t="inlineStr">
        <is>
          <t>GRAVAMEN LEY 25413 S/CRED</t>
        </is>
      </c>
      <c r="G99" s="8" t="inlineStr">
        <is>
          <t>Anticipo Ganancias Ley 25.413 créditos</t>
        </is>
      </c>
      <c r="H99" s="8" t="inlineStr">
        <is>
          <t>Anticipo Impuesto a las Ganancias</t>
        </is>
      </c>
      <c r="I99" s="9" t="n">
        <v>347.01</v>
      </c>
      <c r="J99" s="9" t="inlineStr"/>
      <c r="K99" s="8" t="inlineStr">
        <is>
          <t>Copiar en Flexxus: Tipo=MB-EXT | Movimiento=GRAVAMEN LEY 25.413 S/CRED | Monto=347,01 | Fecha: 27/04/2026</t>
        </is>
      </c>
    </row>
    <row r="100">
      <c r="A100" s="8" t="inlineStr">
        <is>
          <t>PEND-61DAA36662F9-A001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108841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345.82</v>
      </c>
      <c r="J100" s="9" t="inlineStr"/>
      <c r="K100" s="8" t="inlineStr">
        <is>
          <t>Copiar en Flexxus: Tipo=MB-EXT | Movimiento=GRAVAMEN LEY 25.413 S/CRED | Monto=345,82 | Fecha: 27/04/2026</t>
        </is>
      </c>
    </row>
    <row r="101">
      <c r="A101" s="8" t="inlineStr">
        <is>
          <t>PEND-A2BA4951E622-A001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108836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344.63</v>
      </c>
      <c r="J101" s="9" t="inlineStr"/>
      <c r="K101" s="8" t="inlineStr">
        <is>
          <t>Copiar en Flexxus: Tipo=MB-EXT | Movimiento=INGRESOS BRUTOS MENDOZA | Monto=344,63 | Fecha: 27/04/2026</t>
        </is>
      </c>
    </row>
    <row r="102">
      <c r="A102" s="8" t="inlineStr">
        <is>
          <t>PEND-8A945D9ADCDB-A001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108824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341.66</v>
      </c>
      <c r="J102" s="9" t="inlineStr"/>
      <c r="K102" s="8" t="inlineStr">
        <is>
          <t>Copiar en Flexxus: Tipo=MB-EXT | Movimiento=INGRESOS BRUTOS MENDOZA | Monto=341,66 | Fecha: 27/04/2026</t>
        </is>
      </c>
    </row>
    <row r="103">
      <c r="A103" s="8" t="inlineStr">
        <is>
          <t>PEND-E00377C6213E-A001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108791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341.66</v>
      </c>
      <c r="J103" s="9" t="inlineStr"/>
      <c r="K103" s="8" t="inlineStr">
        <is>
          <t>Copiar en Flexxus: Tipo=MB-EXT | Movimiento=INGRESOS BRUTOS MENDOZA | Monto=341,66 | Fecha: 27/04/2026</t>
        </is>
      </c>
    </row>
    <row r="104">
      <c r="A104" s="8" t="inlineStr">
        <is>
          <t>PEND-AD2D007C705D-A001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108760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336.71</v>
      </c>
      <c r="J104" s="9" t="inlineStr"/>
      <c r="K104" s="8" t="inlineStr">
        <is>
          <t>Copiar en Flexxus: Tipo=MB-EXT | Movimiento=INGRESOS BRUTOS MENDOZA | Monto=336,71 | Fecha: 27/04/2026</t>
        </is>
      </c>
    </row>
    <row r="105">
      <c r="A105" s="8" t="inlineStr">
        <is>
          <t>PEND-8237B6FF11AB-A001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108778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331.76</v>
      </c>
      <c r="J105" s="9" t="inlineStr"/>
      <c r="K105" s="8" t="inlineStr">
        <is>
          <t>Copiar en Flexxus: Tipo=MB-EXT | Movimiento=INGRESOS BRUTOS MENDOZA | Monto=331,76 | Fecha: 27/04/2026</t>
        </is>
      </c>
    </row>
    <row r="106">
      <c r="A106" s="8" t="inlineStr">
        <is>
          <t>PEND-8D055DF451EE-A001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108777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331.76</v>
      </c>
      <c r="J106" s="9" t="inlineStr"/>
      <c r="K106" s="8" t="inlineStr">
        <is>
          <t>Copiar en Flexxus: Tipo=MB-EXT | Movimiento=INGRESOS BRUTOS MENDOZA | Monto=331,76 | Fecha: 27/04/2026</t>
        </is>
      </c>
    </row>
    <row r="107">
      <c r="A107" s="8" t="inlineStr">
        <is>
          <t>PEND-CAD7D4B388C7-A001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108830</t>
        </is>
      </c>
      <c r="F107" s="8" t="inlineStr">
        <is>
          <t>GRAVAMEN LEY 25413 S/CRED</t>
        </is>
      </c>
      <c r="G107" s="8" t="inlineStr">
        <is>
          <t>Anticipo Ganancias Ley 25.413 créditos</t>
        </is>
      </c>
      <c r="H107" s="8" t="inlineStr">
        <is>
          <t>Anticipo Impuesto a las Ganancias</t>
        </is>
      </c>
      <c r="I107" s="9" t="n">
        <v>329.78</v>
      </c>
      <c r="J107" s="9" t="inlineStr"/>
      <c r="K107" s="8" t="inlineStr">
        <is>
          <t>Copiar en Flexxus: Tipo=MB-EXT | Movimiento=GRAVAMEN LEY 25.413 S/CRED | Monto=329,78 | Fecha: 27/04/2026</t>
        </is>
      </c>
    </row>
    <row r="108">
      <c r="A108" s="8" t="inlineStr">
        <is>
          <t>PEND-56AAF504E44C-A001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29841705</t>
        </is>
      </c>
      <c r="F108" s="8" t="inlineStr">
        <is>
          <t>INGRESOS BRUTOS MENDOZA</t>
        </is>
      </c>
      <c r="G108" s="8" t="inlineStr">
        <is>
          <t>Retención Ingresos Brutos Mendoza</t>
        </is>
      </c>
      <c r="H108" s="8" t="inlineStr">
        <is>
          <t>Retención de Ingresos Brutos</t>
        </is>
      </c>
      <c r="I108" s="9" t="n">
        <v>326.01</v>
      </c>
      <c r="J108" s="9" t="inlineStr"/>
      <c r="K108" s="8" t="inlineStr">
        <is>
          <t>Copiar en Flexxus: Tipo=MB-EXT | Movimiento=INGRESOS BRUTOS MENDOZA | Monto=326,01 | Fecha: 27/04/2026</t>
        </is>
      </c>
    </row>
    <row r="109">
      <c r="A109" s="8" t="inlineStr">
        <is>
          <t>PEND-A9E0590C2BE2-A001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31995644</t>
        </is>
      </c>
      <c r="F109" s="8" t="inlineStr">
        <is>
          <t>GRAVAMEN LEY 25413 S/CRED</t>
        </is>
      </c>
      <c r="G109" s="8" t="inlineStr">
        <is>
          <t>Anticipo Ganancias Ley 25.413 créditos</t>
        </is>
      </c>
      <c r="H109" s="8" t="inlineStr">
        <is>
          <t>Anticipo Impuesto a las Ganancias</t>
        </is>
      </c>
      <c r="I109" s="9" t="n">
        <v>325.84</v>
      </c>
      <c r="J109" s="9" t="inlineStr"/>
      <c r="K109" s="8" t="inlineStr">
        <is>
          <t>Copiar en Flexxus: Tipo=MB-EXT | Movimiento=GRAVAMEN LEY 25.413 S/CRED | Monto=325,84 | Fecha: 27/04/2026</t>
        </is>
      </c>
    </row>
    <row r="110">
      <c r="A110" s="8" t="inlineStr">
        <is>
          <t>PEND-6924E8DF6207-A001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108846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324.83</v>
      </c>
      <c r="J110" s="9" t="inlineStr"/>
      <c r="K110" s="8" t="inlineStr">
        <is>
          <t>Copiar en Flexxus: Tipo=MB-EXT | Movimiento=INGRESOS BRUTOS MENDOZA | Monto=324,83 | Fecha: 27/04/2026</t>
        </is>
      </c>
    </row>
    <row r="111">
      <c r="A111" s="8" t="inlineStr">
        <is>
          <t>PEND-61182E7A4EF0-A001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315.42</v>
      </c>
      <c r="J111" s="9" t="inlineStr"/>
      <c r="K111" s="8" t="inlineStr">
        <is>
          <t>Copiar en Flexxus: Tipo=MB-EXT | Movimiento=INGRESOS BRUTOS MENDOZA | Monto=315,42 | Fecha: 27/04/2026</t>
        </is>
      </c>
    </row>
    <row r="112">
      <c r="A112" s="8" t="inlineStr">
        <is>
          <t>PEND-5069378194E0-A001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108770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314.92</v>
      </c>
      <c r="J112" s="9" t="inlineStr"/>
      <c r="K112" s="8" t="inlineStr">
        <is>
          <t>Copiar en Flexxus: Tipo=MB-EXT | Movimiento=GRAVAMEN LEY 25.413 S/CRED | Monto=314,92 | Fecha: 27/04/2026</t>
        </is>
      </c>
    </row>
    <row r="113">
      <c r="A113" s="8" t="inlineStr">
        <is>
          <t>PEND-CA94B777CAE2-A001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108811</t>
        </is>
      </c>
      <c r="F113" s="8" t="inlineStr">
        <is>
          <t>GRAVAMEN LEY 25413 S/CRED</t>
        </is>
      </c>
      <c r="G113" s="8" t="inlineStr">
        <is>
          <t>Anticipo Ganancias Ley 25.413 créditos</t>
        </is>
      </c>
      <c r="H113" s="8" t="inlineStr">
        <is>
          <t>Anticipo Impuesto a las Ganancias</t>
        </is>
      </c>
      <c r="I113" s="9" t="n">
        <v>307.79</v>
      </c>
      <c r="J113" s="9" t="inlineStr"/>
      <c r="K113" s="8" t="inlineStr">
        <is>
          <t>Copiar en Flexxus: Tipo=MB-EXT | Movimiento=GRAVAMEN LEY 25.413 S/CRED | Monto=307,79 | Fecha: 27/04/2026</t>
        </is>
      </c>
    </row>
    <row r="114">
      <c r="A114" s="8" t="inlineStr">
        <is>
          <t>PEND-8895F5DF7603-A001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108763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303.63</v>
      </c>
      <c r="J114" s="9" t="inlineStr"/>
      <c r="K114" s="8" t="inlineStr">
        <is>
          <t>Copiar en Flexxus: Tipo=MB-EXT | Movimiento=GRAVAMEN LEY 25.413 S/CRED | Monto=303,63 | Fecha: 27/04/2026</t>
        </is>
      </c>
    </row>
    <row r="115">
      <c r="A115" s="8" t="inlineStr">
        <is>
          <t>PEND-F919B5C2D536-A001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29841705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300.31</v>
      </c>
      <c r="J115" s="9" t="inlineStr"/>
      <c r="K115" s="8" t="inlineStr">
        <is>
          <t>Copiar en Flexxus: Tipo=MB-EXT | Movimiento=INGRESOS BRUTOS MENDOZA | Monto=300,31 | Fecha: 27/04/2026</t>
        </is>
      </c>
    </row>
    <row r="116">
      <c r="A116" s="8" t="inlineStr">
        <is>
          <t>PEND-302DB2CB0DC8-A001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108812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297.1</v>
      </c>
      <c r="J116" s="9" t="inlineStr"/>
      <c r="K116" s="8" t="inlineStr">
        <is>
          <t>Copiar en Flexxus: Tipo=MB-EXT | Movimiento=GRAVAMEN LEY 25.413 S/CRED | Monto=297,10 | Fecha: 27/04/2026</t>
        </is>
      </c>
    </row>
    <row r="117">
      <c r="A117" s="8" t="inlineStr">
        <is>
          <t>PEND-2BB2AAEEB82D-A001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108806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280.26</v>
      </c>
      <c r="J117" s="9" t="inlineStr"/>
      <c r="K117" s="8" t="inlineStr">
        <is>
          <t>Copiar en Flexxus: Tipo=MB-EXT | Movimiento=INGRESOS BRUTOS MENDOZA | Monto=280,26 | Fecha: 27/04/2026</t>
        </is>
      </c>
    </row>
    <row r="118">
      <c r="A118" s="8" t="inlineStr">
        <is>
          <t>PEND-FDAD2FA15248-A001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108829</t>
        </is>
      </c>
      <c r="F118" s="8" t="inlineStr">
        <is>
          <t>INGRESOS BRUTOS MENDOZA</t>
        </is>
      </c>
      <c r="G118" s="8" t="inlineStr">
        <is>
          <t>Retención Ingresos Brutos Mendoza</t>
        </is>
      </c>
      <c r="H118" s="8" t="inlineStr">
        <is>
          <t>Retención de Ingresos Brutos</t>
        </is>
      </c>
      <c r="I118" s="9" t="n">
        <v>276.3</v>
      </c>
      <c r="J118" s="9" t="inlineStr"/>
      <c r="K118" s="8" t="inlineStr">
        <is>
          <t>Copiar en Flexxus: Tipo=MB-EXT | Movimiento=INGRESOS BRUTOS MENDOZA | Monto=276,30 | Fecha: 27/04/2026</t>
        </is>
      </c>
    </row>
    <row r="119">
      <c r="A119" s="8" t="inlineStr">
        <is>
          <t>PEND-DA2EE209C4E0-A001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108771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275.71</v>
      </c>
      <c r="J119" s="9" t="inlineStr"/>
      <c r="K119" s="8" t="inlineStr">
        <is>
          <t>Copiar en Flexxus: Tipo=MB-EXT | Movimiento=GRAVAMEN LEY 25.413 S/CRED | Monto=275,71 | Fecha: 27/04/2026</t>
        </is>
      </c>
    </row>
    <row r="120">
      <c r="A120" s="8" t="inlineStr">
        <is>
          <t>PEND-F1C85895588C-A001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108787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272.73</v>
      </c>
      <c r="J120" s="9" t="inlineStr"/>
      <c r="K120" s="8" t="inlineStr">
        <is>
          <t>Copiar en Flexxus: Tipo=MB-EXT | Movimiento=GRAVAMEN LEY 25.413 S/CRED | Monto=272,73 | Fecha: 27/04/2026</t>
        </is>
      </c>
    </row>
    <row r="121">
      <c r="A121" s="8" t="inlineStr">
        <is>
          <t>PEND-F4D1C8D5E612-A001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108834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268.38</v>
      </c>
      <c r="J121" s="9" t="inlineStr"/>
      <c r="K121" s="8" t="inlineStr">
        <is>
          <t>Copiar en Flexxus: Tipo=MB-EXT | Movimiento=INGRESOS BRUTOS MENDOZA | Monto=268,38 | Fecha: 27/04/2026</t>
        </is>
      </c>
    </row>
    <row r="122">
      <c r="A122" s="8" t="inlineStr">
        <is>
          <t>PEND-75CF6B714C38-A001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108835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267.39</v>
      </c>
      <c r="J122" s="9" t="inlineStr"/>
      <c r="K122" s="8" t="inlineStr">
        <is>
          <t>Copiar en Flexxus: Tipo=MB-EXT | Movimiento=INGRESOS BRUTOS MENDOZA | Monto=267,39 | Fecha: 27/04/2026</t>
        </is>
      </c>
    </row>
    <row r="123">
      <c r="A123" s="8" t="inlineStr">
        <is>
          <t>PEND-9FEF5ED5EA83-A001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108813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267.39</v>
      </c>
      <c r="J123" s="9" t="inlineStr"/>
      <c r="K123" s="8" t="inlineStr">
        <is>
          <t>Copiar en Flexxus: Tipo=MB-EXT | Movimiento=INGRESOS BRUTOS MENDOZA | Monto=267,39 | Fecha: 27/04/2026</t>
        </is>
      </c>
    </row>
    <row r="124">
      <c r="A124" s="8" t="inlineStr">
        <is>
          <t>PEND-A3D276AD3290-A001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108805</t>
        </is>
      </c>
      <c r="F124" s="8" t="inlineStr">
        <is>
          <t>INGRESOS BRUTOS MENDOZA</t>
        </is>
      </c>
      <c r="G124" s="8" t="inlineStr">
        <is>
          <t>Retención Ingresos Brutos Mendoza</t>
        </is>
      </c>
      <c r="H124" s="8" t="inlineStr">
        <is>
          <t>Retención de Ingresos Brutos</t>
        </is>
      </c>
      <c r="I124" s="9" t="n">
        <v>267.39</v>
      </c>
      <c r="J124" s="9" t="inlineStr"/>
      <c r="K124" s="8" t="inlineStr">
        <is>
          <t>Copiar en Flexxus: Tipo=MB-EXT | Movimiento=INGRESOS BRUTOS MENDOZA | Monto=267,39 | Fecha: 27/04/2026</t>
        </is>
      </c>
    </row>
    <row r="125">
      <c r="A125" s="8" t="inlineStr">
        <is>
          <t>PEND-3074D7391E79-A001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108765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267.39</v>
      </c>
      <c r="J125" s="9" t="inlineStr"/>
      <c r="K125" s="8" t="inlineStr">
        <is>
          <t>Copiar en Flexxus: Tipo=MB-EXT | Movimiento=INGRESOS BRUTOS MENDOZA | Monto=267,39 | Fecha: 27/04/2026</t>
        </is>
      </c>
    </row>
    <row r="126">
      <c r="A126" s="8" t="inlineStr">
        <is>
          <t>PEND-527C94F7130A-A001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108817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260.26</v>
      </c>
      <c r="J126" s="9" t="inlineStr"/>
      <c r="K126" s="8" t="inlineStr">
        <is>
          <t>Copiar en Flexxus: Tipo=MB-EXT | Movimiento=GRAVAMEN LEY 25.413 S/CRED | Monto=260,26 | Fecha: 27/04/2026</t>
        </is>
      </c>
    </row>
    <row r="127">
      <c r="A127" s="8" t="inlineStr">
        <is>
          <t>PEND-178FD8579A9E-A001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108798</t>
        </is>
      </c>
      <c r="F127" s="8" t="inlineStr">
        <is>
          <t>GRAVAMEN LEY 25413 S/CRED</t>
        </is>
      </c>
      <c r="G127" s="8" t="inlineStr">
        <is>
          <t>Anticipo Ganancias Ley 25.413 créditos</t>
        </is>
      </c>
      <c r="H127" s="8" t="inlineStr">
        <is>
          <t>Anticipo Impuesto a las Ganancias</t>
        </is>
      </c>
      <c r="I127" s="9" t="n">
        <v>257.88</v>
      </c>
      <c r="J127" s="9" t="inlineStr"/>
      <c r="K127" s="8" t="inlineStr">
        <is>
          <t>Copiar en Flexxus: Tipo=MB-EXT | Movimiento=GRAVAMEN LEY 25.413 S/CRED | Monto=257,88 | Fecha: 27/04/2026</t>
        </is>
      </c>
    </row>
    <row r="128">
      <c r="A128" s="8" t="inlineStr">
        <is>
          <t>PEND-69D8A83DFB72-A001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108797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255.5</v>
      </c>
      <c r="J128" s="9" t="inlineStr"/>
      <c r="K128" s="8" t="inlineStr">
        <is>
          <t>Copiar en Flexxus: Tipo=MB-EXT | Movimiento=INGRESOS BRUTOS MENDOZA | Monto=255,50 | Fecha: 27/04/2026</t>
        </is>
      </c>
    </row>
    <row r="129">
      <c r="A129" s="8" t="inlineStr">
        <is>
          <t>PEND-F7D4E12792D9-A001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108847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247.58</v>
      </c>
      <c r="J129" s="9" t="inlineStr"/>
      <c r="K129" s="8" t="inlineStr">
        <is>
          <t>Copiar en Flexxus: Tipo=MB-EXT | Movimiento=INGRESOS BRUTOS MENDOZA | Monto=247,58 | Fecha: 27/04/2026</t>
        </is>
      </c>
    </row>
    <row r="130">
      <c r="A130" s="8" t="inlineStr">
        <is>
          <t>PEND-A02FA0AFB488-A001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108823</t>
        </is>
      </c>
      <c r="F130" s="8" t="inlineStr">
        <is>
          <t>INGRESOS BRUTOS MENDOZA</t>
        </is>
      </c>
      <c r="G130" s="8" t="inlineStr">
        <is>
          <t>Retención Ingresos Brutos Mendoza</t>
        </is>
      </c>
      <c r="H130" s="8" t="inlineStr">
        <is>
          <t>Retención de Ingresos Brutos</t>
        </is>
      </c>
      <c r="I130" s="9" t="n">
        <v>247.58</v>
      </c>
      <c r="J130" s="9" t="inlineStr"/>
      <c r="K130" s="8" t="inlineStr">
        <is>
          <t>Copiar en Flexxus: Tipo=MB-EXT | Movimiento=INGRESOS BRUTOS MENDOZA | Monto=247,58 | Fecha: 27/04/2026</t>
        </is>
      </c>
    </row>
    <row r="131">
      <c r="A131" s="8" t="inlineStr">
        <is>
          <t>PEND-4EAA14A6D8E8-A001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108789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247.58</v>
      </c>
      <c r="J131" s="9" t="inlineStr"/>
      <c r="K131" s="8" t="inlineStr">
        <is>
          <t>Copiar en Flexxus: Tipo=MB-EXT | Movimiento=INGRESOS BRUTOS MENDOZA | Monto=247,58 | Fecha: 27/04/2026</t>
        </is>
      </c>
    </row>
    <row r="132">
      <c r="A132" s="8" t="inlineStr">
        <is>
          <t>PEND-C7D6FA505999-A001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108809</t>
        </is>
      </c>
      <c r="F132" s="8" t="inlineStr">
        <is>
          <t>INGRESOS BRUTOS MENDOZA</t>
        </is>
      </c>
      <c r="G132" s="8" t="inlineStr">
        <is>
          <t>Retención Ingresos Brutos Mendoza</t>
        </is>
      </c>
      <c r="H132" s="8" t="inlineStr">
        <is>
          <t>Retención de Ingresos Brutos</t>
        </is>
      </c>
      <c r="I132" s="9" t="n">
        <v>245.6</v>
      </c>
      <c r="J132" s="9" t="inlineStr"/>
      <c r="K132" s="8" t="inlineStr">
        <is>
          <t>Copiar en Flexxus: Tipo=MB-EXT | Movimiento=INGRESOS BRUTOS MENDOZA | Monto=245,60 | Fecha: 27/04/2026</t>
        </is>
      </c>
    </row>
    <row r="133">
      <c r="A133" s="8" t="inlineStr">
        <is>
          <t>PEND-FBCFF24E8402-A001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108844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243.62</v>
      </c>
      <c r="J133" s="9" t="inlineStr"/>
      <c r="K133" s="8" t="inlineStr">
        <is>
          <t>Copiar en Flexxus: Tipo=MB-EXT | Movimiento=INGRESOS BRUTOS MENDOZA | Monto=243,62 | Fecha: 27/04/2026</t>
        </is>
      </c>
    </row>
    <row r="134">
      <c r="A134" s="8" t="inlineStr">
        <is>
          <t>PEND-6E328220F737-A001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108803</t>
        </is>
      </c>
      <c r="F134" s="8" t="inlineStr">
        <is>
          <t>INGRESOS BRUTOS MENDOZA</t>
        </is>
      </c>
      <c r="G134" s="8" t="inlineStr">
        <is>
          <t>Retención Ingresos Brutos Mendoza</t>
        </is>
      </c>
      <c r="H134" s="8" t="inlineStr">
        <is>
          <t>Retención de Ingresos Brutos</t>
        </is>
      </c>
      <c r="I134" s="9" t="n">
        <v>242.63</v>
      </c>
      <c r="J134" s="9" t="inlineStr"/>
      <c r="K134" s="8" t="inlineStr">
        <is>
          <t>Copiar en Flexxus: Tipo=MB-EXT | Movimiento=INGRESOS BRUTOS MENDOZA | Monto=242,63 | Fecha: 27/04/2026</t>
        </is>
      </c>
    </row>
    <row r="135">
      <c r="A135" s="8" t="inlineStr">
        <is>
          <t>PEND-A21640D32FBD-A001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108761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240.65</v>
      </c>
      <c r="J135" s="9" t="inlineStr"/>
      <c r="K135" s="8" t="inlineStr">
        <is>
          <t>Copiar en Flexxus: Tipo=MB-EXT | Movimiento=GRAVAMEN LEY 25.413 S/CRED | Monto=240,65 | Fecha: 27/04/2026</t>
        </is>
      </c>
    </row>
    <row r="136">
      <c r="A136" s="8" t="inlineStr">
        <is>
          <t>PEND-681D57897984-A001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238.29</v>
      </c>
      <c r="J136" s="9" t="inlineStr"/>
      <c r="K136" s="8" t="inlineStr">
        <is>
          <t>Copiar en Flexxus: Tipo=MB-EXT | Movimiento=GRAVAMEN LEY 25.413 S/CRED | Monto=238,29 | Fecha: 27/04/2026</t>
        </is>
      </c>
    </row>
    <row r="137">
      <c r="A137" s="8" t="inlineStr">
        <is>
          <t>PEND-0AB4F1299BB6-A001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108828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237.68</v>
      </c>
      <c r="J137" s="9" t="inlineStr"/>
      <c r="K137" s="8" t="inlineStr">
        <is>
          <t>Copiar en Flexxus: Tipo=MB-EXT | Movimiento=INGRESOS BRUTOS MENDOZA | Monto=237,68 | Fecha: 27/04/2026</t>
        </is>
      </c>
    </row>
    <row r="138">
      <c r="A138" s="8" t="inlineStr">
        <is>
          <t>PEND-68A673D81DCB-A001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108820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237.68</v>
      </c>
      <c r="J138" s="9" t="inlineStr"/>
      <c r="K138" s="8" t="inlineStr">
        <is>
          <t>Copiar en Flexxus: Tipo=MB-EXT | Movimiento=INGRESOS BRUTOS MENDOZA | Monto=237,68 | Fecha: 27/04/2026</t>
        </is>
      </c>
    </row>
    <row r="139">
      <c r="A139" s="8" t="inlineStr">
        <is>
          <t>PEND-BD5B0B63D902-A001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29841683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234.77</v>
      </c>
      <c r="J139" s="9" t="inlineStr"/>
      <c r="K139" s="8" t="inlineStr">
        <is>
          <t>Copiar en Flexxus: Tipo=MB-EXT | Movimiento=INGRESOS BRUTOS MENDOZA | Monto=234,77 | Fecha: 27/04/2026</t>
        </is>
      </c>
    </row>
    <row r="140">
      <c r="A140" s="8" t="inlineStr">
        <is>
          <t>PEND-9DCC4A8BE9DC-A001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108804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232.92</v>
      </c>
      <c r="J140" s="9" t="inlineStr"/>
      <c r="K140" s="8" t="inlineStr">
        <is>
          <t>Copiar en Flexxus: Tipo=MB-EXT | Movimiento=GRAVAMEN LEY 25.413 S/CRED | Monto=232,92 | Fecha: 27/04/2026</t>
        </is>
      </c>
    </row>
    <row r="141">
      <c r="A141" s="8" t="inlineStr">
        <is>
          <t>PEND-67B92D9B89C9-A001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108833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232.33</v>
      </c>
      <c r="J141" s="9" t="inlineStr"/>
      <c r="K141" s="8" t="inlineStr">
        <is>
          <t>Copiar en Flexxus: Tipo=MB-EXT | Movimiento=GRAVAMEN LEY 25.413 S/CRED | Monto=232,33 | Fecha: 27/04/2026</t>
        </is>
      </c>
    </row>
    <row r="142">
      <c r="A142" s="8" t="inlineStr">
        <is>
          <t>PEND-F69C33F19186-A001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108802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228.76</v>
      </c>
      <c r="J142" s="9" t="inlineStr"/>
      <c r="K142" s="8" t="inlineStr">
        <is>
          <t>Copiar en Flexxus: Tipo=MB-EXT | Movimiento=GRAVAMEN LEY 25.413 S/CRED | Monto=228,76 | Fecha: 27/04/2026</t>
        </is>
      </c>
    </row>
    <row r="143">
      <c r="A143" s="8" t="inlineStr">
        <is>
          <t>PEND-5EFD300C9252-A001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108826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228.76</v>
      </c>
      <c r="J143" s="9" t="inlineStr"/>
      <c r="K143" s="8" t="inlineStr">
        <is>
          <t>Copiar en Flexxus: Tipo=MB-EXT | Movimiento=INGRESOS BRUTOS MENDOZA | Monto=228,76 | Fecha: 27/04/2026</t>
        </is>
      </c>
    </row>
    <row r="144">
      <c r="A144" s="8" t="inlineStr">
        <is>
          <t>PEND-D704EF0DD82F-A001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108814</t>
        </is>
      </c>
      <c r="F144" s="8" t="inlineStr">
        <is>
          <t>INGRESOS BRUTOS MENDOZA</t>
        </is>
      </c>
      <c r="G144" s="8" t="inlineStr">
        <is>
          <t>Retención Ingresos Brutos Mendoza</t>
        </is>
      </c>
      <c r="H144" s="8" t="inlineStr">
        <is>
          <t>Retención de Ingresos Brutos</t>
        </is>
      </c>
      <c r="I144" s="9" t="n">
        <v>227.77</v>
      </c>
      <c r="J144" s="9" t="inlineStr"/>
      <c r="K144" s="8" t="inlineStr">
        <is>
          <t>Copiar en Flexxus: Tipo=MB-EXT | Movimiento=INGRESOS BRUTOS MENDOZA | Monto=227,77 | Fecha: 27/04/2026</t>
        </is>
      </c>
    </row>
    <row r="145">
      <c r="A145" s="8" t="inlineStr">
        <is>
          <t>PEND-333EFC82FC00-A001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108766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227.77</v>
      </c>
      <c r="J145" s="9" t="inlineStr"/>
      <c r="K145" s="8" t="inlineStr">
        <is>
          <t>Copiar en Flexxus: Tipo=MB-EXT | Movimiento=INGRESOS BRUTOS MENDOZA | Monto=227,77 | Fecha: 27/04/2026</t>
        </is>
      </c>
    </row>
    <row r="146">
      <c r="A146" s="8" t="inlineStr">
        <is>
          <t>PEND-0F0953A1CC59-A001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108836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206.78</v>
      </c>
      <c r="J146" s="9" t="inlineStr"/>
      <c r="K146" s="8" t="inlineStr">
        <is>
          <t>Copiar en Flexxus: Tipo=MB-EXT | Movimiento=GRAVAMEN LEY 25.413 S/CRED | Monto=206,78 | Fecha: 27/04/2026</t>
        </is>
      </c>
    </row>
    <row r="147">
      <c r="A147" s="8" t="inlineStr">
        <is>
          <t>PEND-A15097B16BEC-A001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108824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205</v>
      </c>
      <c r="J147" s="9" t="inlineStr"/>
      <c r="K147" s="8" t="inlineStr">
        <is>
          <t>Copiar en Flexxus: Tipo=MB-EXT | Movimiento=GRAVAMEN LEY 25.413 S/CRED | Monto=205,00 | Fecha: 27/04/2026</t>
        </is>
      </c>
    </row>
    <row r="148">
      <c r="A148" s="8" t="inlineStr">
        <is>
          <t>PEND-85BC33B095DD-A001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108791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205</v>
      </c>
      <c r="J148" s="9" t="inlineStr"/>
      <c r="K148" s="8" t="inlineStr">
        <is>
          <t>Copiar en Flexxus: Tipo=MB-EXT | Movimiento=GRAVAMEN LEY 25.413 S/CRED | Monto=205,00 | Fecha: 27/04/2026</t>
        </is>
      </c>
    </row>
    <row r="149">
      <c r="A149" s="8" t="inlineStr">
        <is>
          <t>PEND-B3C0B3FBC4FA-A001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108760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202.03</v>
      </c>
      <c r="J149" s="9" t="inlineStr"/>
      <c r="K149" s="8" t="inlineStr">
        <is>
          <t>Copiar en Flexxus: Tipo=MB-EXT | Movimiento=GRAVAMEN LEY 25.413 S/CRED | Monto=202,03 | Fecha: 27/04/2026</t>
        </is>
      </c>
    </row>
    <row r="150">
      <c r="A150" s="8" t="inlineStr">
        <is>
          <t>PEND-84AE2B66FD24-A001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108880</t>
        </is>
      </c>
      <c r="F150" s="8" t="inlineStr">
        <is>
          <t>I.V.A. BASE</t>
        </is>
      </c>
      <c r="G150" s="8" t="inlineStr">
        <is>
          <t>IVA base / IVA sobre gastos</t>
        </is>
      </c>
      <c r="H150" s="8" t="inlineStr">
        <is>
          <t>IVA crédito fiscal / revisar</t>
        </is>
      </c>
      <c r="I150" s="9" t="n">
        <v>200.76</v>
      </c>
      <c r="J150" s="9" t="inlineStr"/>
      <c r="K150" s="8" t="inlineStr">
        <is>
          <t>Copiar en Flexxus: Tipo=MB-EXT | Movimiento=I.V.A. BASE | Monto=200,76 | Fecha: 27/04/2026</t>
        </is>
      </c>
    </row>
    <row r="151">
      <c r="A151" s="8" t="inlineStr">
        <is>
          <t>PEND-B83B1784C1BF-A001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108778</t>
        </is>
      </c>
      <c r="F151" s="8" t="inlineStr">
        <is>
          <t>GRAVAMEN LEY 25413 S/CRED</t>
        </is>
      </c>
      <c r="G151" s="8" t="inlineStr">
        <is>
          <t>Anticipo Ganancias Ley 25.413 créditos</t>
        </is>
      </c>
      <c r="H151" s="8" t="inlineStr">
        <is>
          <t>Anticipo Impuesto a las Ganancias</t>
        </is>
      </c>
      <c r="I151" s="9" t="n">
        <v>199.05</v>
      </c>
      <c r="J151" s="9" t="inlineStr"/>
      <c r="K151" s="8" t="inlineStr">
        <is>
          <t>Copiar en Flexxus: Tipo=MB-EXT | Movimiento=GRAVAMEN LEY 25.413 S/CRED | Monto=199,05 | Fecha: 27/04/2026</t>
        </is>
      </c>
    </row>
    <row r="152">
      <c r="A152" s="8" t="inlineStr">
        <is>
          <t>PEND-5B6D5BAE6A3C-A001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108777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199.05</v>
      </c>
      <c r="J152" s="9" t="inlineStr"/>
      <c r="K152" s="8" t="inlineStr">
        <is>
          <t>Copiar en Flexxus: Tipo=MB-EXT | Movimiento=GRAVAMEN LEY 25.413 S/CRED | Monto=199,05 | Fecha: 27/04/2026</t>
        </is>
      </c>
    </row>
    <row r="153">
      <c r="A153" s="8" t="inlineStr">
        <is>
          <t>PEND-C949E109CDB1-A001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29841705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195.6</v>
      </c>
      <c r="J153" s="9" t="inlineStr"/>
      <c r="K153" s="8" t="inlineStr">
        <is>
          <t>Copiar en Flexxus: Tipo=MB-EXT | Movimiento=GRAVAMEN LEY 25.413 S/CRED | Monto=195,60 | Fecha: 27/04/2026</t>
        </is>
      </c>
    </row>
    <row r="154">
      <c r="A154" s="8" t="inlineStr">
        <is>
          <t>PEND-16A4A36A5D25-A001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108846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194.9</v>
      </c>
      <c r="J154" s="9" t="inlineStr"/>
      <c r="K154" s="8" t="inlineStr">
        <is>
          <t>Copiar en Flexxus: Tipo=MB-EXT | Movimiento=GRAVAMEN LEY 25.413 S/CRED | Monto=194,90 | Fecha: 27/04/2026</t>
        </is>
      </c>
    </row>
    <row r="155">
      <c r="A155" s="8" t="inlineStr">
        <is>
          <t>PEND-E7EF01C551A3-A001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108783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189.25</v>
      </c>
      <c r="J155" s="9" t="inlineStr"/>
      <c r="K155" s="8" t="inlineStr">
        <is>
          <t>Copiar en Flexxus: Tipo=MB-EXT | Movimiento=GRAVAMEN LEY 25.413 S/CRED | Monto=189,25 | Fecha: 27/04/2026</t>
        </is>
      </c>
    </row>
    <row r="156">
      <c r="A156" s="8" t="inlineStr">
        <is>
          <t>PEND-AB344D8DB465-A001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108792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189.15</v>
      </c>
      <c r="J156" s="9" t="inlineStr"/>
      <c r="K156" s="8" t="inlineStr">
        <is>
          <t>Copiar en Flexxus: Tipo=MB-EXT | Movimiento=INGRESOS BRUTOS MENDOZA | Monto=189,15 | Fecha: 27/04/2026</t>
        </is>
      </c>
    </row>
    <row r="157">
      <c r="A157" s="8" t="inlineStr">
        <is>
          <t>PEND-00D427584ED0-A001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29841642</t>
        </is>
      </c>
      <c r="F157" s="8" t="inlineStr">
        <is>
          <t>INGRESOS BRUTOS MENDOZA</t>
        </is>
      </c>
      <c r="G157" s="8" t="inlineStr">
        <is>
          <t>Retención Ingresos Brutos Mendoza</t>
        </is>
      </c>
      <c r="H157" s="8" t="inlineStr">
        <is>
          <t>Retención de Ingresos Brutos</t>
        </is>
      </c>
      <c r="I157" s="9" t="n">
        <v>188.8</v>
      </c>
      <c r="J157" s="9" t="inlineStr"/>
      <c r="K157" s="8" t="inlineStr">
        <is>
          <t>Copiar en Flexxus: Tipo=MB-EXT | Movimiento=INGRESOS BRUTOS MENDOZA | Monto=188,80 | Fecha: 27/04/2026</t>
        </is>
      </c>
    </row>
    <row r="158">
      <c r="A158" s="8" t="inlineStr">
        <is>
          <t>PEND-889C647F789F-A001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29841705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180.19</v>
      </c>
      <c r="J158" s="9" t="inlineStr"/>
      <c r="K158" s="8" t="inlineStr">
        <is>
          <t>Copiar en Flexxus: Tipo=MB-EXT | Movimiento=GRAVAMEN LEY 25.413 S/CRED | Monto=180,19 | Fecha: 27/04/2026</t>
        </is>
      </c>
    </row>
    <row r="159">
      <c r="A159" s="8" t="inlineStr">
        <is>
          <t>PEND-D12AF6A58094-A001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4062494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170.11</v>
      </c>
      <c r="J159" s="9" t="inlineStr"/>
      <c r="K159" s="8" t="inlineStr">
        <is>
          <t>Copiar en Flexxus: Tipo=MB-EXT | Movimiento=GRAVAMEN LEY 25.413 S/DEB | Monto=170,11 | Fecha: 27/04/2026</t>
        </is>
      </c>
    </row>
    <row r="160">
      <c r="A160" s="8" t="inlineStr">
        <is>
          <t>PEND-AA731AA3E1E3-A001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108806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168.16</v>
      </c>
      <c r="J160" s="9" t="inlineStr"/>
      <c r="K160" s="8" t="inlineStr">
        <is>
          <t>Copiar en Flexxus: Tipo=MB-EXT | Movimiento=GRAVAMEN LEY 25.413 S/CRED | Monto=168,16 | Fecha: 27/04/2026</t>
        </is>
      </c>
    </row>
    <row r="161">
      <c r="A161" s="8" t="inlineStr">
        <is>
          <t>PEND-9ACFD90B6562-A001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108819</t>
        </is>
      </c>
      <c r="F161" s="8" t="inlineStr">
        <is>
          <t>INGRESOS BRUTOS MENDOZA</t>
        </is>
      </c>
      <c r="G161" s="8" t="inlineStr">
        <is>
          <t>Retención Ingresos Brutos Mendoza</t>
        </is>
      </c>
      <c r="H161" s="8" t="inlineStr">
        <is>
          <t>Retención de Ingresos Brutos</t>
        </is>
      </c>
      <c r="I161" s="9" t="n">
        <v>166.37</v>
      </c>
      <c r="J161" s="9" t="inlineStr"/>
      <c r="K161" s="8" t="inlineStr">
        <is>
          <t>Copiar en Flexxus: Tipo=MB-EXT | Movimiento=INGRESOS BRUTOS MENDOZA | Monto=166,37 | Fecha: 27/04/2026</t>
        </is>
      </c>
    </row>
    <row r="162">
      <c r="A162" s="8" t="inlineStr">
        <is>
          <t>PEND-288DBE8AA325-A001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108829</t>
        </is>
      </c>
      <c r="F162" s="8" t="inlineStr">
        <is>
          <t>GRAVAMEN LEY 25413 S/CRED</t>
        </is>
      </c>
      <c r="G162" s="8" t="inlineStr">
        <is>
          <t>Anticipo Ganancias Ley 25.413 créditos</t>
        </is>
      </c>
      <c r="H162" s="8" t="inlineStr">
        <is>
          <t>Anticipo Impuesto a las Ganancias</t>
        </is>
      </c>
      <c r="I162" s="9" t="n">
        <v>165.78</v>
      </c>
      <c r="J162" s="9" t="inlineStr"/>
      <c r="K162" s="8" t="inlineStr">
        <is>
          <t>Copiar en Flexxus: Tipo=MB-EXT | Movimiento=GRAVAMEN LEY 25.413 S/CRED | Monto=165,78 | Fecha: 27/04/2026</t>
        </is>
      </c>
    </row>
    <row r="163">
      <c r="A163" s="8" t="inlineStr">
        <is>
          <t>PEND-8A48BBBA3991-A001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108834</t>
        </is>
      </c>
      <c r="F163" s="8" t="inlineStr">
        <is>
          <t>GRAVAMEN LEY 25413 S/CRED</t>
        </is>
      </c>
      <c r="G163" s="8" t="inlineStr">
        <is>
          <t>Anticipo Ganancias Ley 25.413 créditos</t>
        </is>
      </c>
      <c r="H163" s="8" t="inlineStr">
        <is>
          <t>Anticipo Impuesto a las Ganancias</t>
        </is>
      </c>
      <c r="I163" s="9" t="n">
        <v>161.03</v>
      </c>
      <c r="J163" s="9" t="inlineStr"/>
      <c r="K163" s="8" t="inlineStr">
        <is>
          <t>Copiar en Flexxus: Tipo=MB-EXT | Movimiento=GRAVAMEN LEY 25.413 S/CRED | Monto=161,03 | Fecha: 27/04/2026</t>
        </is>
      </c>
    </row>
    <row r="164">
      <c r="A164" s="8" t="inlineStr">
        <is>
          <t>PEND-698BCE59AA12-A001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108835</t>
        </is>
      </c>
      <c r="F164" s="8" t="inlineStr">
        <is>
          <t>GRAVAMEN LEY 25413 S/CRED</t>
        </is>
      </c>
      <c r="G164" s="8" t="inlineStr">
        <is>
          <t>Anticipo Ganancias Ley 25.413 créditos</t>
        </is>
      </c>
      <c r="H164" s="8" t="inlineStr">
        <is>
          <t>Anticipo Impuesto a las Ganancias</t>
        </is>
      </c>
      <c r="I164" s="9" t="n">
        <v>160.43</v>
      </c>
      <c r="J164" s="9" t="inlineStr"/>
      <c r="K164" s="8" t="inlineStr">
        <is>
          <t>Copiar en Flexxus: Tipo=MB-EXT | Movimiento=GRAVAMEN LEY 25.413 S/CRED | Monto=160,43 | Fecha: 27/04/2026</t>
        </is>
      </c>
    </row>
    <row r="165">
      <c r="A165" s="8" t="inlineStr">
        <is>
          <t>PEND-27A2F2873284-A001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108813</t>
        </is>
      </c>
      <c r="F165" s="8" t="inlineStr">
        <is>
          <t>GRAVAMEN LEY 25413 S/CRED</t>
        </is>
      </c>
      <c r="G165" s="8" t="inlineStr">
        <is>
          <t>Anticipo Ganancias Ley 25.413 créditos</t>
        </is>
      </c>
      <c r="H165" s="8" t="inlineStr">
        <is>
          <t>Anticipo Impuesto a las Ganancias</t>
        </is>
      </c>
      <c r="I165" s="9" t="n">
        <v>160.43</v>
      </c>
      <c r="J165" s="9" t="inlineStr"/>
      <c r="K165" s="8" t="inlineStr">
        <is>
          <t>Copiar en Flexxus: Tipo=MB-EXT | Movimiento=GRAVAMEN LEY 25.413 S/CRED | Monto=160,43 | Fecha: 27/04/2026</t>
        </is>
      </c>
    </row>
    <row r="166">
      <c r="A166" s="8" t="inlineStr">
        <is>
          <t>PEND-00FE55992B23-A001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108805</t>
        </is>
      </c>
      <c r="F166" s="8" t="inlineStr">
        <is>
          <t>GRAVAMEN LEY 25413 S/CRED</t>
        </is>
      </c>
      <c r="G166" s="8" t="inlineStr">
        <is>
          <t>Anticipo Ganancias Ley 25.413 créditos</t>
        </is>
      </c>
      <c r="H166" s="8" t="inlineStr">
        <is>
          <t>Anticipo Impuesto a las Ganancias</t>
        </is>
      </c>
      <c r="I166" s="9" t="n">
        <v>160.43</v>
      </c>
      <c r="J166" s="9" t="inlineStr"/>
      <c r="K166" s="8" t="inlineStr">
        <is>
          <t>Copiar en Flexxus: Tipo=MB-EXT | Movimiento=GRAVAMEN LEY 25.413 S/CRED | Monto=160,43 | Fecha: 27/04/2026</t>
        </is>
      </c>
    </row>
    <row r="167">
      <c r="A167" s="8" t="inlineStr">
        <is>
          <t>PEND-E0DD6BAD9E9C-A001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108765</t>
        </is>
      </c>
      <c r="F167" s="8" t="inlineStr">
        <is>
          <t>GRAVAMEN LEY 25413 S/CRED</t>
        </is>
      </c>
      <c r="G167" s="8" t="inlineStr">
        <is>
          <t>Anticipo Ganancias Ley 25.413 créditos</t>
        </is>
      </c>
      <c r="H167" s="8" t="inlineStr">
        <is>
          <t>Anticipo Impuesto a las Ganancias</t>
        </is>
      </c>
      <c r="I167" s="9" t="n">
        <v>160.43</v>
      </c>
      <c r="J167" s="9" t="inlineStr"/>
      <c r="K167" s="8" t="inlineStr">
        <is>
          <t>Copiar en Flexxus: Tipo=MB-EXT | Movimiento=GRAVAMEN LEY 25.413 S/CRED | Monto=160,43 | Fecha: 27/04/2026</t>
        </is>
      </c>
    </row>
    <row r="168">
      <c r="A168" s="8" t="inlineStr">
        <is>
          <t>PEND-83EE694324B2-A001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108797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153.3</v>
      </c>
      <c r="J168" s="9" t="inlineStr"/>
      <c r="K168" s="8" t="inlineStr">
        <is>
          <t>Copiar en Flexxus: Tipo=MB-EXT | Movimiento=GRAVAMEN LEY 25.413 S/CRED | Monto=153,30 | Fecha: 27/04/2026</t>
        </is>
      </c>
    </row>
    <row r="169">
      <c r="A169" s="8" t="inlineStr">
        <is>
          <t>PEND-9E58A4E81F76-A001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108847</t>
        </is>
      </c>
      <c r="F169" s="8" t="inlineStr">
        <is>
          <t>GRAVAMEN LEY 25413 S/CRED</t>
        </is>
      </c>
      <c r="G169" s="8" t="inlineStr">
        <is>
          <t>Anticipo Ganancias Ley 25.413 créditos</t>
        </is>
      </c>
      <c r="H169" s="8" t="inlineStr">
        <is>
          <t>Anticipo Impuesto a las Ganancias</t>
        </is>
      </c>
      <c r="I169" s="9" t="n">
        <v>148.55</v>
      </c>
      <c r="J169" s="9" t="inlineStr"/>
      <c r="K169" s="8" t="inlineStr">
        <is>
          <t>Copiar en Flexxus: Tipo=MB-EXT | Movimiento=GRAVAMEN LEY 25.413 S/CRED | Monto=148,55 | Fecha: 27/04/2026</t>
        </is>
      </c>
    </row>
    <row r="170">
      <c r="A170" s="8" t="inlineStr">
        <is>
          <t>PEND-C558D9BF22AD-A001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108823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148.55</v>
      </c>
      <c r="J170" s="9" t="inlineStr"/>
      <c r="K170" s="8" t="inlineStr">
        <is>
          <t>Copiar en Flexxus: Tipo=MB-EXT | Movimiento=GRAVAMEN LEY 25.413 S/CRED | Monto=148,55 | Fecha: 27/04/2026</t>
        </is>
      </c>
    </row>
    <row r="171">
      <c r="A171" s="8" t="inlineStr">
        <is>
          <t>PEND-856E86024F04-A001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108789</t>
        </is>
      </c>
      <c r="F171" s="8" t="inlineStr">
        <is>
          <t>GRAVAMEN LEY 25413 S/CRED</t>
        </is>
      </c>
      <c r="G171" s="8" t="inlineStr">
        <is>
          <t>Anticipo Ganancias Ley 25.413 créditos</t>
        </is>
      </c>
      <c r="H171" s="8" t="inlineStr">
        <is>
          <t>Anticipo Impuesto a las Ganancias</t>
        </is>
      </c>
      <c r="I171" s="9" t="n">
        <v>148.55</v>
      </c>
      <c r="J171" s="9" t="inlineStr"/>
      <c r="K171" s="8" t="inlineStr">
        <is>
          <t>Copiar en Flexxus: Tipo=MB-EXT | Movimiento=GRAVAMEN LEY 25.413 S/CRED | Monto=148,55 | Fecha: 27/04/2026</t>
        </is>
      </c>
    </row>
    <row r="172">
      <c r="A172" s="8" t="inlineStr">
        <is>
          <t>PEND-F5A713ABCC27-A001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108808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148.55</v>
      </c>
      <c r="J172" s="9" t="inlineStr"/>
      <c r="K172" s="8" t="inlineStr">
        <is>
          <t>Copiar en Flexxus: Tipo=MB-EXT | Movimiento=INGRESOS BRUTOS MENDOZA | Monto=148,55 | Fecha: 27/04/2026</t>
        </is>
      </c>
    </row>
    <row r="173">
      <c r="A173" s="8" t="inlineStr">
        <is>
          <t>PEND-9BE199CE8362-A001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108809</t>
        </is>
      </c>
      <c r="F173" s="8" t="inlineStr">
        <is>
          <t>GRAVAMEN LEY 25413 S/CRED</t>
        </is>
      </c>
      <c r="G173" s="8" t="inlineStr">
        <is>
          <t>Anticipo Ganancias Ley 25.413 créditos</t>
        </is>
      </c>
      <c r="H173" s="8" t="inlineStr">
        <is>
          <t>Anticipo Impuesto a las Ganancias</t>
        </is>
      </c>
      <c r="I173" s="9" t="n">
        <v>147.36</v>
      </c>
      <c r="J173" s="9" t="inlineStr"/>
      <c r="K173" s="8" t="inlineStr">
        <is>
          <t>Copiar en Flexxus: Tipo=MB-EXT | Movimiento=GRAVAMEN LEY 25.413 S/CRED | Monto=147,36 | Fecha: 27/04/2026</t>
        </is>
      </c>
    </row>
    <row r="174">
      <c r="A174" s="8" t="inlineStr">
        <is>
          <t>PEND-BB710B584964-A001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108815</t>
        </is>
      </c>
      <c r="F174" s="8" t="inlineStr">
        <is>
          <t>INGRESOS BRUTOS MENDOZA</t>
        </is>
      </c>
      <c r="G174" s="8" t="inlineStr">
        <is>
          <t>Retención Ingresos Brutos Mendoza</t>
        </is>
      </c>
      <c r="H174" s="8" t="inlineStr">
        <is>
          <t>Retención de Ingresos Brutos</t>
        </is>
      </c>
      <c r="I174" s="9" t="n">
        <v>146.57</v>
      </c>
      <c r="J174" s="9" t="inlineStr"/>
      <c r="K174" s="8" t="inlineStr">
        <is>
          <t>Copiar en Flexxus: Tipo=MB-EXT | Movimiento=INGRESOS BRUTOS MENDOZA | Monto=146,57 | Fecha: 27/04/2026</t>
        </is>
      </c>
    </row>
    <row r="175">
      <c r="A175" s="8" t="inlineStr">
        <is>
          <t>PEND-68457782D84A-A001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108844</t>
        </is>
      </c>
      <c r="F175" s="8" t="inlineStr">
        <is>
          <t>GRAVAMEN LEY 25413 S/CRED</t>
        </is>
      </c>
      <c r="G175" s="8" t="inlineStr">
        <is>
          <t>Anticipo Ganancias Ley 25.413 créditos</t>
        </is>
      </c>
      <c r="H175" s="8" t="inlineStr">
        <is>
          <t>Anticipo Impuesto a las Ganancias</t>
        </is>
      </c>
      <c r="I175" s="9" t="n">
        <v>146.17</v>
      </c>
      <c r="J175" s="9" t="inlineStr"/>
      <c r="K175" s="8" t="inlineStr">
        <is>
          <t>Copiar en Flexxus: Tipo=MB-EXT | Movimiento=GRAVAMEN LEY 25.413 S/CRED | Monto=146,17 | Fecha: 27/04/2026</t>
        </is>
      </c>
    </row>
    <row r="176">
      <c r="A176" s="8" t="inlineStr">
        <is>
          <t>PEND-55A697A3357A-A001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32032899</t>
        </is>
      </c>
      <c r="F176" s="8" t="inlineStr">
        <is>
          <t>DEB LIQ MASTERCARD 24H</t>
        </is>
      </c>
      <c r="G176" s="8" t="inlineStr">
        <is>
          <t>Débito liquidación tarjeta</t>
        </is>
      </c>
      <c r="H176" s="8" t="inlineStr">
        <is>
          <t>Revisar según concepto</t>
        </is>
      </c>
      <c r="I176" s="9" t="n">
        <v>145.75</v>
      </c>
      <c r="J176" s="9" t="inlineStr"/>
      <c r="K176" s="8" t="inlineStr">
        <is>
          <t>Copiar en Flexxus: Tipo=MB-EXT | Movimiento=DEB LIQ MASTERCARD 24H | Monto=145,75 | Fecha: 27/04/2026</t>
        </is>
      </c>
    </row>
    <row r="177">
      <c r="A177" s="8" t="inlineStr">
        <is>
          <t>PEND-84D460AFE38D-A001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108803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145.58</v>
      </c>
      <c r="J177" s="9" t="inlineStr"/>
      <c r="K177" s="8" t="inlineStr">
        <is>
          <t>Copiar en Flexxus: Tipo=MB-EXT | Movimiento=GRAVAMEN LEY 25.413 S/CRED | Monto=145,58 | Fecha: 27/04/2026</t>
        </is>
      </c>
    </row>
    <row r="178">
      <c r="A178" s="8" t="inlineStr">
        <is>
          <t>PEND-636510912159-A001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108828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142.61</v>
      </c>
      <c r="J178" s="9" t="inlineStr"/>
      <c r="K178" s="8" t="inlineStr">
        <is>
          <t>Copiar en Flexxus: Tipo=MB-EXT | Movimiento=GRAVAMEN LEY 25.413 S/CRED | Monto=142,61 | Fecha: 27/04/2026</t>
        </is>
      </c>
    </row>
    <row r="179">
      <c r="A179" s="8" t="inlineStr">
        <is>
          <t>PEND-31746442CC6A-A001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108820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142.61</v>
      </c>
      <c r="J179" s="9" t="inlineStr"/>
      <c r="K179" s="8" t="inlineStr">
        <is>
          <t>Copiar en Flexxus: Tipo=MB-EXT | Movimiento=GRAVAMEN LEY 25.413 S/CRED | Monto=142,61 | Fecha: 27/04/2026</t>
        </is>
      </c>
    </row>
    <row r="180">
      <c r="A180" s="8" t="inlineStr">
        <is>
          <t>PEND-78B71B918244-A001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29841683</t>
        </is>
      </c>
      <c r="F180" s="8" t="inlineStr">
        <is>
          <t>GRAVAMEN LEY 25413 S/CRED</t>
        </is>
      </c>
      <c r="G180" s="8" t="inlineStr">
        <is>
          <t>Anticipo Ganancias Ley 25.413 créditos</t>
        </is>
      </c>
      <c r="H180" s="8" t="inlineStr">
        <is>
          <t>Anticipo Impuesto a las Ganancias</t>
        </is>
      </c>
      <c r="I180" s="9" t="n">
        <v>140.86</v>
      </c>
      <c r="J180" s="9" t="inlineStr"/>
      <c r="K180" s="8" t="inlineStr">
        <is>
          <t>Copiar en Flexxus: Tipo=MB-EXT | Movimiento=GRAVAMEN LEY 25.413 S/CRED | Monto=140,86 | Fecha: 27/04/2026</t>
        </is>
      </c>
    </row>
    <row r="181">
      <c r="A181" s="8" t="inlineStr">
        <is>
          <t>PEND-E5790C1AE621-A001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108826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137.26</v>
      </c>
      <c r="J181" s="9" t="inlineStr"/>
      <c r="K181" s="8" t="inlineStr">
        <is>
          <t>Copiar en Flexxus: Tipo=MB-EXT | Movimiento=GRAVAMEN LEY 25.413 S/CRED | Monto=137,26 | Fecha: 27/04/2026</t>
        </is>
      </c>
    </row>
    <row r="182">
      <c r="A182" s="8" t="inlineStr">
        <is>
          <t>PEND-58D94E2A3706-A001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108814</t>
        </is>
      </c>
      <c r="F182" s="8" t="inlineStr">
        <is>
          <t>GRAVAMEN LEY 25413 S/CRED</t>
        </is>
      </c>
      <c r="G182" s="8" t="inlineStr">
        <is>
          <t>Anticipo Ganancias Ley 25.413 créditos</t>
        </is>
      </c>
      <c r="H182" s="8" t="inlineStr">
        <is>
          <t>Anticipo Impuesto a las Ganancias</t>
        </is>
      </c>
      <c r="I182" s="9" t="n">
        <v>136.66</v>
      </c>
      <c r="J182" s="9" t="inlineStr"/>
      <c r="K182" s="8" t="inlineStr">
        <is>
          <t>Copiar en Flexxus: Tipo=MB-EXT | Movimiento=GRAVAMEN LEY 25.413 S/CRED | Monto=136,66 | Fecha: 27/04/2026</t>
        </is>
      </c>
    </row>
    <row r="183">
      <c r="A183" s="8" t="inlineStr">
        <is>
          <t>PEND-51D6F64164E3-A001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108766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136.66</v>
      </c>
      <c r="J183" s="9" t="inlineStr"/>
      <c r="K183" s="8" t="inlineStr">
        <is>
          <t>Copiar en Flexxus: Tipo=MB-EXT | Movimiento=GRAVAMEN LEY 25.413 S/CRED | Monto=136,66 | Fecha: 27/04/2026</t>
        </is>
      </c>
    </row>
    <row r="184">
      <c r="A184" s="8" t="inlineStr">
        <is>
          <t>PEND-C0C652FE5B5B-A001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108825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133.69</v>
      </c>
      <c r="J184" s="9" t="inlineStr"/>
      <c r="K184" s="8" t="inlineStr">
        <is>
          <t>Copiar en Flexxus: Tipo=MB-EXT | Movimiento=INGRESOS BRUTOS MENDOZA | Monto=133,69 | Fecha: 27/04/2026</t>
        </is>
      </c>
    </row>
    <row r="185">
      <c r="A185" s="8" t="inlineStr">
        <is>
          <t>PEND-DE34BEE0BA94-A001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108816</t>
        </is>
      </c>
      <c r="F185" s="8" t="inlineStr">
        <is>
          <t>INGRESOS BRUTOS MENDOZA</t>
        </is>
      </c>
      <c r="G185" s="8" t="inlineStr">
        <is>
          <t>Retención Ingresos Brutos Mendoza</t>
        </is>
      </c>
      <c r="H185" s="8" t="inlineStr">
        <is>
          <t>Retención de Ingresos Brutos</t>
        </is>
      </c>
      <c r="I185" s="9" t="n">
        <v>133.69</v>
      </c>
      <c r="J185" s="9" t="inlineStr"/>
      <c r="K185" s="8" t="inlineStr">
        <is>
          <t>Copiar en Flexxus: Tipo=MB-EXT | Movimiento=INGRESOS BRUTOS MENDOZA | Monto=133,69 | Fecha: 27/04/2026</t>
        </is>
      </c>
    </row>
    <row r="186">
      <c r="A186" s="8" t="inlineStr">
        <is>
          <t>PEND-1022ECDD6465-A001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108767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133.69</v>
      </c>
      <c r="J186" s="9" t="inlineStr"/>
      <c r="K186" s="8" t="inlineStr">
        <is>
          <t>Copiar en Flexxus: Tipo=MB-EXT | Movimiento=INGRESOS BRUTOS MENDOZA | Monto=133,69 | Fecha: 27/04/2026</t>
        </is>
      </c>
    </row>
    <row r="187">
      <c r="A187" s="8" t="inlineStr">
        <is>
          <t>PEND-80538D71D012-A001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108764</t>
        </is>
      </c>
      <c r="F187" s="8" t="inlineStr">
        <is>
          <t>INGRESOS BRUTOS MENDOZA</t>
        </is>
      </c>
      <c r="G187" s="8" t="inlineStr">
        <is>
          <t>Retención Ingresos Brutos Mendoza</t>
        </is>
      </c>
      <c r="H187" s="8" t="inlineStr">
        <is>
          <t>Retención de Ingresos Brutos</t>
        </is>
      </c>
      <c r="I187" s="9" t="n">
        <v>133.69</v>
      </c>
      <c r="J187" s="9" t="inlineStr"/>
      <c r="K187" s="8" t="inlineStr">
        <is>
          <t>Copiar en Flexxus: Tipo=MB-EXT | Movimiento=INGRESOS BRUTOS MENDOZA | Monto=133,69 | Fecha: 27/04/2026</t>
        </is>
      </c>
    </row>
    <row r="188">
      <c r="A188" s="8" t="inlineStr">
        <is>
          <t>PEND-252B188BB41B-A001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29841627</t>
        </is>
      </c>
      <c r="F188" s="8" t="inlineStr">
        <is>
          <t>INGRESOS BRUTOS MENDOZA</t>
        </is>
      </c>
      <c r="G188" s="8" t="inlineStr">
        <is>
          <t>Retención Ingresos Brutos Mendoza</t>
        </is>
      </c>
      <c r="H188" s="8" t="inlineStr">
        <is>
          <t>Retención de Ingresos Brutos</t>
        </is>
      </c>
      <c r="I188" s="9" t="n">
        <v>133.37</v>
      </c>
      <c r="J188" s="9" t="inlineStr"/>
      <c r="K188" s="8" t="inlineStr">
        <is>
          <t>Copiar en Flexxus: Tipo=MB-EXT | Movimiento=INGRESOS BRUTOS MENDOZA | Monto=133,37 | Fecha: 27/04/2026</t>
        </is>
      </c>
    </row>
    <row r="189">
      <c r="A189" s="8" t="inlineStr">
        <is>
          <t>PEND-B977B7940F3C-A001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108776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131.71</v>
      </c>
      <c r="J189" s="9" t="inlineStr"/>
      <c r="K189" s="8" t="inlineStr">
        <is>
          <t>Copiar en Flexxus: Tipo=MB-EXT | Movimiento=INGRESOS BRUTOS MENDOZA | Monto=131,71 | Fecha: 27/04/2026</t>
        </is>
      </c>
    </row>
    <row r="190">
      <c r="A190" s="8" t="inlineStr">
        <is>
          <t>PEND-272E857528E8-A001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108794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125.77</v>
      </c>
      <c r="J190" s="9" t="inlineStr"/>
      <c r="K190" s="8" t="inlineStr">
        <is>
          <t>Copiar en Flexxus: Tipo=MB-EXT | Movimiento=INGRESOS BRUTOS MENDOZA | Monto=125,77 | Fecha: 27/04/2026</t>
        </is>
      </c>
    </row>
    <row r="191">
      <c r="A191" s="8" t="inlineStr">
        <is>
          <t>PEND-67B7B13152CA-A001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108831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123.79</v>
      </c>
      <c r="J191" s="9" t="inlineStr"/>
      <c r="K191" s="8" t="inlineStr">
        <is>
          <t>Copiar en Flexxus: Tipo=MB-EXT | Movimiento=INGRESOS BRUTOS MENDOZA | Monto=123,79 | Fecha: 27/04/2026</t>
        </is>
      </c>
    </row>
    <row r="192">
      <c r="A192" s="8" t="inlineStr">
        <is>
          <t>PEND-F541EC993B51-A001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108779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122.8</v>
      </c>
      <c r="J192" s="9" t="inlineStr"/>
      <c r="K192" s="8" t="inlineStr">
        <is>
          <t>Copiar en Flexxus: Tipo=MB-EXT | Movimiento=INGRESOS BRUTOS MENDOZA | Monto=122,80 | Fecha: 27/04/2026</t>
        </is>
      </c>
    </row>
    <row r="193">
      <c r="A193" s="8" t="inlineStr">
        <is>
          <t>PEND-5AF871C5CD5B-A001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108832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116.86</v>
      </c>
      <c r="J193" s="9" t="inlineStr"/>
      <c r="K193" s="8" t="inlineStr">
        <is>
          <t>Copiar en Flexxus: Tipo=MB-EXT | Movimiento=INGRESOS BRUTOS MENDOZA | Monto=116,86 | Fecha: 27/04/2026</t>
        </is>
      </c>
    </row>
    <row r="194">
      <c r="A194" s="8" t="inlineStr">
        <is>
          <t>PEND-6190CC51E796-A001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108843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113.89</v>
      </c>
      <c r="J194" s="9" t="inlineStr"/>
      <c r="K194" s="8" t="inlineStr">
        <is>
          <t>Copiar en Flexxus: Tipo=MB-EXT | Movimiento=INGRESOS BRUTOS MENDOZA | Monto=113,89 | Fecha: 27/04/2026</t>
        </is>
      </c>
    </row>
    <row r="195">
      <c r="A195" s="8" t="inlineStr">
        <is>
          <t>PEND-837CB6E03170-A001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108822</t>
        </is>
      </c>
      <c r="F195" s="8" t="inlineStr">
        <is>
          <t>INGRESOS BRUTOS MENDOZA</t>
        </is>
      </c>
      <c r="G195" s="8" t="inlineStr">
        <is>
          <t>Retención Ingresos Brutos Mendoza</t>
        </is>
      </c>
      <c r="H195" s="8" t="inlineStr">
        <is>
          <t>Retención de Ingresos Brutos</t>
        </is>
      </c>
      <c r="I195" s="9" t="n">
        <v>113.89</v>
      </c>
      <c r="J195" s="9" t="inlineStr"/>
      <c r="K195" s="8" t="inlineStr">
        <is>
          <t>Copiar en Flexxus: Tipo=MB-EXT | Movimiento=INGRESOS BRUTOS MENDOZA | Monto=113,89 | Fecha: 27/04/2026</t>
        </is>
      </c>
    </row>
    <row r="196">
      <c r="A196" s="8" t="inlineStr">
        <is>
          <t>PEND-696B712D6154-A001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108786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113.89</v>
      </c>
      <c r="J196" s="9" t="inlineStr"/>
      <c r="K196" s="8" t="inlineStr">
        <is>
          <t>Copiar en Flexxus: Tipo=MB-EXT | Movimiento=INGRESOS BRUTOS MENDOZA | Monto=113,89 | Fecha: 27/04/2026</t>
        </is>
      </c>
    </row>
    <row r="197">
      <c r="A197" s="8" t="inlineStr">
        <is>
          <t>PEND-EE0A08B4F62A-A001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108792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113.49</v>
      </c>
      <c r="J197" s="9" t="inlineStr"/>
      <c r="K197" s="8" t="inlineStr">
        <is>
          <t>Copiar en Flexxus: Tipo=MB-EXT | Movimiento=GRAVAMEN LEY 25.413 S/CRED | Monto=113,49 | Fecha: 27/04/2026</t>
        </is>
      </c>
    </row>
    <row r="198">
      <c r="A198" s="8" t="inlineStr">
        <is>
          <t>PEND-62E512DC55F6-A001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29841642</t>
        </is>
      </c>
      <c r="F198" s="8" t="inlineStr">
        <is>
          <t>GRAVAMEN LEY 25413 S/CRED</t>
        </is>
      </c>
      <c r="G198" s="8" t="inlineStr">
        <is>
          <t>Anticipo Ganancias Ley 25.413 créditos</t>
        </is>
      </c>
      <c r="H198" s="8" t="inlineStr">
        <is>
          <t>Anticipo Impuesto a las Ganancias</t>
        </is>
      </c>
      <c r="I198" s="9" t="n">
        <v>113.28</v>
      </c>
      <c r="J198" s="9" t="inlineStr"/>
      <c r="K198" s="8" t="inlineStr">
        <is>
          <t>Copiar en Flexxus: Tipo=MB-EXT | Movimiento=GRAVAMEN LEY 25.413 S/CRED | Monto=113,28 | Fecha: 27/04/2026</t>
        </is>
      </c>
    </row>
    <row r="199">
      <c r="A199" s="8" t="inlineStr">
        <is>
          <t>PEND-DFB0CE1E430A-A001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108788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104.97</v>
      </c>
      <c r="J199" s="9" t="inlineStr"/>
      <c r="K199" s="8" t="inlineStr">
        <is>
          <t>Copiar en Flexxus: Tipo=MB-EXT | Movimiento=INGRESOS BRUTOS MENDOZA | Monto=104,97 | Fecha: 27/04/2026</t>
        </is>
      </c>
    </row>
    <row r="200">
      <c r="A200" s="8" t="inlineStr">
        <is>
          <t>PEND-6CA3B776887D-A001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108819</t>
        </is>
      </c>
      <c r="F200" s="8" t="inlineStr">
        <is>
          <t>GRAVAMEN LEY 25413 S/CRED</t>
        </is>
      </c>
      <c r="G200" s="8" t="inlineStr">
        <is>
          <t>Anticipo Ganancias Ley 25.413 créditos</t>
        </is>
      </c>
      <c r="H200" s="8" t="inlineStr">
        <is>
          <t>Anticipo Impuesto a las Ganancias</t>
        </is>
      </c>
      <c r="I200" s="9" t="n">
        <v>99.81999999999999</v>
      </c>
      <c r="J200" s="9" t="inlineStr"/>
      <c r="K200" s="8" t="inlineStr">
        <is>
          <t>Copiar en Flexxus: Tipo=MB-EXT | Movimiento=GRAVAMEN LEY 25.413 S/CRED | Monto=99,82 | Fecha: 27/04/2026</t>
        </is>
      </c>
    </row>
    <row r="201">
      <c r="A201" s="8" t="inlineStr">
        <is>
          <t>PEND-E70CEC9F433E-A001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29841627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98.79000000000001</v>
      </c>
      <c r="J201" s="9" t="inlineStr"/>
      <c r="K201" s="8" t="inlineStr">
        <is>
          <t>Copiar en Flexxus: Tipo=MB-EXT | Movimiento=INGRESOS BRUTOS MENDOZA | Monto=98,79 | Fecha: 27/04/2026</t>
        </is>
      </c>
    </row>
    <row r="202">
      <c r="A202" s="8" t="inlineStr">
        <is>
          <t>PEND-193DAA6500C3-A001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108790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98.04000000000001</v>
      </c>
      <c r="J202" s="9" t="inlineStr"/>
      <c r="K202" s="8" t="inlineStr">
        <is>
          <t>Copiar en Flexxus: Tipo=MB-EXT | Movimiento=INGRESOS BRUTOS MENDOZA | Monto=98,04 | Fecha: 27/04/2026</t>
        </is>
      </c>
    </row>
    <row r="203">
      <c r="A203" s="8" t="inlineStr">
        <is>
          <t>PEND-6250B9FB6854-A001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108768</t>
        </is>
      </c>
      <c r="F203" s="8" t="inlineStr">
        <is>
          <t>INGRESOS BRUTOS MENDOZA</t>
        </is>
      </c>
      <c r="G203" s="8" t="inlineStr">
        <is>
          <t>Retención Ingresos Brutos Mendoza</t>
        </is>
      </c>
      <c r="H203" s="8" t="inlineStr">
        <is>
          <t>Retención de Ingresos Brutos</t>
        </is>
      </c>
      <c r="I203" s="9" t="n">
        <v>94.08</v>
      </c>
      <c r="J203" s="9" t="inlineStr"/>
      <c r="K203" s="8" t="inlineStr">
        <is>
          <t>Copiar en Flexxus: Tipo=MB-EXT | Movimiento=INGRESOS BRUTOS MENDOZA | Monto=94,08 | Fecha: 27/04/2026</t>
        </is>
      </c>
    </row>
    <row r="204">
      <c r="A204" s="8" t="inlineStr">
        <is>
          <t>PEND-113D846FC2EE-A001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29841705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91.95</v>
      </c>
      <c r="J204" s="9" t="inlineStr"/>
      <c r="K204" s="8" t="inlineStr">
        <is>
          <t>Copiar en Flexxus: Tipo=MB-EXT | Movimiento=INGRESOS BRUTOS MENDOZA | Monto=91,95 | Fecha: 27/04/2026</t>
        </is>
      </c>
    </row>
    <row r="205">
      <c r="A205" s="8" t="inlineStr">
        <is>
          <t>PEND-D15F50D525FE-A001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108808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89.13</v>
      </c>
      <c r="J205" s="9" t="inlineStr"/>
      <c r="K205" s="8" t="inlineStr">
        <is>
          <t>Copiar en Flexxus: Tipo=MB-EXT | Movimiento=GRAVAMEN LEY 25.413 S/CRED | Monto=89,13 | Fecha: 27/04/2026</t>
        </is>
      </c>
    </row>
    <row r="206">
      <c r="A206" s="8" t="inlineStr">
        <is>
          <t>PEND-FA89BC97A7FD-A001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108801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89.13</v>
      </c>
      <c r="J206" s="9" t="inlineStr"/>
      <c r="K206" s="8" t="inlineStr">
        <is>
          <t>Copiar en Flexxus: Tipo=MB-EXT | Movimiento=INGRESOS BRUTOS MENDOZA | Monto=89,13 | Fecha: 27/04/2026</t>
        </is>
      </c>
    </row>
    <row r="207">
      <c r="A207" s="8" t="inlineStr">
        <is>
          <t>PEND-7AB8C358DCF9-A001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108799</t>
        </is>
      </c>
      <c r="F207" s="8" t="inlineStr">
        <is>
          <t>INGRESOS BRUTOS MENDOZA</t>
        </is>
      </c>
      <c r="G207" s="8" t="inlineStr">
        <is>
          <t>Retención Ingresos Brutos Mendoza</t>
        </is>
      </c>
      <c r="H207" s="8" t="inlineStr">
        <is>
          <t>Retención de Ingresos Brutos</t>
        </is>
      </c>
      <c r="I207" s="9" t="n">
        <v>89.13</v>
      </c>
      <c r="J207" s="9" t="inlineStr"/>
      <c r="K207" s="8" t="inlineStr">
        <is>
          <t>Copiar en Flexxus: Tipo=MB-EXT | Movimiento=INGRESOS BRUTOS MENDOZA | Monto=89,13 | Fecha: 27/04/2026</t>
        </is>
      </c>
    </row>
    <row r="208">
      <c r="A208" s="8" t="inlineStr">
        <is>
          <t>PEND-59B34F0FEB69-A001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108815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87.94</v>
      </c>
      <c r="J208" s="9" t="inlineStr"/>
      <c r="K208" s="8" t="inlineStr">
        <is>
          <t>Copiar en Flexxus: Tipo=MB-EXT | Movimiento=GRAVAMEN LEY 25.413 S/CRED | Monto=87,94 | Fecha: 27/04/2026</t>
        </is>
      </c>
    </row>
    <row r="209">
      <c r="A209" s="8" t="inlineStr">
        <is>
          <t>PEND-6E098A426B62-A001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108773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84.18000000000001</v>
      </c>
      <c r="J209" s="9" t="inlineStr"/>
      <c r="K209" s="8" t="inlineStr">
        <is>
          <t>Copiar en Flexxus: Tipo=MB-EXT | Movimiento=INGRESOS BRUTOS MENDOZA | Monto=84,18 | Fecha: 27/04/2026</t>
        </is>
      </c>
    </row>
    <row r="210">
      <c r="A210" s="8" t="inlineStr">
        <is>
          <t>PEND-9F4AD502A3C3-A001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108825</t>
        </is>
      </c>
      <c r="F210" s="8" t="inlineStr">
        <is>
          <t>GRAVAMEN LEY 25413 S/CRED</t>
        </is>
      </c>
      <c r="G210" s="8" t="inlineStr">
        <is>
          <t>Anticipo Ganancias Ley 25.413 créditos</t>
        </is>
      </c>
      <c r="H210" s="8" t="inlineStr">
        <is>
          <t>Anticipo Impuesto a las Ganancias</t>
        </is>
      </c>
      <c r="I210" s="9" t="n">
        <v>80.22</v>
      </c>
      <c r="J210" s="9" t="inlineStr"/>
      <c r="K210" s="8" t="inlineStr">
        <is>
          <t>Copiar en Flexxus: Tipo=MB-EXT | Movimiento=GRAVAMEN LEY 25.413 S/CRED | Monto=80,22 | Fecha: 27/04/2026</t>
        </is>
      </c>
    </row>
    <row r="211">
      <c r="A211" s="8" t="inlineStr">
        <is>
          <t>PEND-7863062C7B4B-A001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108816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80.22</v>
      </c>
      <c r="J211" s="9" t="inlineStr"/>
      <c r="K211" s="8" t="inlineStr">
        <is>
          <t>Copiar en Flexxus: Tipo=MB-EXT | Movimiento=GRAVAMEN LEY 25.413 S/CRED | Monto=80,22 | Fecha: 27/04/2026</t>
        </is>
      </c>
    </row>
    <row r="212">
      <c r="A212" s="8" t="inlineStr">
        <is>
          <t>PEND-86763E79069D-A001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108767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80.22</v>
      </c>
      <c r="J212" s="9" t="inlineStr"/>
      <c r="K212" s="8" t="inlineStr">
        <is>
          <t>Copiar en Flexxus: Tipo=MB-EXT | Movimiento=GRAVAMEN LEY 25.413 S/CRED | Monto=80,22 | Fecha: 27/04/2026</t>
        </is>
      </c>
    </row>
    <row r="213">
      <c r="A213" s="8" t="inlineStr">
        <is>
          <t>PEND-D507ABE2E4D7-A001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108764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80.22</v>
      </c>
      <c r="J213" s="9" t="inlineStr"/>
      <c r="K213" s="8" t="inlineStr">
        <is>
          <t>Copiar en Flexxus: Tipo=MB-EXT | Movimiento=GRAVAMEN LEY 25.413 S/CRED | Monto=80,22 | Fecha: 27/04/2026</t>
        </is>
      </c>
    </row>
    <row r="214">
      <c r="A214" s="8" t="inlineStr">
        <is>
          <t>PEND-9B0AA23F947A-A001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29841627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80.02</v>
      </c>
      <c r="J214" s="9" t="inlineStr"/>
      <c r="K214" s="8" t="inlineStr">
        <is>
          <t>Copiar en Flexxus: Tipo=MB-EXT | Movimiento=GRAVAMEN LEY 25.413 S/CRED | Monto=80,02 | Fecha: 27/04/2026</t>
        </is>
      </c>
    </row>
    <row r="215">
      <c r="A215" s="8" t="inlineStr">
        <is>
          <t>PEND-DE43F438F144-A001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108776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79.03</v>
      </c>
      <c r="J215" s="9" t="inlineStr"/>
      <c r="K215" s="8" t="inlineStr">
        <is>
          <t>Copiar en Flexxus: Tipo=MB-EXT | Movimiento=GRAVAMEN LEY 25.413 S/CRED | Monto=79,03 | Fecha: 27/04/2026</t>
        </is>
      </c>
    </row>
    <row r="216">
      <c r="A216" s="8" t="inlineStr">
        <is>
          <t>PEND-D97C5CDCE983-A001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108769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77.25</v>
      </c>
      <c r="J216" s="9" t="inlineStr"/>
      <c r="K216" s="8" t="inlineStr">
        <is>
          <t>Copiar en Flexxus: Tipo=MB-EXT | Movimiento=INGRESOS BRUTOS MENDOZA | Monto=77,25 | Fecha: 27/04/2026</t>
        </is>
      </c>
    </row>
    <row r="217">
      <c r="A217" s="8" t="inlineStr">
        <is>
          <t>PEND-7125ACBC7B9F-A001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108839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76.25</v>
      </c>
      <c r="J217" s="9" t="inlineStr"/>
      <c r="K217" s="8" t="inlineStr">
        <is>
          <t>Copiar en Flexxus: Tipo=MB-EXT | Movimiento=INGRESOS BRUTOS MENDOZA | Monto=76,25 | Fecha: 27/04/2026</t>
        </is>
      </c>
    </row>
    <row r="218">
      <c r="A218" s="8" t="inlineStr">
        <is>
          <t>PEND-F994CFB7D082-A001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108794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75.45999999999999</v>
      </c>
      <c r="J218" s="9" t="inlineStr"/>
      <c r="K218" s="8" t="inlineStr">
        <is>
          <t>Copiar en Flexxus: Tipo=MB-EXT | Movimiento=GRAVAMEN LEY 25.413 S/CRED | Monto=75,46 | Fecha: 27/04/2026</t>
        </is>
      </c>
    </row>
    <row r="219">
      <c r="A219" s="8" t="inlineStr">
        <is>
          <t>PEND-5F15B7E1173C-A001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108831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74.27</v>
      </c>
      <c r="J219" s="9" t="inlineStr"/>
      <c r="K219" s="8" t="inlineStr">
        <is>
          <t>Copiar en Flexxus: Tipo=MB-EXT | Movimiento=GRAVAMEN LEY 25.413 S/CRED | Monto=74,27 | Fecha: 27/04/2026</t>
        </is>
      </c>
    </row>
    <row r="220">
      <c r="A220" s="8" t="inlineStr">
        <is>
          <t>PEND-AA347C99BFC0-A001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108779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73.68000000000001</v>
      </c>
      <c r="J220" s="9" t="inlineStr"/>
      <c r="K220" s="8" t="inlineStr">
        <is>
          <t>Copiar en Flexxus: Tipo=MB-EXT | Movimiento=GRAVAMEN LEY 25.413 S/CRED | Monto=73,68 | Fecha: 27/04/2026</t>
        </is>
      </c>
    </row>
    <row r="221">
      <c r="A221" s="8" t="inlineStr">
        <is>
          <t>PEND-D3F7F63301F3-A001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108832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70.11</v>
      </c>
      <c r="J221" s="9" t="inlineStr"/>
      <c r="K221" s="8" t="inlineStr">
        <is>
          <t>Copiar en Flexxus: Tipo=MB-EXT | Movimiento=GRAVAMEN LEY 25.413 S/CRED | Monto=70,11 | Fecha: 27/04/2026</t>
        </is>
      </c>
    </row>
    <row r="222">
      <c r="A222" s="8" t="inlineStr">
        <is>
          <t>PEND-B70D037AD376-A001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108843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68.33</v>
      </c>
      <c r="J222" s="9" t="inlineStr"/>
      <c r="K222" s="8" t="inlineStr">
        <is>
          <t>Copiar en Flexxus: Tipo=MB-EXT | Movimiento=GRAVAMEN LEY 25.413 S/CRED | Monto=68,33 | Fecha: 27/04/2026</t>
        </is>
      </c>
    </row>
    <row r="223">
      <c r="A223" s="8" t="inlineStr">
        <is>
          <t>PEND-AB82F5FC3945-A001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68.33</v>
      </c>
      <c r="J223" s="9" t="inlineStr"/>
      <c r="K223" s="8" t="inlineStr">
        <is>
          <t>Copiar en Flexxus: Tipo=MB-EXT | Movimiento=GRAVAMEN LEY 25.413 S/CRED | Monto=68,33 | Fecha: 27/04/2026</t>
        </is>
      </c>
    </row>
    <row r="224">
      <c r="A224" s="8" t="inlineStr">
        <is>
          <t>PEND-6C11AC702BB9-A001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108786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68.33</v>
      </c>
      <c r="J224" s="9" t="inlineStr"/>
      <c r="K224" s="8" t="inlineStr">
        <is>
          <t>Copiar en Flexxus: Tipo=MB-EXT | Movimiento=GRAVAMEN LEY 25.413 S/CRED | Monto=68,33 | Fecha: 27/04/2026</t>
        </is>
      </c>
    </row>
    <row r="225">
      <c r="A225" s="8" t="inlineStr">
        <is>
          <t>PEND-0BC9BCD4BCB8-A001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108755</t>
        </is>
      </c>
      <c r="F225" s="8" t="inlineStr">
        <is>
          <t>INGRESOS BRUTOS MENDOZA</t>
        </is>
      </c>
      <c r="G225" s="8" t="inlineStr">
        <is>
          <t>Retención Ingresos Brutos Mendoza</t>
        </is>
      </c>
      <c r="H225" s="8" t="inlineStr">
        <is>
          <t>Retención de Ingresos Brutos</t>
        </is>
      </c>
      <c r="I225" s="9" t="n">
        <v>68.33</v>
      </c>
      <c r="J225" s="9" t="inlineStr"/>
      <c r="K225" s="8" t="inlineStr">
        <is>
          <t>Copiar en Flexxus: Tipo=MB-EXT | Movimiento=INGRESOS BRUTOS MENDOZA | Monto=68,33 | Fecha: 27/04/2026</t>
        </is>
      </c>
    </row>
    <row r="226">
      <c r="A226" s="8" t="inlineStr">
        <is>
          <t>PEND-7F34D4A3043A-A001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29841705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65.2</v>
      </c>
      <c r="J226" s="9" t="inlineStr"/>
      <c r="K226" s="8" t="inlineStr">
        <is>
          <t>Copiar en Flexxus: Tipo=MB-EXT | Movimiento=INGRESOS BRUTOS MENDOZA | Monto=65,20 | Fecha: 27/04/2026</t>
        </is>
      </c>
    </row>
    <row r="227">
      <c r="A227" s="8" t="inlineStr">
        <is>
          <t>PEND-AAAFFF96FFD4-A001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108788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62.98</v>
      </c>
      <c r="J227" s="9" t="inlineStr"/>
      <c r="K227" s="8" t="inlineStr">
        <is>
          <t>Copiar en Flexxus: Tipo=MB-EXT | Movimiento=GRAVAMEN LEY 25.413 S/CRED | Monto=62,98 | Fecha: 27/04/2026</t>
        </is>
      </c>
    </row>
    <row r="228">
      <c r="A228" s="8" t="inlineStr">
        <is>
          <t>PEND-D6949299AF6A-A001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29841627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59.27</v>
      </c>
      <c r="J228" s="9" t="inlineStr"/>
      <c r="K228" s="8" t="inlineStr">
        <is>
          <t>Copiar en Flexxus: Tipo=MB-EXT | Movimiento=GRAVAMEN LEY 25.413 S/CRED | Monto=59,27 | Fecha: 27/04/2026</t>
        </is>
      </c>
    </row>
    <row r="229">
      <c r="A229" s="8" t="inlineStr">
        <is>
          <t>PEND-43E31EB05D61-A001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108790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58.83</v>
      </c>
      <c r="J229" s="9" t="inlineStr"/>
      <c r="K229" s="8" t="inlineStr">
        <is>
          <t>Copiar en Flexxus: Tipo=MB-EXT | Movimiento=GRAVAMEN LEY 25.413 S/CRED | Monto=58,83 | Fecha: 27/04/2026</t>
        </is>
      </c>
    </row>
    <row r="230">
      <c r="A230" s="8" t="inlineStr">
        <is>
          <t>PEND-C262E4561BAC-A001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108768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56.45</v>
      </c>
      <c r="J230" s="9" t="inlineStr"/>
      <c r="K230" s="8" t="inlineStr">
        <is>
          <t>Copiar en Flexxus: Tipo=MB-EXT | Movimiento=GRAVAMEN LEY 25.413 S/CRED | Monto=56,45 | Fecha: 27/04/2026</t>
        </is>
      </c>
    </row>
    <row r="231">
      <c r="A231" s="8" t="inlineStr">
        <is>
          <t>PEND-33731FC41429-A001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29841705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55.17</v>
      </c>
      <c r="J231" s="9" t="inlineStr"/>
      <c r="K231" s="8" t="inlineStr">
        <is>
          <t>Copiar en Flexxus: Tipo=MB-EXT | Movimiento=GRAVAMEN LEY 25.413 S/CRED | Monto=55,17 | Fecha: 27/04/2026</t>
        </is>
      </c>
    </row>
    <row r="232">
      <c r="A232" s="8" t="inlineStr">
        <is>
          <t>PEND-191498268959-A001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108801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53.48</v>
      </c>
      <c r="J232" s="9" t="inlineStr"/>
      <c r="K232" s="8" t="inlineStr">
        <is>
          <t>Copiar en Flexxus: Tipo=MB-EXT | Movimiento=GRAVAMEN LEY 25.413 S/CRED | Monto=53,48 | Fecha: 27/04/2026</t>
        </is>
      </c>
    </row>
    <row r="233">
      <c r="A233" s="8" t="inlineStr">
        <is>
          <t>PEND-98B40BD572B8-A001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108799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53.48</v>
      </c>
      <c r="J233" s="9" t="inlineStr"/>
      <c r="K233" s="8" t="inlineStr">
        <is>
          <t>Copiar en Flexxus: Tipo=MB-EXT | Movimiento=GRAVAMEN LEY 25.413 S/CRED | Monto=53,48 | Fecha: 27/04/2026</t>
        </is>
      </c>
    </row>
    <row r="234">
      <c r="A234" s="8" t="inlineStr">
        <is>
          <t>PEND-832B5954CE4D-A001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108773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50.51</v>
      </c>
      <c r="J234" s="9" t="inlineStr"/>
      <c r="K234" s="8" t="inlineStr">
        <is>
          <t>Copiar en Flexxus: Tipo=MB-EXT | Movimiento=GRAVAMEN LEY 25.413 S/CRED | Monto=50,51 | Fecha: 27/04/2026</t>
        </is>
      </c>
    </row>
    <row r="235">
      <c r="A235" s="8" t="inlineStr">
        <is>
          <t>PEND-AE8EDF9569F7-A001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108769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46.35</v>
      </c>
      <c r="J235" s="9" t="inlineStr"/>
      <c r="K235" s="8" t="inlineStr">
        <is>
          <t>Copiar en Flexxus: Tipo=MB-EXT | Movimiento=GRAVAMEN LEY 25.413 S/CRED | Monto=46,35 | Fecha: 27/04/2026</t>
        </is>
      </c>
    </row>
    <row r="236">
      <c r="A236" s="8" t="inlineStr">
        <is>
          <t>PEND-EC2B9649D176-A001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108839</t>
        </is>
      </c>
      <c r="F236" s="8" t="inlineStr">
        <is>
          <t>GRAVAMEN LEY 25413 S/CRED</t>
        </is>
      </c>
      <c r="G236" s="8" t="inlineStr">
        <is>
          <t>Anticipo Ganancias Ley 25.413 créditos</t>
        </is>
      </c>
      <c r="H236" s="8" t="inlineStr">
        <is>
          <t>Anticipo Impuesto a las Ganancias</t>
        </is>
      </c>
      <c r="I236" s="9" t="n">
        <v>45.75</v>
      </c>
      <c r="J236" s="9" t="inlineStr"/>
      <c r="K236" s="8" t="inlineStr">
        <is>
          <t>Copiar en Flexxus: Tipo=MB-EXT | Movimiento=GRAVAMEN LEY 25.413 S/CRED | Monto=45,75 | Fecha: 27/04/2026</t>
        </is>
      </c>
    </row>
    <row r="237">
      <c r="A237" s="8" t="inlineStr">
        <is>
          <t>PEND-13A0FA34F7D0-A001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108878</t>
        </is>
      </c>
      <c r="F237" s="8" t="inlineStr">
        <is>
          <t>INGRESOS BRUTOS MENDOZA</t>
        </is>
      </c>
      <c r="G237" s="8" t="inlineStr">
        <is>
          <t>Retención Ingresos Brutos Mendoza</t>
        </is>
      </c>
      <c r="H237" s="8" t="inlineStr">
        <is>
          <t>Retención de Ingresos Brutos</t>
        </is>
      </c>
      <c r="I237" s="9" t="n">
        <v>44.56</v>
      </c>
      <c r="J237" s="9" t="inlineStr"/>
      <c r="K237" s="8" t="inlineStr">
        <is>
          <t>Copiar en Flexxus: Tipo=MB-EXT | Movimiento=INGRESOS BRUTOS MENDOZA | Monto=44,56 | Fecha: 27/04/2026</t>
        </is>
      </c>
    </row>
    <row r="238">
      <c r="A238" s="8" t="inlineStr">
        <is>
          <t>PEND-A6AC36865E73-A001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108800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44.56</v>
      </c>
      <c r="J238" s="9" t="inlineStr"/>
      <c r="K238" s="8" t="inlineStr">
        <is>
          <t>Copiar en Flexxus: Tipo=MB-EXT | Movimiento=INGRESOS BRUTOS MENDOZA | Monto=44,56 | Fecha: 27/04/2026</t>
        </is>
      </c>
    </row>
    <row r="239">
      <c r="A239" s="8" t="inlineStr">
        <is>
          <t>PEND-06CD60E593A1-A001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108772</t>
        </is>
      </c>
      <c r="F239" s="8" t="inlineStr">
        <is>
          <t>INGRESOS BRUTOS MENDOZA</t>
        </is>
      </c>
      <c r="G239" s="8" t="inlineStr">
        <is>
          <t>Retención Ingresos Brutos Mendoza</t>
        </is>
      </c>
      <c r="H239" s="8" t="inlineStr">
        <is>
          <t>Retención de Ingresos Brutos</t>
        </is>
      </c>
      <c r="I239" s="9" t="n">
        <v>44.56</v>
      </c>
      <c r="J239" s="9" t="inlineStr"/>
      <c r="K239" s="8" t="inlineStr">
        <is>
          <t>Copiar en Flexxus: Tipo=MB-EXT | Movimiento=INGRESOS BRUTOS MENDOZA | Monto=44,56 | Fecha: 27/04/2026</t>
        </is>
      </c>
    </row>
    <row r="240">
      <c r="A240" s="8" t="inlineStr">
        <is>
          <t>PEND-805004D28182-A001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29841705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44.02</v>
      </c>
      <c r="J240" s="9" t="inlineStr"/>
      <c r="K240" s="8" t="inlineStr">
        <is>
          <t>Copiar en Flexxus: Tipo=MB-EXT | Movimiento=INGRESOS BRUTOS MENDOZA | Monto=44,02 | Fecha: 27/04/2026</t>
        </is>
      </c>
    </row>
    <row r="241">
      <c r="A241" s="8" t="inlineStr">
        <is>
          <t>PEND-9A33B4803E37-A001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108755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41</v>
      </c>
      <c r="J241" s="9" t="inlineStr"/>
      <c r="K241" s="8" t="inlineStr">
        <is>
          <t>Copiar en Flexxus: Tipo=MB-EXT | Movimiento=GRAVAMEN LEY 25.413 S/CRED | Monto=41,00 | Fecha: 27/04/2026</t>
        </is>
      </c>
    </row>
    <row r="242">
      <c r="A242" s="8" t="inlineStr">
        <is>
          <t>PEND-E0BC7E6C2AA0-A001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29841705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39.12</v>
      </c>
      <c r="J242" s="9" t="inlineStr"/>
      <c r="K242" s="8" t="inlineStr">
        <is>
          <t>Copiar en Flexxus: Tipo=MB-EXT | Movimiento=GRAVAMEN LEY 25.413 S/CRED | Monto=39,12 | Fecha: 27/04/2026</t>
        </is>
      </c>
    </row>
    <row r="243">
      <c r="A243" s="8" t="inlineStr">
        <is>
          <t>PEND-72FE66238BE6-A001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32032899</t>
        </is>
      </c>
      <c r="F243" s="8" t="inlineStr">
        <is>
          <t>GRAVAMEN LEY 25413 S/DEB</t>
        </is>
      </c>
      <c r="G243" s="8" t="inlineStr">
        <is>
          <t>Anticipo Ganancias Ley 25.413 débitos</t>
        </is>
      </c>
      <c r="H243" s="8" t="inlineStr">
        <is>
          <t>Anticipo Impuesto a las Ganancias</t>
        </is>
      </c>
      <c r="I243" s="9" t="n">
        <v>38.86</v>
      </c>
      <c r="J243" s="9" t="inlineStr"/>
      <c r="K243" s="8" t="inlineStr">
        <is>
          <t>Copiar en Flexxus: Tipo=MB-EXT | Movimiento=GRAVAMEN LEY 25.413 S/DEB | Monto=38,86 | Fecha: 27/04/2026</t>
        </is>
      </c>
    </row>
    <row r="244">
      <c r="A244" s="8" t="inlineStr">
        <is>
          <t>PEND-4569F6ED9857-A001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31995644</t>
        </is>
      </c>
      <c r="F244" s="8" t="inlineStr">
        <is>
          <t>GRAVAMEN LEY 25413 S/DEB</t>
        </is>
      </c>
      <c r="G244" s="8" t="inlineStr">
        <is>
          <t>Anticipo Ganancias Ley 25.413 débitos</t>
        </is>
      </c>
      <c r="H244" s="8" t="inlineStr">
        <is>
          <t>Anticipo Impuesto a las Ganancias</t>
        </is>
      </c>
      <c r="I244" s="9" t="n">
        <v>28.52</v>
      </c>
      <c r="J244" s="9" t="inlineStr"/>
      <c r="K244" s="8" t="inlineStr">
        <is>
          <t>Copiar en Flexxus: Tipo=MB-EXT | Movimiento=GRAVAMEN LEY 25.413 S/DEB | Monto=28,52 | Fecha: 27/04/2026</t>
        </is>
      </c>
    </row>
    <row r="245">
      <c r="A245" s="8" t="inlineStr">
        <is>
          <t>PEND-FF88AF5B115D-A001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32032899</t>
        </is>
      </c>
      <c r="F245" s="8" t="inlineStr">
        <is>
          <t>GRAVAMEN LEY 25413 S/DEB</t>
        </is>
      </c>
      <c r="G245" s="8" t="inlineStr">
        <is>
          <t>Anticipo Ganancias Ley 25.413 débitos</t>
        </is>
      </c>
      <c r="H245" s="8" t="inlineStr">
        <is>
          <t>Anticipo Impuesto a las Ganancias</t>
        </is>
      </c>
      <c r="I245" s="9" t="n">
        <v>28.32</v>
      </c>
      <c r="J245" s="9" t="inlineStr"/>
      <c r="K245" s="8" t="inlineStr">
        <is>
          <t>Copiar en Flexxus: Tipo=MB-EXT | Movimiento=GRAVAMEN LEY 25.413 S/DEB | Monto=28,32 | Fecha: 27/04/2026</t>
        </is>
      </c>
    </row>
    <row r="246">
      <c r="A246" s="8" t="inlineStr">
        <is>
          <t>PEND-41E76E9C49C3-A001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31995644</t>
        </is>
      </c>
      <c r="F246" s="8" t="inlineStr">
        <is>
          <t>GRAVAMEN LEY 25413 S/DEB</t>
        </is>
      </c>
      <c r="G246" s="8" t="inlineStr">
        <is>
          <t>Anticipo Ganancias Ley 25.413 débitos</t>
        </is>
      </c>
      <c r="H246" s="8" t="inlineStr">
        <is>
          <t>Anticipo Impuesto a las Ganancias</t>
        </is>
      </c>
      <c r="I246" s="9" t="n">
        <v>27.21</v>
      </c>
      <c r="J246" s="9" t="inlineStr"/>
      <c r="K246" s="8" t="inlineStr">
        <is>
          <t>Copiar en Flexxus: Tipo=MB-EXT | Movimiento=GRAVAMEN LEY 25.413 S/DEB | Monto=27,21 | Fecha: 27/04/2026</t>
        </is>
      </c>
    </row>
    <row r="247">
      <c r="A247" s="8" t="inlineStr">
        <is>
          <t>PEND-12A8E827D419-A001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108878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26.74</v>
      </c>
      <c r="J247" s="9" t="inlineStr"/>
      <c r="K247" s="8" t="inlineStr">
        <is>
          <t>Copiar en Flexxus: Tipo=MB-EXT | Movimiento=GRAVAMEN LEY 25.413 S/CRED | Monto=26,74 | Fecha: 27/04/2026</t>
        </is>
      </c>
    </row>
    <row r="248">
      <c r="A248" s="8" t="inlineStr">
        <is>
          <t>PEND-948AC6F99DD4-A001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108800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26.74</v>
      </c>
      <c r="J248" s="9" t="inlineStr"/>
      <c r="K248" s="8" t="inlineStr">
        <is>
          <t>Copiar en Flexxus: Tipo=MB-EXT | Movimiento=GRAVAMEN LEY 25.413 S/CRED | Monto=26,74 | Fecha: 27/04/2026</t>
        </is>
      </c>
    </row>
    <row r="249">
      <c r="A249" s="8" t="inlineStr">
        <is>
          <t>PEND-09B940E60ABC-A001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108772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26.74</v>
      </c>
      <c r="J249" s="9" t="inlineStr"/>
      <c r="K249" s="8" t="inlineStr">
        <is>
          <t>Copiar en Flexxus: Tipo=MB-EXT | Movimiento=GRAVAMEN LEY 25.413 S/CRED | Monto=26,74 | Fecha: 27/04/2026</t>
        </is>
      </c>
    </row>
    <row r="250">
      <c r="A250" s="8" t="inlineStr">
        <is>
          <t>PEND-80636D22AEF5-A001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29841705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26.41</v>
      </c>
      <c r="J250" s="9" t="inlineStr"/>
      <c r="K250" s="8" t="inlineStr">
        <is>
          <t>Copiar en Flexxus: Tipo=MB-EXT | Movimiento=GRAVAMEN LEY 25.413 S/CRED | Monto=26,41 | Fecha: 27/04/2026</t>
        </is>
      </c>
    </row>
    <row r="251">
      <c r="A251" s="8" t="inlineStr">
        <is>
          <t>PEND-876ACEE1212D-A001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29841670</t>
        </is>
      </c>
      <c r="F251" s="8" t="inlineStr">
        <is>
          <t>DEB LIQ MASTERCARD 24H</t>
        </is>
      </c>
      <c r="G251" s="8" t="inlineStr">
        <is>
          <t>Débito liquidación tarjeta</t>
        </is>
      </c>
      <c r="H251" s="8" t="inlineStr">
        <is>
          <t>Revisar según concepto</t>
        </is>
      </c>
      <c r="I251" s="9" t="n">
        <v>24.86</v>
      </c>
      <c r="J251" s="9" t="inlineStr"/>
      <c r="K251" s="8" t="inlineStr">
        <is>
          <t>Copiar en Flexxus: Tipo=MB-EXT | Movimiento=DEB LIQ MASTERCARD 24H | Monto=24,86 | Fecha: 27/04/2026</t>
        </is>
      </c>
    </row>
    <row r="252">
      <c r="A252" s="8" t="inlineStr">
        <is>
          <t>PEND-190C0B7692B7-A001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31995644</t>
        </is>
      </c>
      <c r="F252" s="8" t="inlineStr">
        <is>
          <t>GRAVAMEN LEY 25413 S/DEB</t>
        </is>
      </c>
      <c r="G252" s="8" t="inlineStr">
        <is>
          <t>Anticipo Ganancias Ley 25.413 débitos</t>
        </is>
      </c>
      <c r="H252" s="8" t="inlineStr">
        <is>
          <t>Anticipo Impuesto a las Ganancias</t>
        </is>
      </c>
      <c r="I252" s="9" t="n">
        <v>21.58</v>
      </c>
      <c r="J252" s="9" t="inlineStr"/>
      <c r="K252" s="8" t="inlineStr">
        <is>
          <t>Copiar en Flexxus: Tipo=MB-EXT | Movimiento=GRAVAMEN LEY 25.413 S/DEB | Monto=21,58 | Fecha: 27/04/2026</t>
        </is>
      </c>
    </row>
    <row r="253">
      <c r="A253" s="8" t="inlineStr">
        <is>
          <t>PEND-1017AFE9574A-A001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32032899</t>
        </is>
      </c>
      <c r="F253" s="8" t="inlineStr">
        <is>
          <t>GRAVAMEN LEY 25413 S/DEB</t>
        </is>
      </c>
      <c r="G253" s="8" t="inlineStr">
        <is>
          <t>Anticipo Ganancias Ley 25.413 débitos</t>
        </is>
      </c>
      <c r="H253" s="8" t="inlineStr">
        <is>
          <t>Anticipo Impuesto a las Ganancias</t>
        </is>
      </c>
      <c r="I253" s="9" t="n">
        <v>17.72</v>
      </c>
      <c r="J253" s="9" t="inlineStr"/>
      <c r="K253" s="8" t="inlineStr">
        <is>
          <t>Copiar en Flexxus: Tipo=MB-EXT | Movimiento=GRAVAMEN LEY 25.413 S/DEB | Monto=17,72 | Fecha: 27/04/2026</t>
        </is>
      </c>
    </row>
    <row r="254">
      <c r="A254" s="8" t="inlineStr">
        <is>
          <t>PEND-9E6173E8AA2C-A001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32032899</t>
        </is>
      </c>
      <c r="F254" s="8" t="inlineStr">
        <is>
          <t>GRAVAMEN LEY 25413 S/DEB</t>
        </is>
      </c>
      <c r="G254" s="8" t="inlineStr">
        <is>
          <t>Anticipo Ganancias Ley 25.413 débitos</t>
        </is>
      </c>
      <c r="H254" s="8" t="inlineStr">
        <is>
          <t>Anticipo Impuesto a las Ganancias</t>
        </is>
      </c>
      <c r="I254" s="9" t="n">
        <v>11.49</v>
      </c>
      <c r="J254" s="9" t="inlineStr"/>
      <c r="K254" s="8" t="inlineStr">
        <is>
          <t>Copiar en Flexxus: Tipo=MB-EXT | Movimiento=GRAVAMEN LEY 25.413 S/DEB | Monto=11,49 | Fecha: 27/04/2026</t>
        </is>
      </c>
    </row>
    <row r="255">
      <c r="A255" s="8" t="inlineStr">
        <is>
          <t>PEND-B0EF71BB92B9-A001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31995644</t>
        </is>
      </c>
      <c r="F255" s="8" t="inlineStr">
        <is>
          <t>GRAVAMEN LEY 25413 S/DEB</t>
        </is>
      </c>
      <c r="G255" s="8" t="inlineStr">
        <is>
          <t>Anticipo Ganancias Ley 25.413 débitos</t>
        </is>
      </c>
      <c r="H255" s="8" t="inlineStr">
        <is>
          <t>Anticipo Impuesto a las Ganancias</t>
        </is>
      </c>
      <c r="I255" s="9" t="n">
        <v>9.300000000000001</v>
      </c>
      <c r="J255" s="9" t="inlineStr"/>
      <c r="K255" s="8" t="inlineStr">
        <is>
          <t>Copiar en Flexxus: Tipo=MB-EXT | Movimiento=GRAVAMEN LEY 25.413 S/DEB | Monto=9,30 | Fecha: 27/04/2026</t>
        </is>
      </c>
    </row>
    <row r="256">
      <c r="A256" s="8" t="inlineStr">
        <is>
          <t>PEND-0A7546402AB6-A001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108756</t>
        </is>
      </c>
      <c r="F256" s="8" t="inlineStr">
        <is>
          <t>GRAVAMEN LEY 25413 S/DEB</t>
        </is>
      </c>
      <c r="G256" s="8" t="inlineStr">
        <is>
          <t>Anticipo Ganancias Ley 25.413 débitos</t>
        </is>
      </c>
      <c r="H256" s="8" t="inlineStr">
        <is>
          <t>Anticipo Impuesto a las Ganancias</t>
        </is>
      </c>
      <c r="I256" s="9" t="n">
        <v>8.970000000000001</v>
      </c>
      <c r="J256" s="9" t="inlineStr"/>
      <c r="K256" s="8" t="inlineStr">
        <is>
          <t>Copiar en Flexxus: Tipo=MB-EXT | Movimiento=GRAVAMEN LEY 25.413 S/DEB | Monto=8,97 | Fecha: 27/04/2026</t>
        </is>
      </c>
    </row>
    <row r="257">
      <c r="A257" s="8" t="inlineStr">
        <is>
          <t>PEND-1A293D9614E9-A001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GRAVAMEN LEY 25413 S/DEB</t>
        </is>
      </c>
      <c r="G257" s="8" t="inlineStr">
        <is>
          <t>Anticipo Ganancias Ley 25.413 débitos</t>
        </is>
      </c>
      <c r="H257" s="8" t="inlineStr">
        <is>
          <t>Anticipo Impuesto a las Ganancias</t>
        </is>
      </c>
      <c r="I257" s="9" t="n">
        <v>8.41</v>
      </c>
      <c r="J257" s="9" t="inlineStr"/>
      <c r="K257" s="8" t="inlineStr">
        <is>
          <t>Copiar en Flexxus: Tipo=MB-EXT | Movimiento=GRAVAMEN LEY 25.413 S/DEB | Monto=8,41 | Fecha: 27/04/2026</t>
        </is>
      </c>
    </row>
    <row r="258">
      <c r="A258" s="8" t="inlineStr">
        <is>
          <t>PEND-24E98CA91E0B-A001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29841642</t>
        </is>
      </c>
      <c r="F258" s="8" t="inlineStr">
        <is>
          <t>GRAVAMEN LEY 25413 S/DEB</t>
        </is>
      </c>
      <c r="G258" s="8" t="inlineStr">
        <is>
          <t>Anticipo Ganancias Ley 25.413 débitos</t>
        </is>
      </c>
      <c r="H258" s="8" t="inlineStr">
        <is>
          <t>Anticipo Impuesto a las Ganancias</t>
        </is>
      </c>
      <c r="I258" s="9" t="n">
        <v>8</v>
      </c>
      <c r="J258" s="9" t="inlineStr"/>
      <c r="K258" s="8" t="inlineStr">
        <is>
          <t>Copiar en Flexxus: Tipo=MB-EXT | Movimiento=GRAVAMEN LEY 25.413 S/DEB | Monto=8,00 | Fecha: 27/04/2026</t>
        </is>
      </c>
    </row>
    <row r="259">
      <c r="A259" s="8" t="inlineStr">
        <is>
          <t>PEND-08A90A0F02DD-A001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32032899</t>
        </is>
      </c>
      <c r="F259" s="8" t="inlineStr">
        <is>
          <t>GRAVAMEN LEY 25413 S/DEB</t>
        </is>
      </c>
      <c r="G259" s="8" t="inlineStr">
        <is>
          <t>Anticipo Ganancias Ley 25.413 débitos</t>
        </is>
      </c>
      <c r="H259" s="8" t="inlineStr">
        <is>
          <t>Anticipo Impuesto a las Ganancias</t>
        </is>
      </c>
      <c r="I259" s="9" t="n">
        <v>7.53</v>
      </c>
      <c r="J259" s="9" t="inlineStr"/>
      <c r="K259" s="8" t="inlineStr">
        <is>
          <t>Copiar en Flexxus: Tipo=MB-EXT | Movimiento=GRAVAMEN LEY 25.413 S/DEB | Monto=7,53 | Fecha: 27/04/2026</t>
        </is>
      </c>
    </row>
    <row r="260">
      <c r="A260" s="8" t="inlineStr">
        <is>
          <t>PEND-662AC3F29073-A001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108793</t>
        </is>
      </c>
      <c r="F260" s="8" t="inlineStr">
        <is>
          <t>GRAVAMEN LEY 25413 S/DEB</t>
        </is>
      </c>
      <c r="G260" s="8" t="inlineStr">
        <is>
          <t>Anticipo Ganancias Ley 25.413 débitos</t>
        </is>
      </c>
      <c r="H260" s="8" t="inlineStr">
        <is>
          <t>Anticipo Impuesto a las Ganancias</t>
        </is>
      </c>
      <c r="I260" s="9" t="n">
        <v>7.28</v>
      </c>
      <c r="J260" s="9" t="inlineStr"/>
      <c r="K260" s="8" t="inlineStr">
        <is>
          <t>Copiar en Flexxus: Tipo=MB-EXT | Movimiento=GRAVAMEN LEY 25.413 S/DEB | Monto=7,28 | Fecha: 27/04/2026</t>
        </is>
      </c>
    </row>
    <row r="261">
      <c r="A261" s="8" t="inlineStr">
        <is>
          <t>PEND-28DF37991AF2-A001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29841670</t>
        </is>
      </c>
      <c r="F261" s="8" t="inlineStr">
        <is>
          <t>GRAVAMEN LEY 25413 S/DEB</t>
        </is>
      </c>
      <c r="G261" s="8" t="inlineStr">
        <is>
          <t>Anticipo Ganancias Ley 25.413 débitos</t>
        </is>
      </c>
      <c r="H261" s="8" t="inlineStr">
        <is>
          <t>Anticipo Impuesto a las Ganancias</t>
        </is>
      </c>
      <c r="I261" s="9" t="n">
        <v>6.96</v>
      </c>
      <c r="J261" s="9" t="inlineStr"/>
      <c r="K261" s="8" t="inlineStr">
        <is>
          <t>Copiar en Flexxus: Tipo=MB-EXT | Movimiento=GRAVAMEN LEY 25.413 S/DEB | Monto=6,96 | Fecha: 27/04/2026</t>
        </is>
      </c>
    </row>
    <row r="262">
      <c r="A262" s="8" t="inlineStr">
        <is>
          <t>PEND-240B479BDDBF-A001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108754</t>
        </is>
      </c>
      <c r="F262" s="8" t="inlineStr">
        <is>
          <t>GRAVAMEN LEY 25413 S/DEB</t>
        </is>
      </c>
      <c r="G262" s="8" t="inlineStr">
        <is>
          <t>Anticipo Ganancias Ley 25.413 débitos</t>
        </is>
      </c>
      <c r="H262" s="8" t="inlineStr">
        <is>
          <t>Anticipo Impuesto a las Ganancias</t>
        </is>
      </c>
      <c r="I262" s="9" t="n">
        <v>6.82</v>
      </c>
      <c r="J262" s="9" t="inlineStr"/>
      <c r="K262" s="8" t="inlineStr">
        <is>
          <t>Copiar en Flexxus: Tipo=MB-EXT | Movimiento=GRAVAMEN LEY 25.413 S/DEB | Monto=6,82 | Fecha: 27/04/2026</t>
        </is>
      </c>
    </row>
    <row r="263">
      <c r="A263" s="8" t="inlineStr">
        <is>
          <t>PEND-A9996165D96F-A001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31995644</t>
        </is>
      </c>
      <c r="F263" s="8" t="inlineStr">
        <is>
          <t>GRAVAMEN LEY 25413 S/DEB</t>
        </is>
      </c>
      <c r="G263" s="8" t="inlineStr">
        <is>
          <t>Anticipo Ganancias Ley 25.413 débitos</t>
        </is>
      </c>
      <c r="H263" s="8" t="inlineStr">
        <is>
          <t>Anticipo Impuesto a las Ganancias</t>
        </is>
      </c>
      <c r="I263" s="9" t="n">
        <v>6.6</v>
      </c>
      <c r="J263" s="9" t="inlineStr"/>
      <c r="K263" s="8" t="inlineStr">
        <is>
          <t>Copiar en Flexxus: Tipo=MB-EXT | Movimiento=GRAVAMEN LEY 25.413 S/DEB | Monto=6,60 | Fecha: 27/04/2026</t>
        </is>
      </c>
    </row>
    <row r="264">
      <c r="A264" s="8" t="inlineStr">
        <is>
          <t>PEND-810BBB5624A5-A001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108762</t>
        </is>
      </c>
      <c r="F264" s="8" t="inlineStr">
        <is>
          <t>GRAVAMEN LEY 25413 S/DEB</t>
        </is>
      </c>
      <c r="G264" s="8" t="inlineStr">
        <is>
          <t>Anticipo Ganancias Ley 25.413 débitos</t>
        </is>
      </c>
      <c r="H264" s="8" t="inlineStr">
        <is>
          <t>Anticipo Impuesto a las Ganancias</t>
        </is>
      </c>
      <c r="I264" s="9" t="n">
        <v>6.56</v>
      </c>
      <c r="J264" s="9" t="inlineStr"/>
      <c r="K264" s="8" t="inlineStr">
        <is>
          <t>Copiar en Flexxus: Tipo=MB-EXT | Movimiento=GRAVAMEN LEY 25.413 S/DEB | Monto=6,56 | Fecha: 27/04/2026</t>
        </is>
      </c>
    </row>
    <row r="265">
      <c r="A265" s="8" t="inlineStr">
        <is>
          <t>PEND-ED2F904B604C-A001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108785</t>
        </is>
      </c>
      <c r="F265" s="8" t="inlineStr">
        <is>
          <t>GRAVAMEN LEY 25413 S/DEB</t>
        </is>
      </c>
      <c r="G265" s="8" t="inlineStr">
        <is>
          <t>Anticipo Ganancias Ley 25.413 débitos</t>
        </is>
      </c>
      <c r="H265" s="8" t="inlineStr">
        <is>
          <t>Anticipo Impuesto a las Ganancias</t>
        </is>
      </c>
      <c r="I265" s="9" t="n">
        <v>6.4</v>
      </c>
      <c r="J265" s="9" t="inlineStr"/>
      <c r="K265" s="8" t="inlineStr">
        <is>
          <t>Copiar en Flexxus: Tipo=MB-EXT | Movimiento=GRAVAMEN LEY 25.413 S/DEB | Monto=6,40 | Fecha: 27/04/2026</t>
        </is>
      </c>
    </row>
    <row r="266">
      <c r="A266" s="8" t="inlineStr">
        <is>
          <t>PEND-2BAD96E3853D-A001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31995644</t>
        </is>
      </c>
      <c r="F266" s="8" t="inlineStr">
        <is>
          <t>GRAVAMEN LEY 25413 S/DEB</t>
        </is>
      </c>
      <c r="G266" s="8" t="inlineStr">
        <is>
          <t>Anticipo Ganancias Ley 25.413 débitos</t>
        </is>
      </c>
      <c r="H266" s="8" t="inlineStr">
        <is>
          <t>Anticipo Impuesto a las Ganancias</t>
        </is>
      </c>
      <c r="I266" s="9" t="n">
        <v>5.93</v>
      </c>
      <c r="J266" s="9" t="inlineStr"/>
      <c r="K266" s="8" t="inlineStr">
        <is>
          <t>Copiar en Flexxus: Tipo=MB-EXT | Movimiento=GRAVAMEN LEY 25.413 S/DEB | Monto=5,93 | Fecha: 27/04/2026</t>
        </is>
      </c>
    </row>
    <row r="267">
      <c r="A267" s="8" t="inlineStr">
        <is>
          <t>PEND-0D3F12ED2481-A001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108879</t>
        </is>
      </c>
      <c r="F267" s="8" t="inlineStr">
        <is>
          <t>GRAVAMEN LEY 25413 S/DEB</t>
        </is>
      </c>
      <c r="G267" s="8" t="inlineStr">
        <is>
          <t>Anticipo Ganancias Ley 25.413 débitos</t>
        </is>
      </c>
      <c r="H267" s="8" t="inlineStr">
        <is>
          <t>Anticipo Impuesto a las Ganancias</t>
        </is>
      </c>
      <c r="I267" s="9" t="n">
        <v>5.74</v>
      </c>
      <c r="J267" s="9" t="inlineStr"/>
      <c r="K267" s="8" t="inlineStr">
        <is>
          <t>Copiar en Flexxus: Tipo=MB-EXT | Movimiento=GRAVAMEN LEY 25.413 S/DEB | Monto=5,74 | Fecha: 27/04/2026</t>
        </is>
      </c>
    </row>
    <row r="268">
      <c r="A268" s="8" t="inlineStr">
        <is>
          <t>PEND-6BD2631C2B95-A001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108818</t>
        </is>
      </c>
      <c r="F268" s="8" t="inlineStr">
        <is>
          <t>GRAVAMEN LEY 25413 S/DEB</t>
        </is>
      </c>
      <c r="G268" s="8" t="inlineStr">
        <is>
          <t>Anticipo Ganancias Ley 25.413 débitos</t>
        </is>
      </c>
      <c r="H268" s="8" t="inlineStr">
        <is>
          <t>Anticipo Impuesto a las Ganancias</t>
        </is>
      </c>
      <c r="I268" s="9" t="n">
        <v>5.64</v>
      </c>
      <c r="J268" s="9" t="inlineStr"/>
      <c r="K268" s="8" t="inlineStr">
        <is>
          <t>Copiar en Flexxus: Tipo=MB-EXT | Movimiento=GRAVAMEN LEY 25.413 S/DEB | Monto=5,64 | Fecha: 27/04/2026</t>
        </is>
      </c>
    </row>
    <row r="269">
      <c r="A269" s="8" t="inlineStr">
        <is>
          <t>PEND-7223F5FF3CFE-A001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29841683</t>
        </is>
      </c>
      <c r="F269" s="8" t="inlineStr">
        <is>
          <t>GRAVAMEN LEY 25413 S/DEB</t>
        </is>
      </c>
      <c r="G269" s="8" t="inlineStr">
        <is>
          <t>Anticipo Ganancias Ley 25.413 débitos</t>
        </is>
      </c>
      <c r="H269" s="8" t="inlineStr">
        <is>
          <t>Anticipo Impuesto a las Ganancias</t>
        </is>
      </c>
      <c r="I269" s="9" t="n">
        <v>5.12</v>
      </c>
      <c r="J269" s="9" t="inlineStr"/>
      <c r="K269" s="8" t="inlineStr">
        <is>
          <t>Copiar en Flexxus: Tipo=MB-EXT | Movimiento=GRAVAMEN LEY 25.413 S/DEB | Monto=5,12 | Fecha: 27/04/2026</t>
        </is>
      </c>
    </row>
    <row r="270">
      <c r="A270" s="8" t="inlineStr">
        <is>
          <t>PEND-569819949030-A001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108795</t>
        </is>
      </c>
      <c r="F270" s="8" t="inlineStr">
        <is>
          <t>GRAVAMEN LEY 25413 S/DEB</t>
        </is>
      </c>
      <c r="G270" s="8" t="inlineStr">
        <is>
          <t>Anticipo Ganancias Ley 25.413 débitos</t>
        </is>
      </c>
      <c r="H270" s="8" t="inlineStr">
        <is>
          <t>Anticipo Impuesto a las Ganancias</t>
        </is>
      </c>
      <c r="I270" s="9" t="n">
        <v>5.06</v>
      </c>
      <c r="J270" s="9" t="inlineStr"/>
      <c r="K270" s="8" t="inlineStr">
        <is>
          <t>Copiar en Flexxus: Tipo=MB-EXT | Movimiento=GRAVAMEN LEY 25.413 S/DEB | Monto=5,06 | Fecha: 27/04/2026</t>
        </is>
      </c>
    </row>
    <row r="271">
      <c r="A271" s="8" t="inlineStr">
        <is>
          <t>PEND-0865D83298EE-A001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108821</t>
        </is>
      </c>
      <c r="F271" s="8" t="inlineStr">
        <is>
          <t>GRAVAMEN LEY 25413 S/DEB</t>
        </is>
      </c>
      <c r="G271" s="8" t="inlineStr">
        <is>
          <t>Anticipo Ganancias Ley 25.413 débitos</t>
        </is>
      </c>
      <c r="H271" s="8" t="inlineStr">
        <is>
          <t>Anticipo Impuesto a las Ganancias</t>
        </is>
      </c>
      <c r="I271" s="9" t="n">
        <v>4.78</v>
      </c>
      <c r="J271" s="9" t="inlineStr"/>
      <c r="K271" s="8" t="inlineStr">
        <is>
          <t>Copiar en Flexxus: Tipo=MB-EXT | Movimiento=GRAVAMEN LEY 25.413 S/DEB | Monto=4,78 | Fecha: 27/04/2026</t>
        </is>
      </c>
    </row>
    <row r="272">
      <c r="A272" s="8" t="inlineStr">
        <is>
          <t>PEND-076CF8525A51-A001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108796</t>
        </is>
      </c>
      <c r="F272" s="8" t="inlineStr">
        <is>
          <t>GRAVAMEN LEY 25413 S/DEB</t>
        </is>
      </c>
      <c r="G272" s="8" t="inlineStr">
        <is>
          <t>Anticipo Ganancias Ley 25.413 débitos</t>
        </is>
      </c>
      <c r="H272" s="8" t="inlineStr">
        <is>
          <t>Anticipo Impuesto a las Ganancias</t>
        </is>
      </c>
      <c r="I272" s="9" t="n">
        <v>4.68</v>
      </c>
      <c r="J272" s="9" t="inlineStr"/>
      <c r="K272" s="8" t="inlineStr">
        <is>
          <t>Copiar en Flexxus: Tipo=MB-EXT | Movimiento=GRAVAMEN LEY 25.413 S/DEB | Monto=4,68 | Fecha: 27/04/2026</t>
        </is>
      </c>
    </row>
    <row r="273">
      <c r="A273" s="8" t="inlineStr">
        <is>
          <t>PEND-D1FC35B8AAA2-A001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108810</t>
        </is>
      </c>
      <c r="F273" s="8" t="inlineStr">
        <is>
          <t>GRAVAMEN LEY 25413 S/DEB</t>
        </is>
      </c>
      <c r="G273" s="8" t="inlineStr">
        <is>
          <t>Anticipo Ganancias Ley 25.413 débitos</t>
        </is>
      </c>
      <c r="H273" s="8" t="inlineStr">
        <is>
          <t>Anticipo Impuesto a las Ganancias</t>
        </is>
      </c>
      <c r="I273" s="9" t="n">
        <v>4.55</v>
      </c>
      <c r="J273" s="9" t="inlineStr"/>
      <c r="K273" s="8" t="inlineStr">
        <is>
          <t>Copiar en Flexxus: Tipo=MB-EXT | Movimiento=GRAVAMEN LEY 25.413 S/DEB | Monto=4,55 | Fecha: 27/04/2026</t>
        </is>
      </c>
    </row>
    <row r="274">
      <c r="A274" s="8" t="inlineStr">
        <is>
          <t>PEND-02F3E863493B-A001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108774</t>
        </is>
      </c>
      <c r="F274" s="8" t="inlineStr">
        <is>
          <t>GRAVAMEN LEY 25413 S/DEB</t>
        </is>
      </c>
      <c r="G274" s="8" t="inlineStr">
        <is>
          <t>Anticipo Ganancias Ley 25.413 débitos</t>
        </is>
      </c>
      <c r="H274" s="8" t="inlineStr">
        <is>
          <t>Anticipo Impuesto a las Ganancias</t>
        </is>
      </c>
      <c r="I274" s="9" t="n">
        <v>4.53</v>
      </c>
      <c r="J274" s="9" t="inlineStr"/>
      <c r="K274" s="8" t="inlineStr">
        <is>
          <t>Copiar en Flexxus: Tipo=MB-EXT | Movimiento=GRAVAMEN LEY 25.413 S/DEB | Monto=4,53 | Fecha: 27/04/2026</t>
        </is>
      </c>
    </row>
    <row r="275">
      <c r="A275" s="8" t="inlineStr">
        <is>
          <t>PEND-542DA387217A-A001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108784</t>
        </is>
      </c>
      <c r="F275" s="8" t="inlineStr">
        <is>
          <t>GRAVAMEN LEY 25413 S/DEB</t>
        </is>
      </c>
      <c r="G275" s="8" t="inlineStr">
        <is>
          <t>Anticipo Ganancias Ley 25.413 débitos</t>
        </is>
      </c>
      <c r="H275" s="8" t="inlineStr">
        <is>
          <t>Anticipo Impuesto a las Ganancias</t>
        </is>
      </c>
      <c r="I275" s="9" t="n">
        <v>4.37</v>
      </c>
      <c r="J275" s="9" t="inlineStr"/>
      <c r="K275" s="8" t="inlineStr">
        <is>
          <t>Copiar en Flexxus: Tipo=MB-EXT | Movimiento=GRAVAMEN LEY 25.413 S/DEB | Monto=4,37 | Fecha: 27/04/2026</t>
        </is>
      </c>
    </row>
    <row r="276">
      <c r="A276" s="8" t="inlineStr">
        <is>
          <t>PEND-270AA6E3AFE7-A001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108827</t>
        </is>
      </c>
      <c r="F276" s="8" t="inlineStr">
        <is>
          <t>GRAVAMEN LEY 25413 S/DEB</t>
        </is>
      </c>
      <c r="G276" s="8" t="inlineStr">
        <is>
          <t>Anticipo Ganancias Ley 25.413 débitos</t>
        </is>
      </c>
      <c r="H276" s="8" t="inlineStr">
        <is>
          <t>Anticipo Impuesto a las Ganancias</t>
        </is>
      </c>
      <c r="I276" s="9" t="n">
        <v>4.2</v>
      </c>
      <c r="J276" s="9" t="inlineStr"/>
      <c r="K276" s="8" t="inlineStr">
        <is>
          <t>Copiar en Flexxus: Tipo=MB-EXT | Movimiento=GRAVAMEN LEY 25.413 S/DEB | Monto=4,20 | Fecha: 27/04/2026</t>
        </is>
      </c>
    </row>
    <row r="277">
      <c r="A277" s="8" t="inlineStr">
        <is>
          <t>PEND-1EED461B6236-A001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108838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4.17</v>
      </c>
      <c r="J277" s="9" t="inlineStr"/>
      <c r="K277" s="8" t="inlineStr">
        <is>
          <t>Copiar en Flexxus: Tipo=MB-EXT | Movimiento=GRAVAMEN LEY 25.413 S/DEB | Monto=4,17 | Fecha: 27/04/2026</t>
        </is>
      </c>
    </row>
    <row r="278">
      <c r="A278" s="8" t="inlineStr">
        <is>
          <t>PEND-92B1E2F3C954-A001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29841670</t>
        </is>
      </c>
      <c r="F278" s="8" t="inlineStr">
        <is>
          <t>GRAVAMEN LEY 25413 S/DEB</t>
        </is>
      </c>
      <c r="G278" s="8" t="inlineStr">
        <is>
          <t>Anticipo Ganancias Ley 25.413 débitos</t>
        </is>
      </c>
      <c r="H278" s="8" t="inlineStr">
        <is>
          <t>Anticipo Impuesto a las Ganancias</t>
        </is>
      </c>
      <c r="I278" s="9" t="n">
        <v>4.13</v>
      </c>
      <c r="J278" s="9" t="inlineStr"/>
      <c r="K278" s="8" t="inlineStr">
        <is>
          <t>Copiar en Flexxus: Tipo=MB-EXT | Movimiento=GRAVAMEN LEY 25.413 S/DEB | Monto=4,13 | Fecha: 27/04/2026</t>
        </is>
      </c>
    </row>
    <row r="279">
      <c r="A279" s="8" t="inlineStr">
        <is>
          <t>PEND-D17ABBB14D31-A001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108840</t>
        </is>
      </c>
      <c r="F279" s="8" t="inlineStr">
        <is>
          <t>GRAVAMEN LEY 25413 S/DEB</t>
        </is>
      </c>
      <c r="G279" s="8" t="inlineStr">
        <is>
          <t>Anticipo Ganancias Ley 25.413 débitos</t>
        </is>
      </c>
      <c r="H279" s="8" t="inlineStr">
        <is>
          <t>Anticipo Impuesto a las Ganancias</t>
        </is>
      </c>
      <c r="I279" s="9" t="n">
        <v>4.02</v>
      </c>
      <c r="J279" s="9" t="inlineStr"/>
      <c r="K279" s="8" t="inlineStr">
        <is>
          <t>Copiar en Flexxus: Tipo=MB-EXT | Movimiento=GRAVAMEN LEY 25.413 S/DEB | Monto=4,02 | Fecha: 27/04/2026</t>
        </is>
      </c>
    </row>
    <row r="280">
      <c r="A280" s="8" t="inlineStr">
        <is>
          <t>PEND-6D9BFD4E9506-A001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108780</t>
        </is>
      </c>
      <c r="F280" s="8" t="inlineStr">
        <is>
          <t>GRAVAMEN LEY 25413 S/DEB</t>
        </is>
      </c>
      <c r="G280" s="8" t="inlineStr">
        <is>
          <t>Anticipo Ganancias Ley 25.413 débitos</t>
        </is>
      </c>
      <c r="H280" s="8" t="inlineStr">
        <is>
          <t>Anticipo Impuesto a las Ganancias</t>
        </is>
      </c>
      <c r="I280" s="9" t="n">
        <v>3.96</v>
      </c>
      <c r="J280" s="9" t="inlineStr"/>
      <c r="K280" s="8" t="inlineStr">
        <is>
          <t>Copiar en Flexxus: Tipo=MB-EXT | Movimiento=GRAVAMEN LEY 25.413 S/DEB | Monto=3,96 | Fecha: 27/04/2026</t>
        </is>
      </c>
    </row>
    <row r="281">
      <c r="A281" s="8" t="inlineStr">
        <is>
          <t>PEND-0397FEA5C609-A001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108837</t>
        </is>
      </c>
      <c r="F281" s="8" t="inlineStr">
        <is>
          <t>GRAVAMEN LEY 25413 S/DEB</t>
        </is>
      </c>
      <c r="G281" s="8" t="inlineStr">
        <is>
          <t>Anticipo Ganancias Ley 25.413 débitos</t>
        </is>
      </c>
      <c r="H281" s="8" t="inlineStr">
        <is>
          <t>Anticipo Impuesto a las Ganancias</t>
        </is>
      </c>
      <c r="I281" s="9" t="n">
        <v>3.87</v>
      </c>
      <c r="J281" s="9" t="inlineStr"/>
      <c r="K281" s="8" t="inlineStr">
        <is>
          <t>Copiar en Flexxus: Tipo=MB-EXT | Movimiento=GRAVAMEN LEY 25.413 S/DEB | Monto=3,87 | Fecha: 27/04/2026</t>
        </is>
      </c>
    </row>
    <row r="282">
      <c r="A282" s="8" t="inlineStr">
        <is>
          <t>PEND-E71860355EC8-A001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108782</t>
        </is>
      </c>
      <c r="F282" s="8" t="inlineStr">
        <is>
          <t>GRAVAMEN LEY 25413 S/DEB</t>
        </is>
      </c>
      <c r="G282" s="8" t="inlineStr">
        <is>
          <t>Anticipo Ganancias Ley 25.413 débitos</t>
        </is>
      </c>
      <c r="H282" s="8" t="inlineStr">
        <is>
          <t>Anticipo Impuesto a las Ganancias</t>
        </is>
      </c>
      <c r="I282" s="9" t="n">
        <v>3.78</v>
      </c>
      <c r="J282" s="9" t="inlineStr"/>
      <c r="K282" s="8" t="inlineStr">
        <is>
          <t>Copiar en Flexxus: Tipo=MB-EXT | Movimiento=GRAVAMEN LEY 25.413 S/DEB | Monto=3,78 | Fecha: 27/04/2026</t>
        </is>
      </c>
    </row>
    <row r="283">
      <c r="A283" s="8" t="inlineStr">
        <is>
          <t>PEND-084E2787E3DD-A001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108775</t>
        </is>
      </c>
      <c r="F283" s="8" t="inlineStr">
        <is>
          <t>GRAVAMEN LEY 25413 S/DEB</t>
        </is>
      </c>
      <c r="G283" s="8" t="inlineStr">
        <is>
          <t>Anticipo Ganancias Ley 25.413 débitos</t>
        </is>
      </c>
      <c r="H283" s="8" t="inlineStr">
        <is>
          <t>Anticipo Impuesto a las Ganancias</t>
        </is>
      </c>
      <c r="I283" s="9" t="n">
        <v>3.76</v>
      </c>
      <c r="J283" s="9" t="inlineStr"/>
      <c r="K283" s="8" t="inlineStr">
        <is>
          <t>Copiar en Flexxus: Tipo=MB-EXT | Movimiento=GRAVAMEN LEY 25.413 S/DEB | Monto=3,76 | Fecha: 27/04/2026</t>
        </is>
      </c>
    </row>
    <row r="284">
      <c r="A284" s="8" t="inlineStr">
        <is>
          <t>PEND-2B953E334FFB-A001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108807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3.65</v>
      </c>
      <c r="J284" s="9" t="inlineStr"/>
      <c r="K284" s="8" t="inlineStr">
        <is>
          <t>Copiar en Flexxus: Tipo=MB-EXT | Movimiento=GRAVAMEN LEY 25.413 S/DEB | Monto=3,65 | Fecha: 27/04/2026</t>
        </is>
      </c>
    </row>
    <row r="285">
      <c r="A285" s="8" t="inlineStr">
        <is>
          <t>PEND-D18F9388236E-A001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108842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3.6</v>
      </c>
      <c r="J285" s="9" t="inlineStr"/>
      <c r="K285" s="8" t="inlineStr">
        <is>
          <t>Copiar en Flexxus: Tipo=MB-EXT | Movimiento=GRAVAMEN LEY 25.413 S/DEB | Monto=3,60 | Fecha: 27/04/2026</t>
        </is>
      </c>
    </row>
    <row r="286">
      <c r="A286" s="8" t="inlineStr">
        <is>
          <t>PEND-87A8C4BFECC0-A001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108781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3.47</v>
      </c>
      <c r="J286" s="9" t="inlineStr"/>
      <c r="K286" s="8" t="inlineStr">
        <is>
          <t>Copiar en Flexxus: Tipo=MB-EXT | Movimiento=GRAVAMEN LEY 25.413 S/DEB | Monto=3,47 | Fecha: 27/04/2026</t>
        </is>
      </c>
    </row>
    <row r="287">
      <c r="A287" s="8" t="inlineStr">
        <is>
          <t>PEND-E21C0350576A-A001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108841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3.46</v>
      </c>
      <c r="J287" s="9" t="inlineStr"/>
      <c r="K287" s="8" t="inlineStr">
        <is>
          <t>Copiar en Flexxus: Tipo=MB-EXT | Movimiento=GRAVAMEN LEY 25.413 S/DEB | Monto=3,46 | Fecha: 27/04/2026</t>
        </is>
      </c>
    </row>
    <row r="288">
      <c r="A288" s="8" t="inlineStr">
        <is>
          <t>PEND-3C759E0B07B9-A001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108830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3.3</v>
      </c>
      <c r="J288" s="9" t="inlineStr"/>
      <c r="K288" s="8" t="inlineStr">
        <is>
          <t>Copiar en Flexxus: Tipo=MB-EXT | Movimiento=GRAVAMEN LEY 25.413 S/DEB | Monto=3,30 | Fecha: 27/04/2026</t>
        </is>
      </c>
    </row>
    <row r="289">
      <c r="A289" s="8" t="inlineStr">
        <is>
          <t>PEND-8ACA1B4AC846-A001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31995644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3.26</v>
      </c>
      <c r="J289" s="9" t="inlineStr"/>
      <c r="K289" s="8" t="inlineStr">
        <is>
          <t>Copiar en Flexxus: Tipo=MB-EXT | Movimiento=GRAVAMEN LEY 25.413 S/DEB | Monto=3,26 | Fecha: 27/04/2026</t>
        </is>
      </c>
    </row>
    <row r="290">
      <c r="A290" s="8" t="inlineStr">
        <is>
          <t>PEND-1B89056FBF70-A001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108770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3.15</v>
      </c>
      <c r="J290" s="9" t="inlineStr"/>
      <c r="K290" s="8" t="inlineStr">
        <is>
          <t>Copiar en Flexxus: Tipo=MB-EXT | Movimiento=GRAVAMEN LEY 25.413 S/DEB | Monto=3,15 | Fecha: 27/04/2026</t>
        </is>
      </c>
    </row>
    <row r="291">
      <c r="A291" s="8" t="inlineStr">
        <is>
          <t>PEND-FDDAE0D7AAB8-A001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108811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3.08</v>
      </c>
      <c r="J291" s="9" t="inlineStr"/>
      <c r="K291" s="8" t="inlineStr">
        <is>
          <t>Copiar en Flexxus: Tipo=MB-EXT | Movimiento=GRAVAMEN LEY 25.413 S/DEB | Monto=3,08 | Fecha: 27/04/2026</t>
        </is>
      </c>
    </row>
    <row r="292">
      <c r="A292" s="8" t="inlineStr">
        <is>
          <t>PEND-0384B8D794B1-A001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108763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3.04</v>
      </c>
      <c r="J292" s="9" t="inlineStr"/>
      <c r="K292" s="8" t="inlineStr">
        <is>
          <t>Copiar en Flexxus: Tipo=MB-EXT | Movimiento=GRAVAMEN LEY 25.413 S/DEB | Monto=3,04 | Fecha: 27/04/2026</t>
        </is>
      </c>
    </row>
    <row r="293">
      <c r="A293" s="8" t="inlineStr">
        <is>
          <t>PEND-23252C46ACE5-A001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108812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2.97</v>
      </c>
      <c r="J293" s="9" t="inlineStr"/>
      <c r="K293" s="8" t="inlineStr">
        <is>
          <t>Copiar en Flexxus: Tipo=MB-EXT | Movimiento=GRAVAMEN LEY 25.413 S/DEB | Monto=2,97 | Fecha: 27/04/2026</t>
        </is>
      </c>
    </row>
    <row r="294">
      <c r="A294" s="8" t="inlineStr">
        <is>
          <t>PEND-BA1CA6434947-A001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108771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2.76</v>
      </c>
      <c r="J294" s="9" t="inlineStr"/>
      <c r="K294" s="8" t="inlineStr">
        <is>
          <t>Copiar en Flexxus: Tipo=MB-EXT | Movimiento=GRAVAMEN LEY 25.413 S/DEB | Monto=2,76 | Fecha: 27/04/2026</t>
        </is>
      </c>
    </row>
    <row r="295">
      <c r="A295" s="8" t="inlineStr">
        <is>
          <t>PEND-563AFB2E9D08-A001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108787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2.73</v>
      </c>
      <c r="J295" s="9" t="inlineStr"/>
      <c r="K295" s="8" t="inlineStr">
        <is>
          <t>Copiar en Flexxus: Tipo=MB-EXT | Movimiento=GRAVAMEN LEY 25.413 S/DEB | Monto=2,73 | Fecha: 27/04/2026</t>
        </is>
      </c>
    </row>
    <row r="296">
      <c r="A296" s="8" t="inlineStr">
        <is>
          <t>PEND-D52439331EA9-A001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108817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2.6</v>
      </c>
      <c r="J296" s="9" t="inlineStr"/>
      <c r="K296" s="8" t="inlineStr">
        <is>
          <t>Copiar en Flexxus: Tipo=MB-EXT | Movimiento=GRAVAMEN LEY 25.413 S/DEB | Monto=2,60 | Fecha: 27/04/2026</t>
        </is>
      </c>
    </row>
    <row r="297">
      <c r="A297" s="8" t="inlineStr">
        <is>
          <t>PEND-1BE32B42AC22-A001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108798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2.58</v>
      </c>
      <c r="J297" s="9" t="inlineStr"/>
      <c r="K297" s="8" t="inlineStr">
        <is>
          <t>Copiar en Flexxus: Tipo=MB-EXT | Movimiento=GRAVAMEN LEY 25.413 S/DEB | Monto=2,58 | Fecha: 27/04/2026</t>
        </is>
      </c>
    </row>
    <row r="298">
      <c r="A298" s="8" t="inlineStr">
        <is>
          <t>PEND-237C99790446-A001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108761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2.41</v>
      </c>
      <c r="J298" s="9" t="inlineStr"/>
      <c r="K298" s="8" t="inlineStr">
        <is>
          <t>Copiar en Flexxus: Tipo=MB-EXT | Movimiento=GRAVAMEN LEY 25.413 S/DEB | Monto=2,41 | Fecha: 27/04/2026</t>
        </is>
      </c>
    </row>
    <row r="299">
      <c r="A299" s="8" t="inlineStr">
        <is>
          <t>PEND-1B8F216E423D-A001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2.38</v>
      </c>
      <c r="J299" s="9" t="inlineStr"/>
      <c r="K299" s="8" t="inlineStr">
        <is>
          <t>Copiar en Flexxus: Tipo=MB-EXT | Movimiento=GRAVAMEN LEY 25.413 S/DEB | Monto=2,38 | Fecha: 27/04/2026</t>
        </is>
      </c>
    </row>
    <row r="300">
      <c r="A300" s="8" t="inlineStr">
        <is>
          <t>PEND-694D7785EBB8-A001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108804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2.33</v>
      </c>
      <c r="J300" s="9" t="inlineStr"/>
      <c r="K300" s="8" t="inlineStr">
        <is>
          <t>Copiar en Flexxus: Tipo=MB-EXT | Movimiento=GRAVAMEN LEY 25.413 S/DEB | Monto=2,33 | Fecha: 27/04/2026</t>
        </is>
      </c>
    </row>
    <row r="301">
      <c r="A301" s="8" t="inlineStr">
        <is>
          <t>PEND-0CDD63618F7A-A001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108833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2.32</v>
      </c>
      <c r="J301" s="9" t="inlineStr"/>
      <c r="K301" s="8" t="inlineStr">
        <is>
          <t>Copiar en Flexxus: Tipo=MB-EXT | Movimiento=GRAVAMEN LEY 25.413 S/DEB | Monto=2,32 | Fecha: 27/04/2026</t>
        </is>
      </c>
    </row>
    <row r="302">
      <c r="A302" s="8" t="inlineStr">
        <is>
          <t>PEND-27FAA25F707E-A001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108802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2.29</v>
      </c>
      <c r="J302" s="9" t="inlineStr"/>
      <c r="K302" s="8" t="inlineStr">
        <is>
          <t>Copiar en Flexxus: Tipo=MB-EXT | Movimiento=GRAVAMEN LEY 25.413 S/DEB | Monto=2,29 | Fecha: 27/04/2026</t>
        </is>
      </c>
    </row>
    <row r="303">
      <c r="A303" s="8" t="inlineStr">
        <is>
          <t>PEND-D07226935C9A-A001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108836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2.07</v>
      </c>
      <c r="J303" s="9" t="inlineStr"/>
      <c r="K303" s="8" t="inlineStr">
        <is>
          <t>Copiar en Flexxus: Tipo=MB-EXT | Movimiento=GRAVAMEN LEY 25.413 S/DEB | Monto=2,07 | Fecha: 27/04/2026</t>
        </is>
      </c>
    </row>
    <row r="304">
      <c r="A304" s="8" t="inlineStr">
        <is>
          <t>PEND-41D731B0E4E4-A001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108824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2.05</v>
      </c>
      <c r="J304" s="9" t="inlineStr"/>
      <c r="K304" s="8" t="inlineStr">
        <is>
          <t>Copiar en Flexxus: Tipo=MB-EXT | Movimiento=GRAVAMEN LEY 25.413 S/DEB | Monto=2,05 | Fecha: 27/04/2026</t>
        </is>
      </c>
    </row>
    <row r="305">
      <c r="A305" s="8" t="inlineStr">
        <is>
          <t>PEND-1499BC13A861-A001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108791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2.05</v>
      </c>
      <c r="J305" s="9" t="inlineStr"/>
      <c r="K305" s="8" t="inlineStr">
        <is>
          <t>Copiar en Flexxus: Tipo=MB-EXT | Movimiento=GRAVAMEN LEY 25.413 S/DEB | Monto=2,05 | Fecha: 27/04/2026</t>
        </is>
      </c>
    </row>
    <row r="306">
      <c r="A306" s="8" t="inlineStr">
        <is>
          <t>PEND-EBB74083C616-A001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108760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2.02</v>
      </c>
      <c r="J306" s="9" t="inlineStr"/>
      <c r="K306" s="8" t="inlineStr">
        <is>
          <t>Copiar en Flexxus: Tipo=MB-EXT | Movimiento=GRAVAMEN LEY 25.413 S/DEB | Monto=2,02 | Fecha: 27/04/2026</t>
        </is>
      </c>
    </row>
    <row r="307">
      <c r="A307" s="8" t="inlineStr">
        <is>
          <t>PEND-2875183DB8F8-A001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108778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1.99</v>
      </c>
      <c r="J307" s="9" t="inlineStr"/>
      <c r="K307" s="8" t="inlineStr">
        <is>
          <t>Copiar en Flexxus: Tipo=MB-EXT | Movimiento=GRAVAMEN LEY 25.413 S/DEB | Monto=1,99 | Fecha: 27/04/2026</t>
        </is>
      </c>
    </row>
    <row r="308">
      <c r="A308" s="8" t="inlineStr">
        <is>
          <t>PEND-C3B3D26FE951-A001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108777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1.99</v>
      </c>
      <c r="J308" s="9" t="inlineStr"/>
      <c r="K308" s="8" t="inlineStr">
        <is>
          <t>Copiar en Flexxus: Tipo=MB-EXT | Movimiento=GRAVAMEN LEY 25.413 S/DEB | Monto=1,99 | Fecha: 27/04/2026</t>
        </is>
      </c>
    </row>
    <row r="309">
      <c r="A309" s="8" t="inlineStr">
        <is>
          <t>PEND-327D35AD2908-A001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29841705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1.96</v>
      </c>
      <c r="J309" s="9" t="inlineStr"/>
      <c r="K309" s="8" t="inlineStr">
        <is>
          <t>Copiar en Flexxus: Tipo=MB-EXT | Movimiento=GRAVAMEN LEY 25.413 S/DEB | Monto=1,96 | Fecha: 27/04/2026</t>
        </is>
      </c>
    </row>
    <row r="310">
      <c r="A310" s="8" t="inlineStr">
        <is>
          <t>PEND-0DA0678BE408-A001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108846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1.95</v>
      </c>
      <c r="J310" s="9" t="inlineStr"/>
      <c r="K310" s="8" t="inlineStr">
        <is>
          <t>Copiar en Flexxus: Tipo=MB-EXT | Movimiento=GRAVAMEN LEY 25.413 S/DEB | Monto=1,95 | Fecha: 27/04/2026</t>
        </is>
      </c>
    </row>
    <row r="311">
      <c r="A311" s="8" t="inlineStr">
        <is>
          <t>PEND-622D373754C3-A001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108783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1.89</v>
      </c>
      <c r="J311" s="9" t="inlineStr"/>
      <c r="K311" s="8" t="inlineStr">
        <is>
          <t>Copiar en Flexxus: Tipo=MB-EXT | Movimiento=GRAVAMEN LEY 25.413 S/DEB | Monto=1,89 | Fecha: 27/04/2026</t>
        </is>
      </c>
    </row>
    <row r="312">
      <c r="A312" s="8" t="inlineStr">
        <is>
          <t>PEND-67166EB67871-A001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29841705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1.8</v>
      </c>
      <c r="J312" s="9" t="inlineStr"/>
      <c r="K312" s="8" t="inlineStr">
        <is>
          <t>Copiar en Flexxus: Tipo=MB-EXT | Movimiento=GRAVAMEN LEY 25.413 S/DEB | Monto=1,80 | Fecha: 27/04/2026</t>
        </is>
      </c>
    </row>
    <row r="313">
      <c r="A313" s="8" t="inlineStr">
        <is>
          <t>PEND-63412E175E46-A001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108806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1.68</v>
      </c>
      <c r="J313" s="9" t="inlineStr"/>
      <c r="K313" s="8" t="inlineStr">
        <is>
          <t>Copiar en Flexxus: Tipo=MB-EXT | Movimiento=GRAVAMEN LEY 25.413 S/DEB | Monto=1,68 | Fecha: 27/04/2026</t>
        </is>
      </c>
    </row>
    <row r="314">
      <c r="A314" s="8" t="inlineStr">
        <is>
          <t>PEND-BEE642F364E8-A001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108829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1.66</v>
      </c>
      <c r="J314" s="9" t="inlineStr"/>
      <c r="K314" s="8" t="inlineStr">
        <is>
          <t>Copiar en Flexxus: Tipo=MB-EXT | Movimiento=GRAVAMEN LEY 25.413 S/DEB | Monto=1,66 | Fecha: 27/04/2026</t>
        </is>
      </c>
    </row>
    <row r="315">
      <c r="A315" s="8" t="inlineStr">
        <is>
          <t>PEND-66C080961A8A-A001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108834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1.61</v>
      </c>
      <c r="J315" s="9" t="inlineStr"/>
      <c r="K315" s="8" t="inlineStr">
        <is>
          <t>Copiar en Flexxus: Tipo=MB-EXT | Movimiento=GRAVAMEN LEY 25.413 S/DEB | Monto=1,61 | Fecha: 27/04/2026</t>
        </is>
      </c>
    </row>
    <row r="316">
      <c r="A316" s="8" t="inlineStr">
        <is>
          <t>PEND-4F481E5F8D38-A001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108835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1.6</v>
      </c>
      <c r="J316" s="9" t="inlineStr"/>
      <c r="K316" s="8" t="inlineStr">
        <is>
          <t>Copiar en Flexxus: Tipo=MB-EXT | Movimiento=GRAVAMEN LEY 25.413 S/DEB | Monto=1,60 | Fecha: 27/04/2026</t>
        </is>
      </c>
    </row>
    <row r="317">
      <c r="A317" s="8" t="inlineStr">
        <is>
          <t>PEND-370B99E70945-A001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108813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1.6</v>
      </c>
      <c r="J317" s="9" t="inlineStr"/>
      <c r="K317" s="8" t="inlineStr">
        <is>
          <t>Copiar en Flexxus: Tipo=MB-EXT | Movimiento=GRAVAMEN LEY 25.413 S/DEB | Monto=1,60 | Fecha: 27/04/2026</t>
        </is>
      </c>
    </row>
    <row r="318">
      <c r="A318" s="8" t="inlineStr">
        <is>
          <t>PEND-C720D6B916BE-A001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108805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1.6</v>
      </c>
      <c r="J318" s="9" t="inlineStr"/>
      <c r="K318" s="8" t="inlineStr">
        <is>
          <t>Copiar en Flexxus: Tipo=MB-EXT | Movimiento=GRAVAMEN LEY 25.413 S/DEB | Monto=1,60 | Fecha: 27/04/2026</t>
        </is>
      </c>
    </row>
    <row r="319">
      <c r="A319" s="8" t="inlineStr">
        <is>
          <t>PEND-DF03769779EE-A001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108765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1.6</v>
      </c>
      <c r="J319" s="9" t="inlineStr"/>
      <c r="K319" s="8" t="inlineStr">
        <is>
          <t>Copiar en Flexxus: Tipo=MB-EXT | Movimiento=GRAVAMEN LEY 25.413 S/DEB | Monto=1,60 | Fecha: 27/04/2026</t>
        </is>
      </c>
    </row>
    <row r="320">
      <c r="A320" s="8" t="inlineStr">
        <is>
          <t>PEND-EE41D15AAB79-A001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108797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1.53</v>
      </c>
      <c r="J320" s="9" t="inlineStr"/>
      <c r="K320" s="8" t="inlineStr">
        <is>
          <t>Copiar en Flexxus: Tipo=MB-EXT | Movimiento=GRAVAMEN LEY 25.413 S/DEB | Monto=1,53 | Fecha: 27/04/2026</t>
        </is>
      </c>
    </row>
    <row r="321">
      <c r="A321" s="8" t="inlineStr">
        <is>
          <t>PEND-4644FC147B49-A001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108847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1.49</v>
      </c>
      <c r="J321" s="9" t="inlineStr"/>
      <c r="K321" s="8" t="inlineStr">
        <is>
          <t>Copiar en Flexxus: Tipo=MB-EXT | Movimiento=GRAVAMEN LEY 25.413 S/DEB | Monto=1,49 | Fecha: 27/04/2026</t>
        </is>
      </c>
    </row>
    <row r="322">
      <c r="A322" s="8" t="inlineStr">
        <is>
          <t>PEND-8606CA67D770-A001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108823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1.49</v>
      </c>
      <c r="J322" s="9" t="inlineStr"/>
      <c r="K322" s="8" t="inlineStr">
        <is>
          <t>Copiar en Flexxus: Tipo=MB-EXT | Movimiento=GRAVAMEN LEY 25.413 S/DEB | Monto=1,49 | Fecha: 27/04/2026</t>
        </is>
      </c>
    </row>
    <row r="323">
      <c r="A323" s="8" t="inlineStr">
        <is>
          <t>PEND-AA4F5FA54512-A001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108789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1.49</v>
      </c>
      <c r="J323" s="9" t="inlineStr"/>
      <c r="K323" s="8" t="inlineStr">
        <is>
          <t>Copiar en Flexxus: Tipo=MB-EXT | Movimiento=GRAVAMEN LEY 25.413 S/DEB | Monto=1,49 | Fecha: 27/04/2026</t>
        </is>
      </c>
    </row>
    <row r="324">
      <c r="A324" s="8" t="inlineStr">
        <is>
          <t>PEND-25F8990E9DC8-A001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108809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1.47</v>
      </c>
      <c r="J324" s="9" t="inlineStr"/>
      <c r="K324" s="8" t="inlineStr">
        <is>
          <t>Copiar en Flexxus: Tipo=MB-EXT | Movimiento=GRAVAMEN LEY 25.413 S/DEB | Monto=1,47 | Fecha: 27/04/2026</t>
        </is>
      </c>
    </row>
    <row r="325">
      <c r="A325" s="8" t="inlineStr">
        <is>
          <t>PEND-4B656B1FE11D-A001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108844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1.46</v>
      </c>
      <c r="J325" s="9" t="inlineStr"/>
      <c r="K325" s="8" t="inlineStr">
        <is>
          <t>Copiar en Flexxus: Tipo=MB-EXT | Movimiento=GRAVAMEN LEY 25.413 S/DEB | Monto=1,46 | Fecha: 27/04/2026</t>
        </is>
      </c>
    </row>
    <row r="326">
      <c r="A326" s="8" t="inlineStr">
        <is>
          <t>PEND-83DB16D4340C-A001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108803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1.46</v>
      </c>
      <c r="J326" s="9" t="inlineStr"/>
      <c r="K326" s="8" t="inlineStr">
        <is>
          <t>Copiar en Flexxus: Tipo=MB-EXT | Movimiento=GRAVAMEN LEY 25.413 S/DEB | Monto=1,46 | Fecha: 27/04/2026</t>
        </is>
      </c>
    </row>
    <row r="327">
      <c r="A327" s="8" t="inlineStr">
        <is>
          <t>PEND-1C0DB8A916EA-A001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108828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1.43</v>
      </c>
      <c r="J327" s="9" t="inlineStr"/>
      <c r="K327" s="8" t="inlineStr">
        <is>
          <t>Copiar en Flexxus: Tipo=MB-EXT | Movimiento=GRAVAMEN LEY 25.413 S/DEB | Monto=1,43 | Fecha: 27/04/2026</t>
        </is>
      </c>
    </row>
    <row r="328">
      <c r="A328" s="8" t="inlineStr">
        <is>
          <t>PEND-4B88EB731C8F-A001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108820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1.43</v>
      </c>
      <c r="J328" s="9" t="inlineStr"/>
      <c r="K328" s="8" t="inlineStr">
        <is>
          <t>Copiar en Flexxus: Tipo=MB-EXT | Movimiento=GRAVAMEN LEY 25.413 S/DEB | Monto=1,43 | Fecha: 27/04/2026</t>
        </is>
      </c>
    </row>
    <row r="329">
      <c r="A329" s="8" t="inlineStr">
        <is>
          <t>PEND-505CC8311E06-A001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29841683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1.41</v>
      </c>
      <c r="J329" s="9" t="inlineStr"/>
      <c r="K329" s="8" t="inlineStr">
        <is>
          <t>Copiar en Flexxus: Tipo=MB-EXT | Movimiento=GRAVAMEN LEY 25.413 S/DEB | Monto=1,41 | Fecha: 27/04/2026</t>
        </is>
      </c>
    </row>
    <row r="330">
      <c r="A330" s="8" t="inlineStr">
        <is>
          <t>PEND-92D84B85AEEE-A001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108826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1.37</v>
      </c>
      <c r="J330" s="9" t="inlineStr"/>
      <c r="K330" s="8" t="inlineStr">
        <is>
          <t>Copiar en Flexxus: Tipo=MB-EXT | Movimiento=GRAVAMEN LEY 25.413 S/DEB | Monto=1,37 | Fecha: 27/04/2026</t>
        </is>
      </c>
    </row>
    <row r="331">
      <c r="A331" s="8" t="inlineStr">
        <is>
          <t>PEND-C255B42B26C5-A001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108814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1.37</v>
      </c>
      <c r="J331" s="9" t="inlineStr"/>
      <c r="K331" s="8" t="inlineStr">
        <is>
          <t>Copiar en Flexxus: Tipo=MB-EXT | Movimiento=GRAVAMEN LEY 25.413 S/DEB | Monto=1,37 | Fecha: 27/04/2026</t>
        </is>
      </c>
    </row>
    <row r="332">
      <c r="A332" s="8" t="inlineStr">
        <is>
          <t>PEND-FCC295003ACC-A001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108766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1.37</v>
      </c>
      <c r="J332" s="9" t="inlineStr"/>
      <c r="K332" s="8" t="inlineStr">
        <is>
          <t>Copiar en Flexxus: Tipo=MB-EXT | Movimiento=GRAVAMEN LEY 25.413 S/DEB | Monto=1,37 | Fecha: 27/04/2026</t>
        </is>
      </c>
    </row>
    <row r="333">
      <c r="A333" s="8" t="inlineStr">
        <is>
          <t>PEND-98133263776E-A001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108880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1.2</v>
      </c>
      <c r="J333" s="9" t="inlineStr"/>
      <c r="K333" s="8" t="inlineStr">
        <is>
          <t>Copiar en Flexxus: Tipo=MB-EXT | Movimiento=GRAVAMEN LEY 25.413 S/DEB | Monto=1,20 | Fecha: 27/04/2026</t>
        </is>
      </c>
    </row>
    <row r="334">
      <c r="A334" s="8" t="inlineStr">
        <is>
          <t>PEND-CC4164B1D088-A001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29841642</t>
        </is>
      </c>
      <c r="F334" s="8" t="inlineStr">
        <is>
          <t>GRAVAMEN LEY 25413 S/DEB</t>
        </is>
      </c>
      <c r="G334" s="8" t="inlineStr">
        <is>
          <t>Anticipo Ganancias Ley 25.413 débitos</t>
        </is>
      </c>
      <c r="H334" s="8" t="inlineStr">
        <is>
          <t>Anticipo Impuesto a las Ganancias</t>
        </is>
      </c>
      <c r="I334" s="9" t="n">
        <v>1.13</v>
      </c>
      <c r="J334" s="9" t="inlineStr"/>
      <c r="K334" s="8" t="inlineStr">
        <is>
          <t>Copiar en Flexxus: Tipo=MB-EXT | Movimiento=GRAVAMEN LEY 25.413 S/DEB | Monto=1,13 | Fecha: 27/04/2026</t>
        </is>
      </c>
    </row>
    <row r="335">
      <c r="A335" s="8" t="inlineStr">
        <is>
          <t>PEND-E80BD4EE954C-A001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108792</t>
        </is>
      </c>
      <c r="F335" s="8" t="inlineStr">
        <is>
          <t>GRAVAMEN LEY 25413 S/DEB</t>
        </is>
      </c>
      <c r="G335" s="8" t="inlineStr">
        <is>
          <t>Anticipo Ganancias Ley 25.413 débitos</t>
        </is>
      </c>
      <c r="H335" s="8" t="inlineStr">
        <is>
          <t>Anticipo Impuesto a las Ganancias</t>
        </is>
      </c>
      <c r="I335" s="9" t="n">
        <v>1.13</v>
      </c>
      <c r="J335" s="9" t="inlineStr"/>
      <c r="K335" s="8" t="inlineStr">
        <is>
          <t>Copiar en Flexxus: Tipo=MB-EXT | Movimiento=GRAVAMEN LEY 25.413 S/DEB | Monto=1,13 | Fecha: 27/04/2026</t>
        </is>
      </c>
    </row>
    <row r="336">
      <c r="A336" s="8" t="inlineStr">
        <is>
          <t>PEND-84B62F6DE4D1-A001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108819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1</v>
      </c>
      <c r="J336" s="9" t="inlineStr"/>
      <c r="K336" s="8" t="inlineStr">
        <is>
          <t>Copiar en Flexxus: Tipo=MB-EXT | Movimiento=GRAVAMEN LEY 25.413 S/DEB | Monto=1,00 | Fecha: 27/04/2026</t>
        </is>
      </c>
    </row>
    <row r="337">
      <c r="A337" s="8" t="inlineStr">
        <is>
          <t>PEND-28413A593B7A-A001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108808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0.89</v>
      </c>
      <c r="J337" s="9" t="inlineStr"/>
      <c r="K337" s="8" t="inlineStr">
        <is>
          <t>Copiar en Flexxus: Tipo=MB-EXT | Movimiento=GRAVAMEN LEY 25.413 S/DEB | Monto=0,89 | Fecha: 27/04/2026</t>
        </is>
      </c>
    </row>
    <row r="338">
      <c r="A338" s="8" t="inlineStr">
        <is>
          <t>PEND-4FB475A056D0-A001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108815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0.88</v>
      </c>
      <c r="J338" s="9" t="inlineStr"/>
      <c r="K338" s="8" t="inlineStr">
        <is>
          <t>Copiar en Flexxus: Tipo=MB-EXT | Movimiento=GRAVAMEN LEY 25.413 S/DEB | Monto=0,88 | Fecha: 27/04/2026</t>
        </is>
      </c>
    </row>
    <row r="339">
      <c r="A339" s="8" t="inlineStr">
        <is>
          <t>PEND-EF2DD414F03F-A001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29841627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0.8</v>
      </c>
      <c r="J339" s="9" t="inlineStr"/>
      <c r="K339" s="8" t="inlineStr">
        <is>
          <t>Copiar en Flexxus: Tipo=MB-EXT | Movimiento=GRAVAMEN LEY 25.413 S/DEB | Monto=0,80 | Fecha: 27/04/2026</t>
        </is>
      </c>
    </row>
    <row r="340">
      <c r="A340" s="8" t="inlineStr">
        <is>
          <t>PEND-2DAB7884162E-A001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108825</t>
        </is>
      </c>
      <c r="F340" s="8" t="inlineStr">
        <is>
          <t>GRAVAMEN LEY 25413 S/DEB</t>
        </is>
      </c>
      <c r="G340" s="8" t="inlineStr">
        <is>
          <t>Anticipo Ganancias Ley 25.413 débitos</t>
        </is>
      </c>
      <c r="H340" s="8" t="inlineStr">
        <is>
          <t>Anticipo Impuesto a las Ganancias</t>
        </is>
      </c>
      <c r="I340" s="9" t="n">
        <v>0.8</v>
      </c>
      <c r="J340" s="9" t="inlineStr"/>
      <c r="K340" s="8" t="inlineStr">
        <is>
          <t>Copiar en Flexxus: Tipo=MB-EXT | Movimiento=GRAVAMEN LEY 25.413 S/DEB | Monto=0,80 | Fecha: 27/04/2026</t>
        </is>
      </c>
    </row>
    <row r="341">
      <c r="A341" s="8" t="inlineStr">
        <is>
          <t>PEND-E4CE7A29E34D-A001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108816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0.8</v>
      </c>
      <c r="J341" s="9" t="inlineStr"/>
      <c r="K341" s="8" t="inlineStr">
        <is>
          <t>Copiar en Flexxus: Tipo=MB-EXT | Movimiento=GRAVAMEN LEY 25.413 S/DEB | Monto=0,80 | Fecha: 27/04/2026</t>
        </is>
      </c>
    </row>
    <row r="342">
      <c r="A342" s="8" t="inlineStr">
        <is>
          <t>PEND-EE6DEB71DDE5-A001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108767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0.8</v>
      </c>
      <c r="J342" s="9" t="inlineStr"/>
      <c r="K342" s="8" t="inlineStr">
        <is>
          <t>Copiar en Flexxus: Tipo=MB-EXT | Movimiento=GRAVAMEN LEY 25.413 S/DEB | Monto=0,80 | Fecha: 27/04/2026</t>
        </is>
      </c>
    </row>
    <row r="343">
      <c r="A343" s="8" t="inlineStr">
        <is>
          <t>PEND-198499142FC1-A001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108764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0.8</v>
      </c>
      <c r="J343" s="9" t="inlineStr"/>
      <c r="K343" s="8" t="inlineStr">
        <is>
          <t>Copiar en Flexxus: Tipo=MB-EXT | Movimiento=GRAVAMEN LEY 25.413 S/DEB | Monto=0,80 | Fecha: 27/04/2026</t>
        </is>
      </c>
    </row>
    <row r="344">
      <c r="A344" s="8" t="inlineStr">
        <is>
          <t>PEND-01D5E791B778-A001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108776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0.79</v>
      </c>
      <c r="J344" s="9" t="inlineStr"/>
      <c r="K344" s="8" t="inlineStr">
        <is>
          <t>Copiar en Flexxus: Tipo=MB-EXT | Movimiento=GRAVAMEN LEY 25.413 S/DEB | Monto=0,79 | Fecha: 27/04/2026</t>
        </is>
      </c>
    </row>
    <row r="345">
      <c r="A345" s="8" t="inlineStr">
        <is>
          <t>PEND-1D71FFF604C4-A001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108794</t>
        </is>
      </c>
      <c r="F345" s="8" t="inlineStr">
        <is>
          <t>GRAVAMEN LEY 25413 S/DEB</t>
        </is>
      </c>
      <c r="G345" s="8" t="inlineStr">
        <is>
          <t>Anticipo Ganancias Ley 25.413 débitos</t>
        </is>
      </c>
      <c r="H345" s="8" t="inlineStr">
        <is>
          <t>Anticipo Impuesto a las Ganancias</t>
        </is>
      </c>
      <c r="I345" s="9" t="n">
        <v>0.75</v>
      </c>
      <c r="J345" s="9" t="inlineStr"/>
      <c r="K345" s="8" t="inlineStr">
        <is>
          <t>Copiar en Flexxus: Tipo=MB-EXT | Movimiento=GRAVAMEN LEY 25.413 S/DEB | Monto=0,75 | Fecha: 27/04/2026</t>
        </is>
      </c>
    </row>
    <row r="346">
      <c r="A346" s="8" t="inlineStr">
        <is>
          <t>PEND-1D68A8F567D5-A001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108831</t>
        </is>
      </c>
      <c r="F346" s="8" t="inlineStr">
        <is>
          <t>GRAVAMEN LEY 25413 S/DEB</t>
        </is>
      </c>
      <c r="G346" s="8" t="inlineStr">
        <is>
          <t>Anticipo Ganancias Ley 25.413 débitos</t>
        </is>
      </c>
      <c r="H346" s="8" t="inlineStr">
        <is>
          <t>Anticipo Impuesto a las Ganancias</t>
        </is>
      </c>
      <c r="I346" s="9" t="n">
        <v>0.74</v>
      </c>
      <c r="J346" s="9" t="inlineStr"/>
      <c r="K346" s="8" t="inlineStr">
        <is>
          <t>Copiar en Flexxus: Tipo=MB-EXT | Movimiento=GRAVAMEN LEY 25.413 S/DEB | Monto=0,74 | Fecha: 27/04/2026</t>
        </is>
      </c>
    </row>
    <row r="347">
      <c r="A347" s="8" t="inlineStr">
        <is>
          <t>PEND-0B310409FE63-A001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108779</t>
        </is>
      </c>
      <c r="F347" s="8" t="inlineStr">
        <is>
          <t>GRAVAMEN LEY 25413 S/DEB</t>
        </is>
      </c>
      <c r="G347" s="8" t="inlineStr">
        <is>
          <t>Anticipo Ganancias Ley 25.413 débitos</t>
        </is>
      </c>
      <c r="H347" s="8" t="inlineStr">
        <is>
          <t>Anticipo Impuesto a las Ganancias</t>
        </is>
      </c>
      <c r="I347" s="9" t="n">
        <v>0.74</v>
      </c>
      <c r="J347" s="9" t="inlineStr"/>
      <c r="K347" s="8" t="inlineStr">
        <is>
          <t>Copiar en Flexxus: Tipo=MB-EXT | Movimiento=GRAVAMEN LEY 25.413 S/DEB | Monto=0,74 | Fecha: 27/04/2026</t>
        </is>
      </c>
    </row>
    <row r="348">
      <c r="A348" s="8" t="inlineStr">
        <is>
          <t>PEND-015B825C674F-A001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108832</t>
        </is>
      </c>
      <c r="F348" s="8" t="inlineStr">
        <is>
          <t>GRAVAMEN LEY 25413 S/DEB</t>
        </is>
      </c>
      <c r="G348" s="8" t="inlineStr">
        <is>
          <t>Anticipo Ganancias Ley 25.413 débitos</t>
        </is>
      </c>
      <c r="H348" s="8" t="inlineStr">
        <is>
          <t>Anticipo Impuesto a las Ganancias</t>
        </is>
      </c>
      <c r="I348" s="9" t="n">
        <v>0.7</v>
      </c>
      <c r="J348" s="9" t="inlineStr"/>
      <c r="K348" s="8" t="inlineStr">
        <is>
          <t>Copiar en Flexxus: Tipo=MB-EXT | Movimiento=GRAVAMEN LEY 25.413 S/DEB | Monto=0,70 | Fecha: 27/04/2026</t>
        </is>
      </c>
    </row>
    <row r="349">
      <c r="A349" s="8" t="inlineStr">
        <is>
          <t>PEND-32F9D3D00CE7-A001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108843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0.68</v>
      </c>
      <c r="J349" s="9" t="inlineStr"/>
      <c r="K349" s="8" t="inlineStr">
        <is>
          <t>Copiar en Flexxus: Tipo=MB-EXT | Movimiento=GRAVAMEN LEY 25.413 S/DEB | Monto=0,68 | Fecha: 27/04/2026</t>
        </is>
      </c>
    </row>
    <row r="350">
      <c r="A350" s="8" t="inlineStr">
        <is>
          <t>PEND-D9D5B62F25C7-A001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108822</t>
        </is>
      </c>
      <c r="F350" s="8" t="inlineStr">
        <is>
          <t>GRAVAMEN LEY 25413 S/DEB</t>
        </is>
      </c>
      <c r="G350" s="8" t="inlineStr">
        <is>
          <t>Anticipo Ganancias Ley 25.413 débitos</t>
        </is>
      </c>
      <c r="H350" s="8" t="inlineStr">
        <is>
          <t>Anticipo Impuesto a las Ganancias</t>
        </is>
      </c>
      <c r="I350" s="9" t="n">
        <v>0.68</v>
      </c>
      <c r="J350" s="9" t="inlineStr"/>
      <c r="K350" s="8" t="inlineStr">
        <is>
          <t>Copiar en Flexxus: Tipo=MB-EXT | Movimiento=GRAVAMEN LEY 25.413 S/DEB | Monto=0,68 | Fecha: 27/04/2026</t>
        </is>
      </c>
    </row>
    <row r="351">
      <c r="A351" s="8" t="inlineStr">
        <is>
          <t>PEND-2F46C7EBE8B3-A001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108786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0.68</v>
      </c>
      <c r="J351" s="9" t="inlineStr"/>
      <c r="K351" s="8" t="inlineStr">
        <is>
          <t>Copiar en Flexxus: Tipo=MB-EXT | Movimiento=GRAVAMEN LEY 25.413 S/DEB | Monto=0,68 | Fecha: 27/04/2026</t>
        </is>
      </c>
    </row>
    <row r="352">
      <c r="A352" s="8" t="inlineStr">
        <is>
          <t>PEND-5D3D06876C27-A001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108788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0.63</v>
      </c>
      <c r="J352" s="9" t="inlineStr"/>
      <c r="K352" s="8" t="inlineStr">
        <is>
          <t>Copiar en Flexxus: Tipo=MB-EXT | Movimiento=GRAVAMEN LEY 25.413 S/DEB | Monto=0,63 | Fecha: 27/04/2026</t>
        </is>
      </c>
    </row>
    <row r="353">
      <c r="A353" s="8" t="inlineStr">
        <is>
          <t>PEND-F3773844AEAB-A001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29841627</t>
        </is>
      </c>
      <c r="F353" s="8" t="inlineStr">
        <is>
          <t>GRAVAMEN LEY 25413 S/DEB</t>
        </is>
      </c>
      <c r="G353" s="8" t="inlineStr">
        <is>
          <t>Anticipo Ganancias Ley 25.413 débitos</t>
        </is>
      </c>
      <c r="H353" s="8" t="inlineStr">
        <is>
          <t>Anticipo Impuesto a las Ganancias</t>
        </is>
      </c>
      <c r="I353" s="9" t="n">
        <v>0.59</v>
      </c>
      <c r="J353" s="9" t="inlineStr"/>
      <c r="K353" s="8" t="inlineStr">
        <is>
          <t>Copiar en Flexxus: Tipo=MB-EXT | Movimiento=GRAVAMEN LEY 25.413 S/DEB | Monto=0,59 | Fecha: 27/04/2026</t>
        </is>
      </c>
    </row>
    <row r="354">
      <c r="A354" s="8" t="inlineStr">
        <is>
          <t>PEND-D8DEA42204D8-A001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108790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0.59</v>
      </c>
      <c r="J354" s="9" t="inlineStr"/>
      <c r="K354" s="8" t="inlineStr">
        <is>
          <t>Copiar en Flexxus: Tipo=MB-EXT | Movimiento=GRAVAMEN LEY 25.413 S/DEB | Monto=0,59 | Fecha: 27/04/2026</t>
        </is>
      </c>
    </row>
    <row r="355">
      <c r="A355" s="8" t="inlineStr">
        <is>
          <t>PEND-2C783B9F72ED-A001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108768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0.5600000000000001</v>
      </c>
      <c r="J355" s="9" t="inlineStr"/>
      <c r="K355" s="8" t="inlineStr">
        <is>
          <t>Copiar en Flexxus: Tipo=MB-EXT | Movimiento=GRAVAMEN LEY 25.413 S/DEB | Monto=0,56 | Fecha: 27/04/2026</t>
        </is>
      </c>
    </row>
    <row r="356">
      <c r="A356" s="8" t="inlineStr">
        <is>
          <t>PEND-97A150BC6F94-A001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29841705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0.55</v>
      </c>
      <c r="J356" s="9" t="inlineStr"/>
      <c r="K356" s="8" t="inlineStr">
        <is>
          <t>Copiar en Flexxus: Tipo=MB-EXT | Movimiento=GRAVAMEN LEY 25.413 S/DEB | Monto=0,55 | Fecha: 27/04/2026</t>
        </is>
      </c>
    </row>
    <row r="357">
      <c r="A357" s="8" t="inlineStr">
        <is>
          <t>PEND-052BAE954830-A001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108801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0.53</v>
      </c>
      <c r="J357" s="9" t="inlineStr"/>
      <c r="K357" s="8" t="inlineStr">
        <is>
          <t>Copiar en Flexxus: Tipo=MB-EXT | Movimiento=GRAVAMEN LEY 25.413 S/DEB | Monto=0,53 | Fecha: 27/04/2026</t>
        </is>
      </c>
    </row>
    <row r="358">
      <c r="A358" s="8" t="inlineStr">
        <is>
          <t>PEND-7FE9CE05C107-A001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108799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0.53</v>
      </c>
      <c r="J358" s="9" t="inlineStr"/>
      <c r="K358" s="8" t="inlineStr">
        <is>
          <t>Copiar en Flexxus: Tipo=MB-EXT | Movimiento=GRAVAMEN LEY 25.413 S/DEB | Monto=0,53 | Fecha: 27/04/2026</t>
        </is>
      </c>
    </row>
    <row r="359">
      <c r="A359" s="8" t="inlineStr">
        <is>
          <t>PEND-17E109FC692F-A001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108773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0.51</v>
      </c>
      <c r="J359" s="9" t="inlineStr"/>
      <c r="K359" s="8" t="inlineStr">
        <is>
          <t>Copiar en Flexxus: Tipo=MB-EXT | Movimiento=GRAVAMEN LEY 25.413 S/DEB | Monto=0,51 | Fecha: 27/04/2026</t>
        </is>
      </c>
    </row>
    <row r="360">
      <c r="A360" s="8" t="inlineStr">
        <is>
          <t>PEND-F88F466F6F06-A001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108839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0.46</v>
      </c>
      <c r="J360" s="9" t="inlineStr"/>
      <c r="K360" s="8" t="inlineStr">
        <is>
          <t>Copiar en Flexxus: Tipo=MB-EXT | Movimiento=GRAVAMEN LEY 25.413 S/DEB | Monto=0,46 | Fecha: 27/04/2026</t>
        </is>
      </c>
    </row>
    <row r="361">
      <c r="A361" s="8" t="inlineStr">
        <is>
          <t>PEND-9BB365999086-A001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108769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0.46</v>
      </c>
      <c r="J361" s="9" t="inlineStr"/>
      <c r="K361" s="8" t="inlineStr">
        <is>
          <t>Copiar en Flexxus: Tipo=MB-EXT | Movimiento=GRAVAMEN LEY 25.413 S/DEB | Monto=0,46 | Fecha: 27/04/2026</t>
        </is>
      </c>
    </row>
    <row r="362">
      <c r="A362" s="8" t="inlineStr">
        <is>
          <t>PEND-E85E5F0BA32C-A001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108755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0.41</v>
      </c>
      <c r="J362" s="9" t="inlineStr"/>
      <c r="K362" s="8" t="inlineStr">
        <is>
          <t>Copiar en Flexxus: Tipo=MB-EXT | Movimiento=GRAVAMEN LEY 25.413 S/DEB | Monto=0,41 | Fecha: 27/04/2026</t>
        </is>
      </c>
    </row>
    <row r="363">
      <c r="A363" s="8" t="inlineStr">
        <is>
          <t>PEND-9A29AA5EB5BE-A001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29841705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0.39</v>
      </c>
      <c r="J363" s="9" t="inlineStr"/>
      <c r="K363" s="8" t="inlineStr">
        <is>
          <t>Copiar en Flexxus: Tipo=MB-EXT | Movimiento=GRAVAMEN LEY 25.413 S/DEB | Monto=0,39 | Fecha: 27/04/2026</t>
        </is>
      </c>
    </row>
    <row r="364">
      <c r="A364" s="8" t="inlineStr">
        <is>
          <t>PEND-14F2FB92B317-A001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108878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0.27</v>
      </c>
      <c r="J364" s="9" t="inlineStr"/>
      <c r="K364" s="8" t="inlineStr">
        <is>
          <t>Copiar en Flexxus: Tipo=MB-EXT | Movimiento=GRAVAMEN LEY 25.413 S/DEB | Monto=0,27 | Fecha: 27/04/2026</t>
        </is>
      </c>
    </row>
    <row r="365">
      <c r="A365" s="8" t="inlineStr">
        <is>
          <t>PEND-93192FA01FE4-A001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108800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0.27</v>
      </c>
      <c r="J365" s="9" t="inlineStr"/>
      <c r="K365" s="8" t="inlineStr">
        <is>
          <t>Copiar en Flexxus: Tipo=MB-EXT | Movimiento=GRAVAMEN LEY 25.413 S/DEB | Monto=0,27 | Fecha: 27/04/2026</t>
        </is>
      </c>
    </row>
    <row r="366">
      <c r="A366" s="8" t="inlineStr">
        <is>
          <t>PEND-D426AC58D1E5-A001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108772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0.27</v>
      </c>
      <c r="J366" s="9" t="inlineStr"/>
      <c r="K366" s="8" t="inlineStr">
        <is>
          <t>Copiar en Flexxus: Tipo=MB-EXT | Movimiento=GRAVAMEN LEY 25.413 S/DEB | Monto=0,27 | Fecha: 27/04/2026</t>
        </is>
      </c>
    </row>
    <row r="367">
      <c r="A367" s="8" t="inlineStr">
        <is>
          <t>PEND-0B94CEBFAEEC-A001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29841705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0.26</v>
      </c>
      <c r="J367" s="9" t="inlineStr"/>
      <c r="K367" s="8" t="inlineStr">
        <is>
          <t>Copiar en Flexxus: Tipo=MB-EXT | Movimiento=GRAVAMEN LEY 25.413 S/DEB | Monto=0,26 | Fecha: 27/04/2026</t>
        </is>
      </c>
    </row>
    <row r="368">
      <c r="A368" s="8" t="inlineStr">
        <is>
          <t>PEND-104B629E539D-A001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108759</t>
        </is>
      </c>
      <c r="F368" s="8" t="inlineStr">
        <is>
          <t>PAGO CON TRANSFERENCIA</t>
        </is>
      </c>
      <c r="G368" s="8" t="inlineStr">
        <is>
          <t>Otro</t>
        </is>
      </c>
      <c r="H368" s="8" t="inlineStr">
        <is>
          <t>Revisar según concepto</t>
        </is>
      </c>
      <c r="I368" s="9" t="n">
        <v>0.01</v>
      </c>
      <c r="J368" s="9" t="inlineStr"/>
      <c r="K368" s="8" t="inlineStr">
        <is>
          <t>Registrar asiento / revisar según concepto</t>
        </is>
      </c>
    </row>
    <row r="369">
      <c r="A369" s="8" t="inlineStr">
        <is>
          <t>PEND-6226F267D176-A001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28/04/2026</t>
        </is>
      </c>
      <c r="E369" s="8" t="inlineStr">
        <is>
          <t>109285</t>
        </is>
      </c>
      <c r="F369" s="8" t="inlineStr">
        <is>
          <t>GRAVAMEN LEY 25413 S/DEB</t>
        </is>
      </c>
      <c r="G369" s="8" t="inlineStr">
        <is>
          <t>Anticipo Ganancias Ley 25.413 débitos</t>
        </is>
      </c>
      <c r="H369" s="8" t="inlineStr">
        <is>
          <t>Anticipo Impuesto a las Ganancias</t>
        </is>
      </c>
      <c r="I369" s="9" t="n">
        <v>1.27</v>
      </c>
      <c r="J369" s="9" t="inlineStr"/>
      <c r="K369" s="8" t="inlineStr">
        <is>
          <t>Copiar en Flexxus: Tipo=MB-EXT | Movimiento=GRAVAMEN LEY 25.413 S/DEB | Monto=1,27 | Fecha: 28/04/2026</t>
        </is>
      </c>
    </row>
    <row r="370">
      <c r="A370" s="8" t="inlineStr">
        <is>
          <t>PEND-5080AEA64BD6-A001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28/04/2026</t>
        </is>
      </c>
      <c r="E370" s="8" t="inlineStr">
        <is>
          <t>109284</t>
        </is>
      </c>
      <c r="F370" s="8" t="inlineStr">
        <is>
          <t>GRAVAMEN LEY 25413 S/DEB</t>
        </is>
      </c>
      <c r="G370" s="8" t="inlineStr">
        <is>
          <t>Anticipo Ganancias Ley 25.413 débitos</t>
        </is>
      </c>
      <c r="H370" s="8" t="inlineStr">
        <is>
          <t>Anticipo Impuesto a las Ganancias</t>
        </is>
      </c>
      <c r="I370" s="9" t="n">
        <v>1.28</v>
      </c>
      <c r="J370" s="9" t="inlineStr"/>
      <c r="K370" s="8" t="inlineStr">
        <is>
          <t>Copiar en Flexxus: Tipo=MB-EXT | Movimiento=GRAVAMEN LEY 25.413 S/DEB | Monto=1,28 | Fecha: 28/04/2026</t>
        </is>
      </c>
    </row>
    <row r="371">
      <c r="A371" s="8" t="inlineStr">
        <is>
          <t>PEND-C0639E56B331-A001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109283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4.35</v>
      </c>
      <c r="J371" s="9" t="inlineStr"/>
      <c r="K371" s="8" t="inlineStr">
        <is>
          <t>Copiar en Flexxus: Tipo=MB-EXT | Movimiento=GRAVAMEN LEY 25.413 S/DEB | Monto=4,35 | Fecha: 28/04/2026</t>
        </is>
      </c>
    </row>
    <row r="372">
      <c r="A372" s="8" t="inlineStr">
        <is>
          <t>PEND-342DC35BFA90-A001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28/04/2026</t>
        </is>
      </c>
      <c r="E372" s="8" t="inlineStr">
        <is>
          <t>109280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2.44</v>
      </c>
      <c r="J372" s="9" t="inlineStr"/>
      <c r="K372" s="8" t="inlineStr">
        <is>
          <t>Copiar en Flexxus: Tipo=MB-EXT | Movimiento=GRAVAMEN LEY 25.413 S/DEB | Monto=2,44 | Fecha: 28/04/2026</t>
        </is>
      </c>
    </row>
    <row r="373">
      <c r="A373" s="8" t="inlineStr">
        <is>
          <t>PEND-BC23A4809AC5-A001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28/04/2026</t>
        </is>
      </c>
      <c r="E373" s="8" t="inlineStr">
        <is>
          <t>32032899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122.7</v>
      </c>
      <c r="J373" s="9" t="inlineStr"/>
      <c r="K373" s="8" t="inlineStr">
        <is>
          <t>Copiar en Flexxus: Tipo=MB-EXT | Movimiento=GRAVAMEN LEY 25.413 S/DEB | Monto=122,70 | Fecha: 28/04/2026</t>
        </is>
      </c>
    </row>
    <row r="374">
      <c r="A374" s="8" t="inlineStr">
        <is>
          <t>PEND-4959389A1E2D-A001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28/04/2026</t>
        </is>
      </c>
      <c r="E374" s="8" t="inlineStr">
        <is>
          <t>31995644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50.24</v>
      </c>
      <c r="J374" s="9" t="inlineStr"/>
      <c r="K374" s="8" t="inlineStr">
        <is>
          <t>Copiar en Flexxus: Tipo=MB-EXT | Movimiento=GRAVAMEN LEY 25.413 S/DEB | Monto=50,24 | Fecha: 28/04/2026</t>
        </is>
      </c>
    </row>
    <row r="375">
      <c r="A375" s="8" t="inlineStr">
        <is>
          <t>PEND-ED1A916D8E90-A001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29841705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31.04</v>
      </c>
      <c r="J375" s="9" t="inlineStr"/>
      <c r="K375" s="8" t="inlineStr">
        <is>
          <t>Copiar en Flexxus: Tipo=MB-EXT | Movimiento=GRAVAMEN LEY 25.413 S/DEB | Monto=31,04 | Fecha: 28/04/2026</t>
        </is>
      </c>
    </row>
    <row r="376">
      <c r="A376" s="8" t="inlineStr">
        <is>
          <t>PEND-98C2C13F9B88-A001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28/04/2026</t>
        </is>
      </c>
      <c r="E376" s="8" t="inlineStr">
        <is>
          <t>29841683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16.48</v>
      </c>
      <c r="J376" s="9" t="inlineStr"/>
      <c r="K376" s="8" t="inlineStr">
        <is>
          <t>Copiar en Flexxus: Tipo=MB-EXT | Movimiento=GRAVAMEN LEY 25.413 S/DEB | Monto=16,48 | Fecha: 28/04/2026</t>
        </is>
      </c>
    </row>
    <row r="377">
      <c r="A377" s="8" t="inlineStr">
        <is>
          <t>PEND-CDD11989ED5D-A001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28/04/2026</t>
        </is>
      </c>
      <c r="E377" s="8" t="inlineStr">
        <is>
          <t>29841670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35.68</v>
      </c>
      <c r="J377" s="9" t="inlineStr"/>
      <c r="K377" s="8" t="inlineStr">
        <is>
          <t>Copiar en Flexxus: Tipo=MB-EXT | Movimiento=GRAVAMEN LEY 25.413 S/DEB | Monto=35,68 | Fecha: 28/04/2026</t>
        </is>
      </c>
    </row>
    <row r="378">
      <c r="A378" s="8" t="inlineStr">
        <is>
          <t>PEND-1F465506FC5C-A001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28/04/2026</t>
        </is>
      </c>
      <c r="E378" s="8" t="inlineStr">
        <is>
          <t>31995644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25.87</v>
      </c>
      <c r="J378" s="9" t="inlineStr"/>
      <c r="K378" s="8" t="inlineStr">
        <is>
          <t>Copiar en Flexxus: Tipo=MB-EXT | Movimiento=GRAVAMEN LEY 25.413 S/DEB | Monto=25,87 | Fecha: 28/04/2026</t>
        </is>
      </c>
    </row>
    <row r="379">
      <c r="A379" s="8" t="inlineStr">
        <is>
          <t>PEND-6E88438B80CE-A001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29841705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8.25</v>
      </c>
      <c r="J379" s="9" t="inlineStr"/>
      <c r="K379" s="8" t="inlineStr">
        <is>
          <t>Copiar en Flexxus: Tipo=MB-EXT | Movimiento=GRAVAMEN LEY 25.413 S/DEB | Monto=8,25 | Fecha: 28/04/2026</t>
        </is>
      </c>
    </row>
    <row r="380">
      <c r="A380" s="8" t="inlineStr">
        <is>
          <t>PEND-474729E3064A-A001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28/04/2026</t>
        </is>
      </c>
      <c r="E380" s="8" t="inlineStr">
        <is>
          <t>29841683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16.69</v>
      </c>
      <c r="J380" s="9" t="inlineStr"/>
      <c r="K380" s="8" t="inlineStr">
        <is>
          <t>Copiar en Flexxus: Tipo=MB-EXT | Movimiento=GRAVAMEN LEY 25.413 S/DEB | Monto=16,69 | Fecha: 28/04/2026</t>
        </is>
      </c>
    </row>
    <row r="381">
      <c r="A381" s="8" t="inlineStr">
        <is>
          <t>PEND-F38CF30EDFA0-A001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29841670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6.89</v>
      </c>
      <c r="J381" s="9" t="inlineStr"/>
      <c r="K381" s="8" t="inlineStr">
        <is>
          <t>Copiar en Flexxus: Tipo=MB-EXT | Movimiento=GRAVAMEN LEY 25.413 S/DEB | Monto=6,89 | Fecha: 28/04/2026</t>
        </is>
      </c>
    </row>
    <row r="382">
      <c r="A382" s="8" t="inlineStr">
        <is>
          <t>PEND-64DF11BD8E39-A001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31995644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8.140000000000001</v>
      </c>
      <c r="J382" s="9" t="inlineStr"/>
      <c r="K382" s="8" t="inlineStr">
        <is>
          <t>Copiar en Flexxus: Tipo=MB-EXT | Movimiento=GRAVAMEN LEY 25.413 S/DEB | Monto=8,14 | Fecha: 28/04/2026</t>
        </is>
      </c>
    </row>
    <row r="383">
      <c r="A383" s="8" t="inlineStr">
        <is>
          <t>PEND-0A60C8DB506F-A001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28/04/2026</t>
        </is>
      </c>
      <c r="E383" s="8" t="inlineStr">
        <is>
          <t>29841705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0.18</v>
      </c>
      <c r="J383" s="9" t="inlineStr"/>
      <c r="K383" s="8" t="inlineStr">
        <is>
          <t>Copiar en Flexxus: Tipo=MB-EXT | Movimiento=GRAVAMEN LEY 25.413 S/DEB | Monto=0,18 | Fecha: 28/04/2026</t>
        </is>
      </c>
    </row>
    <row r="384">
      <c r="A384" s="8" t="inlineStr">
        <is>
          <t>PEND-814DEA65BC79-A001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28/04/2026</t>
        </is>
      </c>
      <c r="E384" s="8" t="inlineStr">
        <is>
          <t>109261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2.87</v>
      </c>
      <c r="J384" s="9" t="inlineStr"/>
      <c r="K384" s="8" t="inlineStr">
        <is>
          <t>Copiar en Flexxus: Tipo=MB-EXT | Movimiento=GRAVAMEN LEY 25.413 S/DEB | Monto=2,87 | Fecha: 28/04/2026</t>
        </is>
      </c>
    </row>
    <row r="385">
      <c r="A385" s="8" t="inlineStr">
        <is>
          <t>PEND-DE397D8CA40D-A001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28/04/2026</t>
        </is>
      </c>
      <c r="E385" s="8" t="inlineStr">
        <is>
          <t>32032899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16.44</v>
      </c>
      <c r="J385" s="9" t="inlineStr"/>
      <c r="K385" s="8" t="inlineStr">
        <is>
          <t>Copiar en Flexxus: Tipo=MB-EXT | Movimiento=GRAVAMEN LEY 25.413 S/DEB | Monto=16,44 | Fecha: 28/04/2026</t>
        </is>
      </c>
    </row>
    <row r="386">
      <c r="A386" s="8" t="inlineStr">
        <is>
          <t>PEND-294CFEEC7D37-A001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32032899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9.119999999999999</v>
      </c>
      <c r="J386" s="9" t="inlineStr"/>
      <c r="K386" s="8" t="inlineStr">
        <is>
          <t>Copiar en Flexxus: Tipo=MB-EXT | Movimiento=GRAVAMEN LEY 25.413 S/DEB | Monto=9,12 | Fecha: 28/04/2026</t>
        </is>
      </c>
    </row>
    <row r="387">
      <c r="A387" s="8" t="inlineStr">
        <is>
          <t>PEND-5C9B1C81B1B5-A001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28/04/2026</t>
        </is>
      </c>
      <c r="E387" s="8" t="inlineStr">
        <is>
          <t>31995644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64.15000000000001</v>
      </c>
      <c r="J387" s="9" t="inlineStr"/>
      <c r="K387" s="8" t="inlineStr">
        <is>
          <t>Copiar en Flexxus: Tipo=MB-EXT | Movimiento=GRAVAMEN LEY 25.413 S/DEB | Monto=64,15 | Fecha: 28/04/2026</t>
        </is>
      </c>
    </row>
    <row r="388">
      <c r="A388" s="8" t="inlineStr">
        <is>
          <t>PEND-789EF654B828-A001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28/04/2026</t>
        </is>
      </c>
      <c r="E388" s="8" t="inlineStr">
        <is>
          <t>31995644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31.65</v>
      </c>
      <c r="J388" s="9" t="inlineStr"/>
      <c r="K388" s="8" t="inlineStr">
        <is>
          <t>Copiar en Flexxus: Tipo=MB-EXT | Movimiento=GRAVAMEN LEY 25.413 S/DEB | Monto=31,65 | Fecha: 28/04/2026</t>
        </is>
      </c>
    </row>
    <row r="389">
      <c r="A389" s="8" t="inlineStr">
        <is>
          <t>PEND-F0F7B4513828-A001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28/04/2026</t>
        </is>
      </c>
      <c r="E389" s="8" t="inlineStr">
        <is>
          <t>29841642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5.23</v>
      </c>
      <c r="J389" s="9" t="inlineStr"/>
      <c r="K389" s="8" t="inlineStr">
        <is>
          <t>Copiar en Flexxus: Tipo=MB-EXT | Movimiento=GRAVAMEN LEY 25.413 S/DEB | Monto=5,23 | Fecha: 28/04/2026</t>
        </is>
      </c>
    </row>
    <row r="390">
      <c r="A390" s="8" t="inlineStr">
        <is>
          <t>PEND-B6540135FE90-A001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109244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6.08</v>
      </c>
      <c r="J390" s="9" t="inlineStr"/>
      <c r="K390" s="8" t="inlineStr">
        <is>
          <t>Copiar en Flexxus: Tipo=MB-EXT | Movimiento=GRAVAMEN LEY 25.413 S/DEB | Monto=6,08 | Fecha: 28/04/2026</t>
        </is>
      </c>
    </row>
    <row r="391">
      <c r="A391" s="8" t="inlineStr">
        <is>
          <t>PEND-5A4E667DAF43-A001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109243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2.17</v>
      </c>
      <c r="J391" s="9" t="inlineStr"/>
      <c r="K391" s="8" t="inlineStr">
        <is>
          <t>Copiar en Flexxus: Tipo=MB-EXT | Movimiento=GRAVAMEN LEY 25.413 S/DEB | Monto=2,17 | Fecha: 28/04/2026</t>
        </is>
      </c>
    </row>
    <row r="392">
      <c r="A392" s="8" t="inlineStr">
        <is>
          <t>PEND-A696EA5E4938-A001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28/04/2026</t>
        </is>
      </c>
      <c r="E392" s="8" t="inlineStr">
        <is>
          <t>109286</t>
        </is>
      </c>
      <c r="F392" s="8" t="inlineStr">
        <is>
          <t>INGRESOS BRUTOS MENDOZA</t>
        </is>
      </c>
      <c r="G392" s="8" t="inlineStr">
        <is>
          <t>Retención Ingresos Brutos Mendoza</t>
        </is>
      </c>
      <c r="H392" s="8" t="inlineStr">
        <is>
          <t>Retención de Ingresos Brutos</t>
        </is>
      </c>
      <c r="I392" s="9" t="n">
        <v>320.86</v>
      </c>
      <c r="J392" s="9" t="inlineStr"/>
      <c r="K392" s="8" t="inlineStr">
        <is>
          <t>Copiar en Flexxus: Tipo=MB-EXT | Movimiento=INGRESOS BRUTOS MENDOZA | Monto=320,86 | Fecha: 28/04/2026</t>
        </is>
      </c>
    </row>
    <row r="393">
      <c r="A393" s="8" t="inlineStr">
        <is>
          <t>PEND-6DB84166711A-A001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28/04/2026</t>
        </is>
      </c>
      <c r="E393" s="8" t="inlineStr">
        <is>
          <t>109286</t>
        </is>
      </c>
      <c r="F393" s="8" t="inlineStr">
        <is>
          <t>GRAVAMEN LEY 25413 S/CRED</t>
        </is>
      </c>
      <c r="G393" s="8" t="inlineStr">
        <is>
          <t>Anticipo Ganancias Ley 25.413 créditos</t>
        </is>
      </c>
      <c r="H393" s="8" t="inlineStr">
        <is>
          <t>Anticipo Impuesto a las Ganancias</t>
        </is>
      </c>
      <c r="I393" s="9" t="n">
        <v>192.52</v>
      </c>
      <c r="J393" s="9" t="inlineStr"/>
      <c r="K393" s="8" t="inlineStr">
        <is>
          <t>Copiar en Flexxus: Tipo=MB-EXT | Movimiento=GRAVAMEN LEY 25.413 S/CRED | Monto=192,52 | Fecha: 28/04/2026</t>
        </is>
      </c>
    </row>
    <row r="394">
      <c r="A394" s="8" t="inlineStr">
        <is>
          <t>PEND-2ACE7515C582-A001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28/04/2026</t>
        </is>
      </c>
      <c r="E394" s="8" t="inlineStr">
        <is>
          <t>109285</t>
        </is>
      </c>
      <c r="F394" s="8" t="inlineStr">
        <is>
          <t>INGRESOS BRUTOS MENDOZA</t>
        </is>
      </c>
      <c r="G394" s="8" t="inlineStr">
        <is>
          <t>Retención Ingresos Brutos Mendoza</t>
        </is>
      </c>
      <c r="H394" s="8" t="inlineStr">
        <is>
          <t>Retención de Ingresos Brutos</t>
        </is>
      </c>
      <c r="I394" s="9" t="n">
        <v>210.94</v>
      </c>
      <c r="J394" s="9" t="inlineStr"/>
      <c r="K394" s="8" t="inlineStr">
        <is>
          <t>Copiar en Flexxus: Tipo=MB-EXT | Movimiento=INGRESOS BRUTOS MENDOZA | Monto=210,94 | Fecha: 28/04/2026</t>
        </is>
      </c>
    </row>
    <row r="395">
      <c r="A395" s="8" t="inlineStr">
        <is>
          <t>PEND-690551EA5F7C-A001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28/04/2026</t>
        </is>
      </c>
      <c r="E395" s="8" t="inlineStr">
        <is>
          <t>109285</t>
        </is>
      </c>
      <c r="F395" s="8" t="inlineStr">
        <is>
          <t>GRAVAMEN LEY 25413 S/CRED</t>
        </is>
      </c>
      <c r="G395" s="8" t="inlineStr">
        <is>
          <t>Anticipo Ganancias Ley 25.413 créditos</t>
        </is>
      </c>
      <c r="H395" s="8" t="inlineStr">
        <is>
          <t>Anticipo Impuesto a las Ganancias</t>
        </is>
      </c>
      <c r="I395" s="9" t="n">
        <v>126.56</v>
      </c>
      <c r="J395" s="9" t="inlineStr"/>
      <c r="K395" s="8" t="inlineStr">
        <is>
          <t>Copiar en Flexxus: Tipo=MB-EXT | Movimiento=GRAVAMEN LEY 25.413 S/CRED | Monto=126,56 | Fecha: 28/04/2026</t>
        </is>
      </c>
    </row>
    <row r="396">
      <c r="A396" s="8" t="inlineStr">
        <is>
          <t>PEND-FF32D37D3D5D-A001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28/04/2026</t>
        </is>
      </c>
      <c r="E396" s="8" t="inlineStr">
        <is>
          <t>109284</t>
        </is>
      </c>
      <c r="F396" s="8" t="inlineStr">
        <is>
          <t>INGRESOS BRUTOS MENDOZA</t>
        </is>
      </c>
      <c r="G396" s="8" t="inlineStr">
        <is>
          <t>Retención Ingresos Brutos Mendoza</t>
        </is>
      </c>
      <c r="H396" s="8" t="inlineStr">
        <is>
          <t>Retención de Ingresos Brutos</t>
        </is>
      </c>
      <c r="I396" s="9" t="n">
        <v>213.91</v>
      </c>
      <c r="J396" s="9" t="inlineStr"/>
      <c r="K396" s="8" t="inlineStr">
        <is>
          <t>Copiar en Flexxus: Tipo=MB-EXT | Movimiento=INGRESOS BRUTOS MENDOZA | Monto=213,91 | Fecha: 28/04/2026</t>
        </is>
      </c>
    </row>
    <row r="397">
      <c r="A397" s="8" t="inlineStr">
        <is>
          <t>PEND-C1EE854B5875-A001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28/04/2026</t>
        </is>
      </c>
      <c r="E397" s="8" t="inlineStr">
        <is>
          <t>109284</t>
        </is>
      </c>
      <c r="F397" s="8" t="inlineStr">
        <is>
          <t>GRAVAMEN LEY 25413 S/CRED</t>
        </is>
      </c>
      <c r="G397" s="8" t="inlineStr">
        <is>
          <t>Anticipo Ganancias Ley 25.413 créditos</t>
        </is>
      </c>
      <c r="H397" s="8" t="inlineStr">
        <is>
          <t>Anticipo Impuesto a las Ganancias</t>
        </is>
      </c>
      <c r="I397" s="9" t="n">
        <v>128.35</v>
      </c>
      <c r="J397" s="9" t="inlineStr"/>
      <c r="K397" s="8" t="inlineStr">
        <is>
          <t>Copiar en Flexxus: Tipo=MB-EXT | Movimiento=GRAVAMEN LEY 25.413 S/CRED | Monto=128,35 | Fecha: 28/04/2026</t>
        </is>
      </c>
    </row>
    <row r="398">
      <c r="A398" s="8" t="inlineStr">
        <is>
          <t>PEND-EB5236C0D61E-A001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28/04/2026</t>
        </is>
      </c>
      <c r="E398" s="8" t="inlineStr">
        <is>
          <t>109283</t>
        </is>
      </c>
      <c r="F398" s="8" t="inlineStr">
        <is>
          <t>INGRESOS BRUTOS MENDOZA</t>
        </is>
      </c>
      <c r="G398" s="8" t="inlineStr">
        <is>
          <t>Retención Ingresos Brutos Mendoza</t>
        </is>
      </c>
      <c r="H398" s="8" t="inlineStr">
        <is>
          <t>Retención de Ingresos Brutos</t>
        </is>
      </c>
      <c r="I398" s="9" t="n">
        <v>724.91</v>
      </c>
      <c r="J398" s="9" t="inlineStr"/>
      <c r="K398" s="8" t="inlineStr">
        <is>
          <t>Copiar en Flexxus: Tipo=MB-EXT | Movimiento=INGRESOS BRUTOS MENDOZA | Monto=724,91 | Fecha: 28/04/2026</t>
        </is>
      </c>
    </row>
    <row r="399">
      <c r="A399" s="8" t="inlineStr">
        <is>
          <t>PEND-4336E1E265EF-A001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28/04/2026</t>
        </is>
      </c>
      <c r="E399" s="8" t="inlineStr">
        <is>
          <t>109283</t>
        </is>
      </c>
      <c r="F399" s="8" t="inlineStr">
        <is>
          <t>GRAVAMEN LEY 25413 S/CRED</t>
        </is>
      </c>
      <c r="G399" s="8" t="inlineStr">
        <is>
          <t>Anticipo Ganancias Ley 25.413 créditos</t>
        </is>
      </c>
      <c r="H399" s="8" t="inlineStr">
        <is>
          <t>Anticipo Impuesto a las Ganancias</t>
        </is>
      </c>
      <c r="I399" s="9" t="n">
        <v>434.95</v>
      </c>
      <c r="J399" s="9" t="inlineStr"/>
      <c r="K399" s="8" t="inlineStr">
        <is>
          <t>Copiar en Flexxus: Tipo=MB-EXT | Movimiento=GRAVAMEN LEY 25.413 S/CRED | Monto=434,95 | Fecha: 28/04/2026</t>
        </is>
      </c>
    </row>
    <row r="400">
      <c r="A400" s="8" t="inlineStr">
        <is>
          <t>PEND-24C4EEE87122-A001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109282</t>
        </is>
      </c>
      <c r="F400" s="8" t="inlineStr">
        <is>
          <t>INGRESOS BRUTOS MENDOZA</t>
        </is>
      </c>
      <c r="G400" s="8" t="inlineStr">
        <is>
          <t>Retención Ingresos Brutos Mendoza</t>
        </is>
      </c>
      <c r="H400" s="8" t="inlineStr">
        <is>
          <t>Retención de Ingresos Brutos</t>
        </is>
      </c>
      <c r="I400" s="9" t="n">
        <v>287.19</v>
      </c>
      <c r="J400" s="9" t="inlineStr"/>
      <c r="K400" s="8" t="inlineStr">
        <is>
          <t>Copiar en Flexxus: Tipo=MB-EXT | Movimiento=INGRESOS BRUTOS MENDOZA | Monto=287,19 | Fecha: 28/04/2026</t>
        </is>
      </c>
    </row>
    <row r="401">
      <c r="A401" s="8" t="inlineStr">
        <is>
          <t>PEND-E742C87FCD35-A001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28/04/2026</t>
        </is>
      </c>
      <c r="E401" s="8" t="inlineStr">
        <is>
          <t>109282</t>
        </is>
      </c>
      <c r="F401" s="8" t="inlineStr">
        <is>
          <t>GRAVAMEN LEY 25413 S/CRED</t>
        </is>
      </c>
      <c r="G401" s="8" t="inlineStr">
        <is>
          <t>Anticipo Ganancias Ley 25.413 créditos</t>
        </is>
      </c>
      <c r="H401" s="8" t="inlineStr">
        <is>
          <t>Anticipo Impuesto a las Ganancias</t>
        </is>
      </c>
      <c r="I401" s="9" t="n">
        <v>172.32</v>
      </c>
      <c r="J401" s="9" t="inlineStr"/>
      <c r="K401" s="8" t="inlineStr">
        <is>
          <t>Copiar en Flexxus: Tipo=MB-EXT | Movimiento=GRAVAMEN LEY 25.413 S/CRED | Monto=172,32 | Fecha: 28/04/2026</t>
        </is>
      </c>
    </row>
    <row r="402">
      <c r="A402" s="8" t="inlineStr">
        <is>
          <t>PEND-C2A5237B04C5-A001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28/04/2026</t>
        </is>
      </c>
      <c r="E402" s="8" t="inlineStr">
        <is>
          <t>109281</t>
        </is>
      </c>
      <c r="F402" s="8" t="inlineStr">
        <is>
          <t>INGRESOS BRUTOS MENDOZA</t>
        </is>
      </c>
      <c r="G402" s="8" t="inlineStr">
        <is>
          <t>Retención Ingresos Brutos Mendoza</t>
        </is>
      </c>
      <c r="H402" s="8" t="inlineStr">
        <is>
          <t>Retención de Ingresos Brutos</t>
        </is>
      </c>
      <c r="I402" s="9" t="n">
        <v>406.03</v>
      </c>
      <c r="J402" s="9" t="inlineStr"/>
      <c r="K402" s="8" t="inlineStr">
        <is>
          <t>Copiar en Flexxus: Tipo=MB-EXT | Movimiento=INGRESOS BRUTOS MENDOZA | Monto=406,03 | Fecha: 28/04/2026</t>
        </is>
      </c>
    </row>
    <row r="403">
      <c r="A403" s="8" t="inlineStr">
        <is>
          <t>PEND-A92487D06EC2-A001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28/04/2026</t>
        </is>
      </c>
      <c r="E403" s="8" t="inlineStr">
        <is>
          <t>109280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406.03</v>
      </c>
      <c r="J403" s="9" t="inlineStr"/>
      <c r="K403" s="8" t="inlineStr">
        <is>
          <t>Copiar en Flexxus: Tipo=MB-EXT | Movimiento=INGRESOS BRUTOS MENDOZA | Monto=406,03 | Fecha: 28/04/2026</t>
        </is>
      </c>
    </row>
    <row r="404">
      <c r="A404" s="8" t="inlineStr">
        <is>
          <t>PEND-931D4313E6D7-A001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28/04/2026</t>
        </is>
      </c>
      <c r="E404" s="8" t="inlineStr">
        <is>
          <t>109280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243.62</v>
      </c>
      <c r="J404" s="9" t="inlineStr"/>
      <c r="K404" s="8" t="inlineStr">
        <is>
          <t>Copiar en Flexxus: Tipo=MB-EXT | Movimiento=GRAVAMEN LEY 25.413 S/CRED | Monto=243,62 | Fecha: 28/04/2026</t>
        </is>
      </c>
    </row>
    <row r="405">
      <c r="A405" s="8" t="inlineStr">
        <is>
          <t>PEND-339B0D8280BB-A001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28/04/2026</t>
        </is>
      </c>
      <c r="E405" s="8" t="inlineStr">
        <is>
          <t>32032899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20450.23</v>
      </c>
      <c r="J405" s="9" t="inlineStr"/>
      <c r="K405" s="8" t="inlineStr">
        <is>
          <t>Copiar en Flexxus: Tipo=MB-EXT | Movimiento=INGRESOS BRUTOS MENDOZA | Monto=20.450,23 | Fecha: 28/04/2026</t>
        </is>
      </c>
    </row>
    <row r="406">
      <c r="A406" s="8" t="inlineStr">
        <is>
          <t>PEND-84885B350148-A001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28/04/2026</t>
        </is>
      </c>
      <c r="E406" s="8" t="inlineStr">
        <is>
          <t>32032899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12270.14</v>
      </c>
      <c r="J406" s="9" t="inlineStr"/>
      <c r="K406" s="8" t="inlineStr">
        <is>
          <t>Copiar en Flexxus: Tipo=MB-EXT | Movimiento=GRAVAMEN LEY 25.413 S/CRED | Monto=12.270,14 | Fecha: 28/04/2026</t>
        </is>
      </c>
    </row>
    <row r="407">
      <c r="A407" s="8" t="inlineStr">
        <is>
          <t>PEND-ACBD0330B1BB-A001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28/04/2026</t>
        </is>
      </c>
      <c r="E407" s="8" t="inlineStr">
        <is>
          <t>31995644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8373.370000000001</v>
      </c>
      <c r="J407" s="9" t="inlineStr"/>
      <c r="K407" s="8" t="inlineStr">
        <is>
          <t>Copiar en Flexxus: Tipo=MB-EXT | Movimiento=INGRESOS BRUTOS MENDOZA | Monto=8.373,37 | Fecha: 28/04/2026</t>
        </is>
      </c>
    </row>
    <row r="408">
      <c r="A408" s="8" t="inlineStr">
        <is>
          <t>PEND-F2C09E3A806D-A001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28/04/2026</t>
        </is>
      </c>
      <c r="E408" s="8" t="inlineStr">
        <is>
          <t>31995644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5024.02</v>
      </c>
      <c r="J408" s="9" t="inlineStr"/>
      <c r="K408" s="8" t="inlineStr">
        <is>
          <t>Copiar en Flexxus: Tipo=MB-EXT | Movimiento=GRAVAMEN LEY 25.413 S/CRED | Monto=5.024,02 | Fecha: 28/04/2026</t>
        </is>
      </c>
    </row>
    <row r="409">
      <c r="A409" s="8" t="inlineStr">
        <is>
          <t>PEND-8F81BEEED280-A001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28/04/2026</t>
        </is>
      </c>
      <c r="E409" s="8" t="inlineStr">
        <is>
          <t>29841705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5174.04</v>
      </c>
      <c r="J409" s="9" t="inlineStr"/>
      <c r="K409" s="8" t="inlineStr">
        <is>
          <t>Copiar en Flexxus: Tipo=MB-EXT | Movimiento=INGRESOS BRUTOS MENDOZA | Monto=5.174,04 | Fecha: 28/04/2026</t>
        </is>
      </c>
    </row>
    <row r="410">
      <c r="A410" s="8" t="inlineStr">
        <is>
          <t>PEND-F3237320915F-A001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28/04/2026</t>
        </is>
      </c>
      <c r="E410" s="8" t="inlineStr">
        <is>
          <t>29841705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3104.42</v>
      </c>
      <c r="J410" s="9" t="inlineStr"/>
      <c r="K410" s="8" t="inlineStr">
        <is>
          <t>Copiar en Flexxus: Tipo=MB-EXT | Movimiento=GRAVAMEN LEY 25.413 S/CRED | Monto=3.104,42 | Fecha: 28/04/2026</t>
        </is>
      </c>
    </row>
    <row r="411">
      <c r="A411" s="8" t="inlineStr">
        <is>
          <t>PEND-843FB60D42C8-A001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28/04/2026</t>
        </is>
      </c>
      <c r="E411" s="8" t="inlineStr">
        <is>
          <t>29841683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2746.52</v>
      </c>
      <c r="J411" s="9" t="inlineStr"/>
      <c r="K411" s="8" t="inlineStr">
        <is>
          <t>Copiar en Flexxus: Tipo=MB-EXT | Movimiento=INGRESOS BRUTOS MENDOZA | Monto=2.746,52 | Fecha: 28/04/2026</t>
        </is>
      </c>
    </row>
    <row r="412">
      <c r="A412" s="8" t="inlineStr">
        <is>
          <t>PEND-C5F08F083BA9-A001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28/04/2026</t>
        </is>
      </c>
      <c r="E412" s="8" t="inlineStr">
        <is>
          <t>29841683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1647.91</v>
      </c>
      <c r="J412" s="9" t="inlineStr"/>
      <c r="K412" s="8" t="inlineStr">
        <is>
          <t>Copiar en Flexxus: Tipo=MB-EXT | Movimiento=GRAVAMEN LEY 25.413 S/CRED | Monto=1.647,91 | Fecha: 28/04/2026</t>
        </is>
      </c>
    </row>
    <row r="413">
      <c r="A413" s="8" t="inlineStr">
        <is>
          <t>PEND-98DB2888DA02-A001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28/04/2026</t>
        </is>
      </c>
      <c r="E413" s="8" t="inlineStr">
        <is>
          <t>29841670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5946.34</v>
      </c>
      <c r="J413" s="9" t="inlineStr"/>
      <c r="K413" s="8" t="inlineStr">
        <is>
          <t>Copiar en Flexxus: Tipo=MB-EXT | Movimiento=INGRESOS BRUTOS MENDOZA | Monto=5.946,34 | Fecha: 28/04/2026</t>
        </is>
      </c>
    </row>
    <row r="414">
      <c r="A414" s="8" t="inlineStr">
        <is>
          <t>PEND-9E365D901A3C-A001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29841670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3567.8</v>
      </c>
      <c r="J414" s="9" t="inlineStr"/>
      <c r="K414" s="8" t="inlineStr">
        <is>
          <t>Copiar en Flexxus: Tipo=MB-EXT | Movimiento=GRAVAMEN LEY 25.413 S/CRED | Monto=3.567,80 | Fecha: 28/04/2026</t>
        </is>
      </c>
    </row>
    <row r="415">
      <c r="A415" s="8" t="inlineStr">
        <is>
          <t>PEND-BCAE72D21FEB-A001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28/04/2026</t>
        </is>
      </c>
      <c r="E415" s="8" t="inlineStr">
        <is>
          <t>29841642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4756.38</v>
      </c>
      <c r="J415" s="9" t="inlineStr"/>
      <c r="K415" s="8" t="inlineStr">
        <is>
          <t>Copiar en Flexxus: Tipo=MB-EXT | Movimiento=INGRESOS BRUTOS MENDOZA | Monto=4.756,38 | Fecha: 28/04/2026</t>
        </is>
      </c>
    </row>
    <row r="416">
      <c r="A416" s="8" t="inlineStr">
        <is>
          <t>PEND-17BCBDBE7794-A001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28/04/2026</t>
        </is>
      </c>
      <c r="E416" s="8" t="inlineStr">
        <is>
          <t>29841642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2853.83</v>
      </c>
      <c r="J416" s="9" t="inlineStr"/>
      <c r="K416" s="8" t="inlineStr">
        <is>
          <t>Copiar en Flexxus: Tipo=MB-EXT | Movimiento=GRAVAMEN LEY 25.413 S/CRED | Monto=2.853,83 | Fecha: 28/04/2026</t>
        </is>
      </c>
    </row>
    <row r="417">
      <c r="A417" s="8" t="inlineStr">
        <is>
          <t>PEND-736200E03476-A001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28/04/2026</t>
        </is>
      </c>
      <c r="E417" s="8" t="inlineStr">
        <is>
          <t>29841627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1502.6</v>
      </c>
      <c r="J417" s="9" t="inlineStr"/>
      <c r="K417" s="8" t="inlineStr">
        <is>
          <t>Copiar en Flexxus: Tipo=MB-EXT | Movimiento=INGRESOS BRUTOS MENDOZA | Monto=1.502,60 | Fecha: 28/04/2026</t>
        </is>
      </c>
    </row>
    <row r="418">
      <c r="A418" s="8" t="inlineStr">
        <is>
          <t>PEND-0D5A5632040C-A001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28/04/2026</t>
        </is>
      </c>
      <c r="E418" s="8" t="inlineStr">
        <is>
          <t>29841627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901.5599999999999</v>
      </c>
      <c r="J418" s="9" t="inlineStr"/>
      <c r="K418" s="8" t="inlineStr">
        <is>
          <t>Copiar en Flexxus: Tipo=MB-EXT | Movimiento=GRAVAMEN LEY 25.413 S/CRED | Monto=901,56 | Fecha: 28/04/2026</t>
        </is>
      </c>
    </row>
    <row r="419">
      <c r="A419" s="8" t="inlineStr">
        <is>
          <t>PEND-21ACE675051D-A001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28/04/2026</t>
        </is>
      </c>
      <c r="E419" s="8" t="inlineStr">
        <is>
          <t>32032899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1132.13</v>
      </c>
      <c r="J419" s="9" t="inlineStr"/>
      <c r="K419" s="8" t="inlineStr">
        <is>
          <t>Copiar en Flexxus: Tipo=MB-EXT | Movimiento=INGRESOS BRUTOS MENDOZA | Monto=1.132,13 | Fecha: 28/04/2026</t>
        </is>
      </c>
    </row>
    <row r="420">
      <c r="A420" s="8" t="inlineStr">
        <is>
          <t>PEND-5C7E5EE8A5A2-A001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28/04/2026</t>
        </is>
      </c>
      <c r="E420" s="8" t="inlineStr">
        <is>
          <t>32032899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679.28</v>
      </c>
      <c r="J420" s="9" t="inlineStr"/>
      <c r="K420" s="8" t="inlineStr">
        <is>
          <t>Copiar en Flexxus: Tipo=MB-EXT | Movimiento=GRAVAMEN LEY 25.413 S/CRED | Monto=679,28 | Fecha: 28/04/2026</t>
        </is>
      </c>
    </row>
    <row r="421">
      <c r="A421" s="8" t="inlineStr">
        <is>
          <t>PEND-49D61569D761-A001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31995644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4311.86</v>
      </c>
      <c r="J421" s="9" t="inlineStr"/>
      <c r="K421" s="8" t="inlineStr">
        <is>
          <t>Copiar en Flexxus: Tipo=MB-EXT | Movimiento=INGRESOS BRUTOS MENDOZA | Monto=4.311,86 | Fecha: 28/04/2026</t>
        </is>
      </c>
    </row>
    <row r="422">
      <c r="A422" s="8" t="inlineStr">
        <is>
          <t>PEND-4DB9DF369A7B-A001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28/04/2026</t>
        </is>
      </c>
      <c r="E422" s="8" t="inlineStr">
        <is>
          <t>31995644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2587.12</v>
      </c>
      <c r="J422" s="9" t="inlineStr"/>
      <c r="K422" s="8" t="inlineStr">
        <is>
          <t>Copiar en Flexxus: Tipo=MB-EXT | Movimiento=GRAVAMEN LEY 25.413 S/CRED | Monto=2.587,12 | Fecha: 28/04/2026</t>
        </is>
      </c>
    </row>
    <row r="423">
      <c r="A423" s="8" t="inlineStr">
        <is>
          <t>PEND-AEA9CE45E68B-A001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28/04/2026</t>
        </is>
      </c>
      <c r="E423" s="8" t="inlineStr">
        <is>
          <t>29841705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1374.17</v>
      </c>
      <c r="J423" s="9" t="inlineStr"/>
      <c r="K423" s="8" t="inlineStr">
        <is>
          <t>Copiar en Flexxus: Tipo=MB-EXT | Movimiento=INGRESOS BRUTOS MENDOZA | Monto=1.374,17 | Fecha: 28/04/2026</t>
        </is>
      </c>
    </row>
    <row r="424">
      <c r="A424" s="8" t="inlineStr">
        <is>
          <t>PEND-4BC32C6B58DF-A001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28/04/2026</t>
        </is>
      </c>
      <c r="E424" s="8" t="inlineStr">
        <is>
          <t>29841705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824.5</v>
      </c>
      <c r="J424" s="9" t="inlineStr"/>
      <c r="K424" s="8" t="inlineStr">
        <is>
          <t>Copiar en Flexxus: Tipo=MB-EXT | Movimiento=GRAVAMEN LEY 25.413 S/CRED | Monto=824,50 | Fecha: 28/04/2026</t>
        </is>
      </c>
    </row>
    <row r="425">
      <c r="A425" s="8" t="inlineStr">
        <is>
          <t>PEND-B6A0207431DA-A001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28/04/2026</t>
        </is>
      </c>
      <c r="E425" s="8" t="inlineStr">
        <is>
          <t>29841683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2782.07</v>
      </c>
      <c r="J425" s="9" t="inlineStr"/>
      <c r="K425" s="8" t="inlineStr">
        <is>
          <t>Copiar en Flexxus: Tipo=MB-EXT | Movimiento=INGRESOS BRUTOS MENDOZA | Monto=2.782,07 | Fecha: 28/04/2026</t>
        </is>
      </c>
    </row>
    <row r="426">
      <c r="A426" s="8" t="inlineStr">
        <is>
          <t>PEND-B4AFFC3931AD-A001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28/04/2026</t>
        </is>
      </c>
      <c r="E426" s="8" t="inlineStr">
        <is>
          <t>29841683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1669.24</v>
      </c>
      <c r="J426" s="9" t="inlineStr"/>
      <c r="K426" s="8" t="inlineStr">
        <is>
          <t>Copiar en Flexxus: Tipo=MB-EXT | Movimiento=GRAVAMEN LEY 25.413 S/CRED | Monto=1.669,24 | Fecha: 28/04/2026</t>
        </is>
      </c>
    </row>
    <row r="427">
      <c r="A427" s="8" t="inlineStr">
        <is>
          <t>PEND-9C2701DEEDF6-A001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28/04/2026</t>
        </is>
      </c>
      <c r="E427" s="8" t="inlineStr">
        <is>
          <t>29841670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1148.93</v>
      </c>
      <c r="J427" s="9" t="inlineStr"/>
      <c r="K427" s="8" t="inlineStr">
        <is>
          <t>Copiar en Flexxus: Tipo=MB-EXT | Movimiento=INGRESOS BRUTOS MENDOZA | Monto=1.148,93 | Fecha: 28/04/2026</t>
        </is>
      </c>
    </row>
    <row r="428">
      <c r="A428" s="8" t="inlineStr">
        <is>
          <t>PEND-FA8D9E7C8824-A001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29841670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689.36</v>
      </c>
      <c r="J428" s="9" t="inlineStr"/>
      <c r="K428" s="8" t="inlineStr">
        <is>
          <t>Copiar en Flexxus: Tipo=MB-EXT | Movimiento=GRAVAMEN LEY 25.413 S/CRED | Monto=689,36 | Fecha: 28/04/2026</t>
        </is>
      </c>
    </row>
    <row r="429">
      <c r="A429" s="8" t="inlineStr">
        <is>
          <t>PEND-C14D000D526E-A001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28/04/2026</t>
        </is>
      </c>
      <c r="E429" s="8" t="inlineStr">
        <is>
          <t>29841642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464.31</v>
      </c>
      <c r="J429" s="9" t="inlineStr"/>
      <c r="K429" s="8" t="inlineStr">
        <is>
          <t>Copiar en Flexxus: Tipo=MB-EXT | Movimiento=INGRESOS BRUTOS MENDOZA | Monto=464,31 | Fecha: 28/04/2026</t>
        </is>
      </c>
    </row>
    <row r="430">
      <c r="A430" s="8" t="inlineStr">
        <is>
          <t>PEND-83021597DDD6-A001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28/04/2026</t>
        </is>
      </c>
      <c r="E430" s="8" t="inlineStr">
        <is>
          <t>29841642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278.59</v>
      </c>
      <c r="J430" s="9" t="inlineStr"/>
      <c r="K430" s="8" t="inlineStr">
        <is>
          <t>Copiar en Flexxus: Tipo=MB-EXT | Movimiento=GRAVAMEN LEY 25.413 S/CRED | Monto=278,59 | Fecha: 28/04/2026</t>
        </is>
      </c>
    </row>
    <row r="431">
      <c r="A431" s="8" t="inlineStr">
        <is>
          <t>PEND-2784567EF90E-A001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28/04/2026</t>
        </is>
      </c>
      <c r="E431" s="8" t="inlineStr">
        <is>
          <t>29841627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761.5700000000001</v>
      </c>
      <c r="J431" s="9" t="inlineStr"/>
      <c r="K431" s="8" t="inlineStr">
        <is>
          <t>Copiar en Flexxus: Tipo=MB-EXT | Movimiento=INGRESOS BRUTOS MENDOZA | Monto=761,57 | Fecha: 28/04/2026</t>
        </is>
      </c>
    </row>
    <row r="432">
      <c r="A432" s="8" t="inlineStr">
        <is>
          <t>PEND-81A67D1D346F-A001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28/04/2026</t>
        </is>
      </c>
      <c r="E432" s="8" t="inlineStr">
        <is>
          <t>29841627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456.94</v>
      </c>
      <c r="J432" s="9" t="inlineStr"/>
      <c r="K432" s="8" t="inlineStr">
        <is>
          <t>Copiar en Flexxus: Tipo=MB-EXT | Movimiento=GRAVAMEN LEY 25.413 S/CRED | Monto=456,94 | Fecha: 28/04/2026</t>
        </is>
      </c>
    </row>
    <row r="433">
      <c r="A433" s="8" t="inlineStr">
        <is>
          <t>PEND-01CD144E2513-A001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28/04/2026</t>
        </is>
      </c>
      <c r="E433" s="8" t="inlineStr">
        <is>
          <t>32032899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320.86</v>
      </c>
      <c r="J433" s="9" t="inlineStr"/>
      <c r="K433" s="8" t="inlineStr">
        <is>
          <t>Copiar en Flexxus: Tipo=MB-EXT | Movimiento=INGRESOS BRUTOS MENDOZA | Monto=320,86 | Fecha: 28/04/2026</t>
        </is>
      </c>
    </row>
    <row r="434">
      <c r="A434" s="8" t="inlineStr">
        <is>
          <t>PEND-1CD1C8D6A55D-A001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28/04/2026</t>
        </is>
      </c>
      <c r="E434" s="8" t="inlineStr">
        <is>
          <t>32032899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192.51</v>
      </c>
      <c r="J434" s="9" t="inlineStr"/>
      <c r="K434" s="8" t="inlineStr">
        <is>
          <t>Copiar en Flexxus: Tipo=MB-EXT | Movimiento=GRAVAMEN LEY 25.413 S/CRED | Monto=192,51 | Fecha: 28/04/2026</t>
        </is>
      </c>
    </row>
    <row r="435">
      <c r="A435" s="8" t="inlineStr">
        <is>
          <t>PEND-EBDB9367DE22-A001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28/04/2026</t>
        </is>
      </c>
      <c r="E435" s="8" t="inlineStr">
        <is>
          <t>31995644</t>
        </is>
      </c>
      <c r="F435" s="8" t="inlineStr">
        <is>
          <t>INGRESOS BRUTOS MENDOZA</t>
        </is>
      </c>
      <c r="G435" s="8" t="inlineStr">
        <is>
          <t>Retención Ingresos Brutos Mendoza</t>
        </is>
      </c>
      <c r="H435" s="8" t="inlineStr">
        <is>
          <t>Retención de Ingresos Brutos</t>
        </is>
      </c>
      <c r="I435" s="9" t="n">
        <v>1356.04</v>
      </c>
      <c r="J435" s="9" t="inlineStr"/>
      <c r="K435" s="8" t="inlineStr">
        <is>
          <t>Copiar en Flexxus: Tipo=MB-EXT | Movimiento=INGRESOS BRUTOS MENDOZA | Monto=1.356,04 | Fecha: 28/04/2026</t>
        </is>
      </c>
    </row>
    <row r="436">
      <c r="A436" s="8" t="inlineStr">
        <is>
          <t>PEND-95D0FB26A205-A001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28/04/2026</t>
        </is>
      </c>
      <c r="E436" s="8" t="inlineStr">
        <is>
          <t>31995644</t>
        </is>
      </c>
      <c r="F436" s="8" t="inlineStr">
        <is>
          <t>GRAVAMEN LEY 25413 S/CRED</t>
        </is>
      </c>
      <c r="G436" s="8" t="inlineStr">
        <is>
          <t>Anticipo Ganancias Ley 25.413 créditos</t>
        </is>
      </c>
      <c r="H436" s="8" t="inlineStr">
        <is>
          <t>Anticipo Impuesto a las Ganancias</t>
        </is>
      </c>
      <c r="I436" s="9" t="n">
        <v>813.63</v>
      </c>
      <c r="J436" s="9" t="inlineStr"/>
      <c r="K436" s="8" t="inlineStr">
        <is>
          <t>Copiar en Flexxus: Tipo=MB-EXT | Movimiento=GRAVAMEN LEY 25.413 S/CRED | Monto=813,63 | Fecha: 28/04/2026</t>
        </is>
      </c>
    </row>
    <row r="437">
      <c r="A437" s="8" t="inlineStr">
        <is>
          <t>PEND-2244B0B45268-A001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28/04/2026</t>
        </is>
      </c>
      <c r="E437" s="8" t="inlineStr">
        <is>
          <t>29841705</t>
        </is>
      </c>
      <c r="F437" s="8" t="inlineStr">
        <is>
          <t>INGRESOS BRUTOS MENDOZA</t>
        </is>
      </c>
      <c r="G437" s="8" t="inlineStr">
        <is>
          <t>Retención Ingresos Brutos Mendoza</t>
        </is>
      </c>
      <c r="H437" s="8" t="inlineStr">
        <is>
          <t>Retención de Ingresos Brutos</t>
        </is>
      </c>
      <c r="I437" s="9" t="n">
        <v>29.35</v>
      </c>
      <c r="J437" s="9" t="inlineStr"/>
      <c r="K437" s="8" t="inlineStr">
        <is>
          <t>Copiar en Flexxus: Tipo=MB-EXT | Movimiento=INGRESOS BRUTOS MENDOZA | Monto=29,35 | Fecha: 28/04/2026</t>
        </is>
      </c>
    </row>
    <row r="438">
      <c r="A438" s="8" t="inlineStr">
        <is>
          <t>PEND-544309C08C5C-A001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29841705</t>
        </is>
      </c>
      <c r="F438" s="8" t="inlineStr">
        <is>
          <t>GRAVAMEN LEY 25413 S/CRED</t>
        </is>
      </c>
      <c r="G438" s="8" t="inlineStr">
        <is>
          <t>Anticipo Ganancias Ley 25.413 créditos</t>
        </is>
      </c>
      <c r="H438" s="8" t="inlineStr">
        <is>
          <t>Anticipo Impuesto a las Ganancias</t>
        </is>
      </c>
      <c r="I438" s="9" t="n">
        <v>17.61</v>
      </c>
      <c r="J438" s="9" t="inlineStr"/>
      <c r="K438" s="8" t="inlineStr">
        <is>
          <t>Copiar en Flexxus: Tipo=MB-EXT | Movimiento=GRAVAMEN LEY 25.413 S/CRED | Monto=17,61 | Fecha: 28/04/2026</t>
        </is>
      </c>
    </row>
    <row r="439">
      <c r="A439" s="8" t="inlineStr">
        <is>
          <t>PEND-BAB21876B6BC-A001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109261</t>
        </is>
      </c>
      <c r="F439" s="8" t="inlineStr">
        <is>
          <t>GRAVAMEN LEY 25413 S/CRED</t>
        </is>
      </c>
      <c r="G439" s="8" t="inlineStr">
        <is>
          <t>Anticipo Ganancias Ley 25.413 créditos</t>
        </is>
      </c>
      <c r="H439" s="8" t="inlineStr">
        <is>
          <t>Anticipo Impuesto a las Ganancias</t>
        </is>
      </c>
      <c r="I439" s="9" t="n">
        <v>286.99</v>
      </c>
      <c r="J439" s="9" t="inlineStr"/>
      <c r="K439" s="8" t="inlineStr">
        <is>
          <t>Copiar en Flexxus: Tipo=MB-EXT | Movimiento=GRAVAMEN LEY 25.413 S/CRED | Monto=286,99 | Fecha: 28/04/2026</t>
        </is>
      </c>
    </row>
    <row r="440">
      <c r="A440" s="8" t="inlineStr">
        <is>
          <t>PEND-D548F947A6B2-A001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28/04/2026</t>
        </is>
      </c>
      <c r="E440" s="8" t="inlineStr">
        <is>
          <t>32032899</t>
        </is>
      </c>
      <c r="F440" s="8" t="inlineStr">
        <is>
          <t>INGRESOS BRUTOS MENDOZA</t>
        </is>
      </c>
      <c r="G440" s="8" t="inlineStr">
        <is>
          <t>Retención Ingresos Brutos Mendoza</t>
        </is>
      </c>
      <c r="H440" s="8" t="inlineStr">
        <is>
          <t>Retención de Ingresos Brutos</t>
        </is>
      </c>
      <c r="I440" s="9" t="n">
        <v>728.28</v>
      </c>
      <c r="J440" s="9" t="inlineStr"/>
      <c r="K440" s="8" t="inlineStr">
        <is>
          <t>Copiar en Flexxus: Tipo=MB-EXT | Movimiento=INGRESOS BRUTOS MENDOZA | Monto=728,28 | Fecha: 28/04/2026</t>
        </is>
      </c>
    </row>
    <row r="441">
      <c r="A441" s="8" t="inlineStr">
        <is>
          <t>PEND-ABA16C4D608F-A001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28/04/2026</t>
        </is>
      </c>
      <c r="E441" s="8" t="inlineStr">
        <is>
          <t>32032899</t>
        </is>
      </c>
      <c r="F441" s="8" t="inlineStr">
        <is>
          <t>GRAVAMEN LEY 25413 S/CRED</t>
        </is>
      </c>
      <c r="G441" s="8" t="inlineStr">
        <is>
          <t>Anticipo Ganancias Ley 25.413 créditos</t>
        </is>
      </c>
      <c r="H441" s="8" t="inlineStr">
        <is>
          <t>Anticipo Impuesto a las Ganancias</t>
        </is>
      </c>
      <c r="I441" s="9" t="n">
        <v>436.97</v>
      </c>
      <c r="J441" s="9" t="inlineStr"/>
      <c r="K441" s="8" t="inlineStr">
        <is>
          <t>Copiar en Flexxus: Tipo=MB-EXT | Movimiento=GRAVAMEN LEY 25.413 S/CRED | Monto=436,97 | Fecha: 28/04/2026</t>
        </is>
      </c>
    </row>
    <row r="442">
      <c r="A442" s="8" t="inlineStr">
        <is>
          <t>PEND-1CC45A8543E1-A001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28/04/2026</t>
        </is>
      </c>
      <c r="E442" s="8" t="inlineStr">
        <is>
          <t>31995644</t>
        </is>
      </c>
      <c r="F442" s="8" t="inlineStr">
        <is>
          <t>INGRESOS BRUTOS MENDOZA</t>
        </is>
      </c>
      <c r="G442" s="8" t="inlineStr">
        <is>
          <t>Retención Ingresos Brutos Mendoza</t>
        </is>
      </c>
      <c r="H442" s="8" t="inlineStr">
        <is>
          <t>Retención de Ingresos Brutos</t>
        </is>
      </c>
      <c r="I442" s="9" t="n">
        <v>438.13</v>
      </c>
      <c r="J442" s="9" t="inlineStr"/>
      <c r="K442" s="8" t="inlineStr">
        <is>
          <t>Copiar en Flexxus: Tipo=MB-EXT | Movimiento=INGRESOS BRUTOS MENDOZA | Monto=438,13 | Fecha: 28/04/2026</t>
        </is>
      </c>
    </row>
    <row r="443">
      <c r="A443" s="8" t="inlineStr">
        <is>
          <t>PEND-E91180855B50-A001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28/04/2026</t>
        </is>
      </c>
      <c r="E443" s="8" t="inlineStr">
        <is>
          <t>31995644</t>
        </is>
      </c>
      <c r="F443" s="8" t="inlineStr">
        <is>
          <t>GRAVAMEN LEY 25413 S/CRED</t>
        </is>
      </c>
      <c r="G443" s="8" t="inlineStr">
        <is>
          <t>Anticipo Ganancias Ley 25.413 créditos</t>
        </is>
      </c>
      <c r="H443" s="8" t="inlineStr">
        <is>
          <t>Anticipo Impuesto a las Ganancias</t>
        </is>
      </c>
      <c r="I443" s="9" t="n">
        <v>262.88</v>
      </c>
      <c r="J443" s="9" t="inlineStr"/>
      <c r="K443" s="8" t="inlineStr">
        <is>
          <t>Copiar en Flexxus: Tipo=MB-EXT | Movimiento=GRAVAMEN LEY 25.413 S/CRED | Monto=262,88 | Fecha: 28/04/2026</t>
        </is>
      </c>
    </row>
    <row r="444">
      <c r="A444" s="8" t="inlineStr">
        <is>
          <t>PEND-A6F113B62393-A001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28/04/2026</t>
        </is>
      </c>
      <c r="E444" s="8" t="inlineStr">
        <is>
          <t>32032899</t>
        </is>
      </c>
      <c r="F444" s="8" t="inlineStr">
        <is>
          <t>INGRESOS BRUTOS MENDOZA</t>
        </is>
      </c>
      <c r="G444" s="8" t="inlineStr">
        <is>
          <t>Retención Ingresos Brutos Mendoza</t>
        </is>
      </c>
      <c r="H444" s="8" t="inlineStr">
        <is>
          <t>Retención de Ingresos Brutos</t>
        </is>
      </c>
      <c r="I444" s="9" t="n">
        <v>2739.75</v>
      </c>
      <c r="J444" s="9" t="inlineStr"/>
      <c r="K444" s="8" t="inlineStr">
        <is>
          <t>Copiar en Flexxus: Tipo=MB-EXT | Movimiento=INGRESOS BRUTOS MENDOZA | Monto=2.739,75 | Fecha: 28/04/2026</t>
        </is>
      </c>
    </row>
    <row r="445">
      <c r="A445" s="8" t="inlineStr">
        <is>
          <t>PEND-4AFF65A03702-A001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28/04/2026</t>
        </is>
      </c>
      <c r="E445" s="8" t="inlineStr">
        <is>
          <t>32032899</t>
        </is>
      </c>
      <c r="F445" s="8" t="inlineStr">
        <is>
          <t>GRAVAMEN LEY 25413 S/CRED</t>
        </is>
      </c>
      <c r="G445" s="8" t="inlineStr">
        <is>
          <t>Anticipo Ganancias Ley 25.413 créditos</t>
        </is>
      </c>
      <c r="H445" s="8" t="inlineStr">
        <is>
          <t>Anticipo Impuesto a las Ganancias</t>
        </is>
      </c>
      <c r="I445" s="9" t="n">
        <v>1643.85</v>
      </c>
      <c r="J445" s="9" t="inlineStr"/>
      <c r="K445" s="8" t="inlineStr">
        <is>
          <t>Copiar en Flexxus: Tipo=MB-EXT | Movimiento=GRAVAMEN LEY 25.413 S/CRED | Monto=1.643,85 | Fecha: 28/04/2026</t>
        </is>
      </c>
    </row>
    <row r="446">
      <c r="A446" s="8" t="inlineStr">
        <is>
          <t>PEND-D7C53E61FDCD-A001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28/04/2026</t>
        </is>
      </c>
      <c r="E446" s="8" t="inlineStr">
        <is>
          <t>32032899</t>
        </is>
      </c>
      <c r="F446" s="8" t="inlineStr">
        <is>
          <t>INGRESOS BRUTOS MENDOZA</t>
        </is>
      </c>
      <c r="G446" s="8" t="inlineStr">
        <is>
          <t>Retención Ingresos Brutos Mendoza</t>
        </is>
      </c>
      <c r="H446" s="8" t="inlineStr">
        <is>
          <t>Retención de Ingresos Brutos</t>
        </is>
      </c>
      <c r="I446" s="9" t="n">
        <v>1520.29</v>
      </c>
      <c r="J446" s="9" t="inlineStr"/>
      <c r="K446" s="8" t="inlineStr">
        <is>
          <t>Copiar en Flexxus: Tipo=MB-EXT | Movimiento=INGRESOS BRUTOS MENDOZA | Monto=1.520,29 | Fecha: 28/04/2026</t>
        </is>
      </c>
    </row>
    <row r="447">
      <c r="A447" s="8" t="inlineStr">
        <is>
          <t>PEND-91CCE88D9E98-A001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28/04/2026</t>
        </is>
      </c>
      <c r="E447" s="8" t="inlineStr">
        <is>
          <t>32032899</t>
        </is>
      </c>
      <c r="F447" s="8" t="inlineStr">
        <is>
          <t>GRAVAMEN LEY 25413 S/CRED</t>
        </is>
      </c>
      <c r="G447" s="8" t="inlineStr">
        <is>
          <t>Anticipo Ganancias Ley 25.413 créditos</t>
        </is>
      </c>
      <c r="H447" s="8" t="inlineStr">
        <is>
          <t>Anticipo Impuesto a las Ganancias</t>
        </is>
      </c>
      <c r="I447" s="9" t="n">
        <v>912.1799999999999</v>
      </c>
      <c r="J447" s="9" t="inlineStr"/>
      <c r="K447" s="8" t="inlineStr">
        <is>
          <t>Copiar en Flexxus: Tipo=MB-EXT | Movimiento=GRAVAMEN LEY 25.413 S/CRED | Monto=912,18 | Fecha: 28/04/2026</t>
        </is>
      </c>
    </row>
    <row r="448">
      <c r="A448" s="8" t="inlineStr">
        <is>
          <t>PEND-929AB27A0463-A001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28/04/2026</t>
        </is>
      </c>
      <c r="E448" s="8" t="inlineStr">
        <is>
          <t>31995644</t>
        </is>
      </c>
      <c r="F448" s="8" t="inlineStr">
        <is>
          <t>INGRESOS BRUTOS MENDOZA</t>
        </is>
      </c>
      <c r="G448" s="8" t="inlineStr">
        <is>
          <t>Retención Ingresos Brutos Mendoza</t>
        </is>
      </c>
      <c r="H448" s="8" t="inlineStr">
        <is>
          <t>Retención de Ingresos Brutos</t>
        </is>
      </c>
      <c r="I448" s="9" t="n">
        <v>10690.93</v>
      </c>
      <c r="J448" s="9" t="inlineStr"/>
      <c r="K448" s="8" t="inlineStr">
        <is>
          <t>Copiar en Flexxus: Tipo=MB-EXT | Movimiento=INGRESOS BRUTOS MENDOZA | Monto=10.690,93 | Fecha: 28/04/2026</t>
        </is>
      </c>
    </row>
    <row r="449">
      <c r="A449" s="8" t="inlineStr">
        <is>
          <t>PEND-B17E38FD3FDF-A001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28/04/2026</t>
        </is>
      </c>
      <c r="E449" s="8" t="inlineStr">
        <is>
          <t>31995644</t>
        </is>
      </c>
      <c r="F449" s="8" t="inlineStr">
        <is>
          <t>GRAVAMEN LEY 25413 S/CRED</t>
        </is>
      </c>
      <c r="G449" s="8" t="inlineStr">
        <is>
          <t>Anticipo Ganancias Ley 25.413 créditos</t>
        </is>
      </c>
      <c r="H449" s="8" t="inlineStr">
        <is>
          <t>Anticipo Impuesto a las Ganancias</t>
        </is>
      </c>
      <c r="I449" s="9" t="n">
        <v>6414.56</v>
      </c>
      <c r="J449" s="9" t="inlineStr"/>
      <c r="K449" s="8" t="inlineStr">
        <is>
          <t>Copiar en Flexxus: Tipo=MB-EXT | Movimiento=GRAVAMEN LEY 25.413 S/CRED | Monto=6.414,56 | Fecha: 28/04/2026</t>
        </is>
      </c>
    </row>
    <row r="450">
      <c r="A450" s="8" t="inlineStr">
        <is>
          <t>PEND-9053C60DB2B9-A001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28/04/2026</t>
        </is>
      </c>
      <c r="E450" s="8" t="inlineStr">
        <is>
          <t>31995644</t>
        </is>
      </c>
      <c r="F450" s="8" t="inlineStr">
        <is>
          <t>INGRESOS BRUTOS MENDOZA</t>
        </is>
      </c>
      <c r="G450" s="8" t="inlineStr">
        <is>
          <t>Retención Ingresos Brutos Mendoza</t>
        </is>
      </c>
      <c r="H450" s="8" t="inlineStr">
        <is>
          <t>Retención de Ingresos Brutos</t>
        </is>
      </c>
      <c r="I450" s="9" t="n">
        <v>5274.58</v>
      </c>
      <c r="J450" s="9" t="inlineStr"/>
      <c r="K450" s="8" t="inlineStr">
        <is>
          <t>Copiar en Flexxus: Tipo=MB-EXT | Movimiento=INGRESOS BRUTOS MENDOZA | Monto=5.274,58 | Fecha: 28/04/2026</t>
        </is>
      </c>
    </row>
    <row r="451">
      <c r="A451" s="8" t="inlineStr">
        <is>
          <t>PEND-F0E0F0888D6D-A001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28/04/2026</t>
        </is>
      </c>
      <c r="E451" s="8" t="inlineStr">
        <is>
          <t>31995644</t>
        </is>
      </c>
      <c r="F451" s="8" t="inlineStr">
        <is>
          <t>GRAVAMEN LEY 25413 S/CRED</t>
        </is>
      </c>
      <c r="G451" s="8" t="inlineStr">
        <is>
          <t>Anticipo Ganancias Ley 25.413 créditos</t>
        </is>
      </c>
      <c r="H451" s="8" t="inlineStr">
        <is>
          <t>Anticipo Impuesto a las Ganancias</t>
        </is>
      </c>
      <c r="I451" s="9" t="n">
        <v>3164.75</v>
      </c>
      <c r="J451" s="9" t="inlineStr"/>
      <c r="K451" s="8" t="inlineStr">
        <is>
          <t>Copiar en Flexxus: Tipo=MB-EXT | Movimiento=GRAVAMEN LEY 25.413 S/CRED | Monto=3.164,75 | Fecha: 28/04/2026</t>
        </is>
      </c>
    </row>
    <row r="452">
      <c r="A452" s="8" t="inlineStr">
        <is>
          <t>PEND-307F8BEFE8F1-A001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28/04/2026</t>
        </is>
      </c>
      <c r="E452" s="8" t="inlineStr">
        <is>
          <t>29841705</t>
        </is>
      </c>
      <c r="F452" s="8" t="inlineStr">
        <is>
          <t>INGRESOS BRUTOS MENDOZA</t>
        </is>
      </c>
      <c r="G452" s="8" t="inlineStr">
        <is>
          <t>Retención Ingresos Brutos Mendoza</t>
        </is>
      </c>
      <c r="H452" s="8" t="inlineStr">
        <is>
          <t>Retención de Ingresos Brutos</t>
        </is>
      </c>
      <c r="I452" s="9" t="n">
        <v>626.0599999999999</v>
      </c>
      <c r="J452" s="9" t="inlineStr"/>
      <c r="K452" s="8" t="inlineStr">
        <is>
          <t>Copiar en Flexxus: Tipo=MB-EXT | Movimiento=INGRESOS BRUTOS MENDOZA | Monto=626,06 | Fecha: 28/04/2026</t>
        </is>
      </c>
    </row>
    <row r="453">
      <c r="A453" s="8" t="inlineStr">
        <is>
          <t>PEND-D737B5E7C16B-A001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28/04/2026</t>
        </is>
      </c>
      <c r="E453" s="8" t="inlineStr">
        <is>
          <t>29841705</t>
        </is>
      </c>
      <c r="F453" s="8" t="inlineStr">
        <is>
          <t>GRAVAMEN LEY 25413 S/CRED</t>
        </is>
      </c>
      <c r="G453" s="8" t="inlineStr">
        <is>
          <t>Anticipo Ganancias Ley 25.413 créditos</t>
        </is>
      </c>
      <c r="H453" s="8" t="inlineStr">
        <is>
          <t>Anticipo Impuesto a las Ganancias</t>
        </is>
      </c>
      <c r="I453" s="9" t="n">
        <v>375.64</v>
      </c>
      <c r="J453" s="9" t="inlineStr"/>
      <c r="K453" s="8" t="inlineStr">
        <is>
          <t>Copiar en Flexxus: Tipo=MB-EXT | Movimiento=GRAVAMEN LEY 25.413 S/CRED | Monto=375,64 | Fecha: 28/04/2026</t>
        </is>
      </c>
    </row>
    <row r="454">
      <c r="A454" s="8" t="inlineStr">
        <is>
          <t>PEND-C70D4A0CBF24-A001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28/04/2026</t>
        </is>
      </c>
      <c r="E454" s="8" t="inlineStr">
        <is>
          <t>29841683</t>
        </is>
      </c>
      <c r="F454" s="8" t="inlineStr">
        <is>
          <t>INGRESOS BRUTOS MENDOZA</t>
        </is>
      </c>
      <c r="G454" s="8" t="inlineStr">
        <is>
          <t>Retención Ingresos Brutos Mendoza</t>
        </is>
      </c>
      <c r="H454" s="8" t="inlineStr">
        <is>
          <t>Retención de Ingresos Brutos</t>
        </is>
      </c>
      <c r="I454" s="9" t="n">
        <v>316.94</v>
      </c>
      <c r="J454" s="9" t="inlineStr"/>
      <c r="K454" s="8" t="inlineStr">
        <is>
          <t>Copiar en Flexxus: Tipo=MB-EXT | Movimiento=INGRESOS BRUTOS MENDOZA | Monto=316,94 | Fecha: 28/04/2026</t>
        </is>
      </c>
    </row>
    <row r="455">
      <c r="A455" s="8" t="inlineStr">
        <is>
          <t>PEND-5BF1894CEF4C-A001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28/04/2026</t>
        </is>
      </c>
      <c r="E455" s="8" t="inlineStr">
        <is>
          <t>29841683</t>
        </is>
      </c>
      <c r="F455" s="8" t="inlineStr">
        <is>
          <t>GRAVAMEN LEY 25413 S/CRED</t>
        </is>
      </c>
      <c r="G455" s="8" t="inlineStr">
        <is>
          <t>Anticipo Ganancias Ley 25.413 créditos</t>
        </is>
      </c>
      <c r="H455" s="8" t="inlineStr">
        <is>
          <t>Anticipo Impuesto a las Ganancias</t>
        </is>
      </c>
      <c r="I455" s="9" t="n">
        <v>190.17</v>
      </c>
      <c r="J455" s="9" t="inlineStr"/>
      <c r="K455" s="8" t="inlineStr">
        <is>
          <t>Copiar en Flexxus: Tipo=MB-EXT | Movimiento=GRAVAMEN LEY 25.413 S/CRED | Monto=190,17 | Fecha: 28/04/2026</t>
        </is>
      </c>
    </row>
    <row r="456">
      <c r="A456" s="8" t="inlineStr">
        <is>
          <t>PEND-90A202FE9B25-A001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28/04/2026</t>
        </is>
      </c>
      <c r="E456" s="8" t="inlineStr">
        <is>
          <t>29841670</t>
        </is>
      </c>
      <c r="F456" s="8" t="inlineStr">
        <is>
          <t>INGRESOS BRUTOS MENDOZA</t>
        </is>
      </c>
      <c r="G456" s="8" t="inlineStr">
        <is>
          <t>Retención Ingresos Brutos Mendoza</t>
        </is>
      </c>
      <c r="H456" s="8" t="inlineStr">
        <is>
          <t>Retención de Ingresos Brutos</t>
        </is>
      </c>
      <c r="I456" s="9" t="n">
        <v>271.95</v>
      </c>
      <c r="J456" s="9" t="inlineStr"/>
      <c r="K456" s="8" t="inlineStr">
        <is>
          <t>Copiar en Flexxus: Tipo=MB-EXT | Movimiento=INGRESOS BRUTOS MENDOZA | Monto=271,95 | Fecha: 28/04/2026</t>
        </is>
      </c>
    </row>
    <row r="457">
      <c r="A457" s="8" t="inlineStr">
        <is>
          <t>PEND-62B005CBBCFE-A001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28/04/2026</t>
        </is>
      </c>
      <c r="E457" s="8" t="inlineStr">
        <is>
          <t>29841670</t>
        </is>
      </c>
      <c r="F457" s="8" t="inlineStr">
        <is>
          <t>GRAVAMEN LEY 25413 S/CRED</t>
        </is>
      </c>
      <c r="G457" s="8" t="inlineStr">
        <is>
          <t>Anticipo Ganancias Ley 25.413 créditos</t>
        </is>
      </c>
      <c r="H457" s="8" t="inlineStr">
        <is>
          <t>Anticipo Impuesto a las Ganancias</t>
        </is>
      </c>
      <c r="I457" s="9" t="n">
        <v>163.17</v>
      </c>
      <c r="J457" s="9" t="inlineStr"/>
      <c r="K457" s="8" t="inlineStr">
        <is>
          <t>Copiar en Flexxus: Tipo=MB-EXT | Movimiento=GRAVAMEN LEY 25.413 S/CRED | Monto=163,17 | Fecha: 28/04/2026</t>
        </is>
      </c>
    </row>
    <row r="458">
      <c r="A458" s="8" t="inlineStr">
        <is>
          <t>PEND-F3769ED66A38-A001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28/04/2026</t>
        </is>
      </c>
      <c r="E458" s="8" t="inlineStr">
        <is>
          <t>29841642</t>
        </is>
      </c>
      <c r="F458" s="8" t="inlineStr">
        <is>
          <t>INGRESOS BRUTOS MENDOZA</t>
        </is>
      </c>
      <c r="G458" s="8" t="inlineStr">
        <is>
          <t>Retención Ingresos Brutos Mendoza</t>
        </is>
      </c>
      <c r="H458" s="8" t="inlineStr">
        <is>
          <t>Retención de Ingresos Brutos</t>
        </is>
      </c>
      <c r="I458" s="9" t="n">
        <v>871.59</v>
      </c>
      <c r="J458" s="9" t="inlineStr"/>
      <c r="K458" s="8" t="inlineStr">
        <is>
          <t>Copiar en Flexxus: Tipo=MB-EXT | Movimiento=INGRESOS BRUTOS MENDOZA | Monto=871,59 | Fecha: 28/04/2026</t>
        </is>
      </c>
    </row>
    <row r="459">
      <c r="A459" s="8" t="inlineStr">
        <is>
          <t>PEND-897B2E6260D9-A001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28/04/2026</t>
        </is>
      </c>
      <c r="E459" s="8" t="inlineStr">
        <is>
          <t>29841642</t>
        </is>
      </c>
      <c r="F459" s="8" t="inlineStr">
        <is>
          <t>GRAVAMEN LEY 25413 S/CRED</t>
        </is>
      </c>
      <c r="G459" s="8" t="inlineStr">
        <is>
          <t>Anticipo Ganancias Ley 25.413 créditos</t>
        </is>
      </c>
      <c r="H459" s="8" t="inlineStr">
        <is>
          <t>Anticipo Impuesto a las Ganancias</t>
        </is>
      </c>
      <c r="I459" s="9" t="n">
        <v>522.96</v>
      </c>
      <c r="J459" s="9" t="inlineStr"/>
      <c r="K459" s="8" t="inlineStr">
        <is>
          <t>Copiar en Flexxus: Tipo=MB-EXT | Movimiento=GRAVAMEN LEY 25.413 S/CRED | Monto=522,96 | Fecha: 28/04/2026</t>
        </is>
      </c>
    </row>
    <row r="460">
      <c r="A460" s="8" t="inlineStr">
        <is>
          <t>PEND-3E11D9C7B7E8-A001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28/04/2026</t>
        </is>
      </c>
      <c r="E460" s="8" t="inlineStr">
        <is>
          <t>29841627</t>
        </is>
      </c>
      <c r="F460" s="8" t="inlineStr">
        <is>
          <t>INGRESOS BRUTOS MENDOZA</t>
        </is>
      </c>
      <c r="G460" s="8" t="inlineStr">
        <is>
          <t>Retención Ingresos Brutos Mendoza</t>
        </is>
      </c>
      <c r="H460" s="8" t="inlineStr">
        <is>
          <t>Retención de Ingresos Brutos</t>
        </is>
      </c>
      <c r="I460" s="9" t="n">
        <v>528.24</v>
      </c>
      <c r="J460" s="9" t="inlineStr"/>
      <c r="K460" s="8" t="inlineStr">
        <is>
          <t>Copiar en Flexxus: Tipo=MB-EXT | Movimiento=INGRESOS BRUTOS MENDOZA | Monto=528,24 | Fecha: 28/04/2026</t>
        </is>
      </c>
    </row>
    <row r="461">
      <c r="A461" s="8" t="inlineStr">
        <is>
          <t>PEND-512926C3F8E2-A001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28/04/2026</t>
        </is>
      </c>
      <c r="E461" s="8" t="inlineStr">
        <is>
          <t>29841627</t>
        </is>
      </c>
      <c r="F461" s="8" t="inlineStr">
        <is>
          <t>GRAVAMEN LEY 25413 S/CRED</t>
        </is>
      </c>
      <c r="G461" s="8" t="inlineStr">
        <is>
          <t>Anticipo Ganancias Ley 25.413 créditos</t>
        </is>
      </c>
      <c r="H461" s="8" t="inlineStr">
        <is>
          <t>Anticipo Impuesto a las Ganancias</t>
        </is>
      </c>
      <c r="I461" s="9" t="n">
        <v>316.94</v>
      </c>
      <c r="J461" s="9" t="inlineStr"/>
      <c r="K461" s="8" t="inlineStr">
        <is>
          <t>Copiar en Flexxus: Tipo=MB-EXT | Movimiento=GRAVAMEN LEY 25.413 S/CRED | Monto=316,94 | Fecha: 28/04/2026</t>
        </is>
      </c>
    </row>
    <row r="462">
      <c r="A462" s="8" t="inlineStr">
        <is>
          <t>PEND-C1EA4D30AF29-A001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28/04/2026</t>
        </is>
      </c>
      <c r="E462" s="8" t="inlineStr">
        <is>
          <t>32032899</t>
        </is>
      </c>
      <c r="F462" s="8" t="inlineStr">
        <is>
          <t>INGRESOS BRUTOS MENDOZA</t>
        </is>
      </c>
      <c r="G462" s="8" t="inlineStr">
        <is>
          <t>Retención Ingresos Brutos Mendoza</t>
        </is>
      </c>
      <c r="H462" s="8" t="inlineStr">
        <is>
          <t>Retención de Ingresos Brutos</t>
        </is>
      </c>
      <c r="I462" s="9" t="n">
        <v>593.78</v>
      </c>
      <c r="J462" s="9" t="inlineStr"/>
      <c r="K462" s="8" t="inlineStr">
        <is>
          <t>Copiar en Flexxus: Tipo=MB-EXT | Movimiento=INGRESOS BRUTOS MENDOZA | Monto=593,78 | Fecha: 28/04/2026</t>
        </is>
      </c>
    </row>
    <row r="463">
      <c r="A463" s="8" t="inlineStr">
        <is>
          <t>PEND-487F6E9F3374-A001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28/04/2026</t>
        </is>
      </c>
      <c r="E463" s="8" t="inlineStr">
        <is>
          <t>32032899</t>
        </is>
      </c>
      <c r="F463" s="8" t="inlineStr">
        <is>
          <t>GRAVAMEN LEY 25413 S/CRED</t>
        </is>
      </c>
      <c r="G463" s="8" t="inlineStr">
        <is>
          <t>Anticipo Ganancias Ley 25.413 créditos</t>
        </is>
      </c>
      <c r="H463" s="8" t="inlineStr">
        <is>
          <t>Anticipo Impuesto a las Ganancias</t>
        </is>
      </c>
      <c r="I463" s="9" t="n">
        <v>356.27</v>
      </c>
      <c r="J463" s="9" t="inlineStr"/>
      <c r="K463" s="8" t="inlineStr">
        <is>
          <t>Copiar en Flexxus: Tipo=MB-EXT | Movimiento=GRAVAMEN LEY 25.413 S/CRED | Monto=356,27 | Fecha: 28/04/2026</t>
        </is>
      </c>
    </row>
    <row r="464">
      <c r="A464" s="8" t="inlineStr">
        <is>
          <t>PEND-9518F04EA911-A001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28/04/2026</t>
        </is>
      </c>
      <c r="E464" s="8" t="inlineStr">
        <is>
          <t>31995644</t>
        </is>
      </c>
      <c r="F464" s="8" t="inlineStr">
        <is>
          <t>INGRESOS BRUTOS MENDOZA</t>
        </is>
      </c>
      <c r="G464" s="8" t="inlineStr">
        <is>
          <t>Retención Ingresos Brutos Mendoza</t>
        </is>
      </c>
      <c r="H464" s="8" t="inlineStr">
        <is>
          <t>Retención de Ingresos Brutos</t>
        </is>
      </c>
      <c r="I464" s="9" t="n">
        <v>848.12</v>
      </c>
      <c r="J464" s="9" t="inlineStr"/>
      <c r="K464" s="8" t="inlineStr">
        <is>
          <t>Copiar en Flexxus: Tipo=MB-EXT | Movimiento=INGRESOS BRUTOS MENDOZA | Monto=848,12 | Fecha: 28/04/2026</t>
        </is>
      </c>
    </row>
    <row r="465">
      <c r="A465" s="8" t="inlineStr">
        <is>
          <t>PEND-373494BB201A-A001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31995644</t>
        </is>
      </c>
      <c r="F465" s="8" t="inlineStr">
        <is>
          <t>GRAVAMEN LEY 25413 S/CRED</t>
        </is>
      </c>
      <c r="G465" s="8" t="inlineStr">
        <is>
          <t>Anticipo Ganancias Ley 25.413 créditos</t>
        </is>
      </c>
      <c r="H465" s="8" t="inlineStr">
        <is>
          <t>Anticipo Impuesto a las Ganancias</t>
        </is>
      </c>
      <c r="I465" s="9" t="n">
        <v>508.87</v>
      </c>
      <c r="J465" s="9" t="inlineStr"/>
      <c r="K465" s="8" t="inlineStr">
        <is>
          <t>Copiar en Flexxus: Tipo=MB-EXT | Movimiento=GRAVAMEN LEY 25.413 S/CRED | Monto=508,87 | Fecha: 28/04/2026</t>
        </is>
      </c>
    </row>
    <row r="466">
      <c r="A466" s="8" t="inlineStr">
        <is>
          <t>PEND-E46F11A69775-A001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28/04/2026</t>
        </is>
      </c>
      <c r="E466" s="8" t="inlineStr">
        <is>
          <t>31995644</t>
        </is>
      </c>
      <c r="F466" s="8" t="inlineStr">
        <is>
          <t>INGRESOS BRUTOS MENDOZA</t>
        </is>
      </c>
      <c r="G466" s="8" t="inlineStr">
        <is>
          <t>Retención Ingresos Brutos Mendoza</t>
        </is>
      </c>
      <c r="H466" s="8" t="inlineStr">
        <is>
          <t>Retención de Ingresos Brutos</t>
        </is>
      </c>
      <c r="I466" s="9" t="n">
        <v>850.0700000000001</v>
      </c>
      <c r="J466" s="9" t="inlineStr"/>
      <c r="K466" s="8" t="inlineStr">
        <is>
          <t>Copiar en Flexxus: Tipo=MB-EXT | Movimiento=INGRESOS BRUTOS MENDOZA | Monto=850,07 | Fecha: 28/04/2026</t>
        </is>
      </c>
    </row>
    <row r="467">
      <c r="A467" s="8" t="inlineStr">
        <is>
          <t>PEND-7AA9CDA57522-A001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28/04/2026</t>
        </is>
      </c>
      <c r="E467" s="8" t="inlineStr">
        <is>
          <t>31995644</t>
        </is>
      </c>
      <c r="F467" s="8" t="inlineStr">
        <is>
          <t>GRAVAMEN LEY 25413 S/CRED</t>
        </is>
      </c>
      <c r="G467" s="8" t="inlineStr">
        <is>
          <t>Anticipo Ganancias Ley 25.413 créditos</t>
        </is>
      </c>
      <c r="H467" s="8" t="inlineStr">
        <is>
          <t>Anticipo Impuesto a las Ganancias</t>
        </is>
      </c>
      <c r="I467" s="9" t="n">
        <v>510.04</v>
      </c>
      <c r="J467" s="9" t="inlineStr"/>
      <c r="K467" s="8" t="inlineStr">
        <is>
          <t>Copiar en Flexxus: Tipo=MB-EXT | Movimiento=GRAVAMEN LEY 25.413 S/CRED | Monto=510,04 | Fecha: 28/04/2026</t>
        </is>
      </c>
    </row>
    <row r="468">
      <c r="A468" s="8" t="inlineStr">
        <is>
          <t>PEND-252F0FEAA98B-A001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28/04/2026</t>
        </is>
      </c>
      <c r="E468" s="8" t="inlineStr">
        <is>
          <t>29841705</t>
        </is>
      </c>
      <c r="F468" s="8" t="inlineStr">
        <is>
          <t>INGRESOS BRUTOS MENDOZA</t>
        </is>
      </c>
      <c r="G468" s="8" t="inlineStr">
        <is>
          <t>Retención Ingresos Brutos Mendoza</t>
        </is>
      </c>
      <c r="H468" s="8" t="inlineStr">
        <is>
          <t>Retención de Ingresos Brutos</t>
        </is>
      </c>
      <c r="I468" s="9" t="n">
        <v>352.16</v>
      </c>
      <c r="J468" s="9" t="inlineStr"/>
      <c r="K468" s="8" t="inlineStr">
        <is>
          <t>Copiar en Flexxus: Tipo=MB-EXT | Movimiento=INGRESOS BRUTOS MENDOZA | Monto=352,16 | Fecha: 28/04/2026</t>
        </is>
      </c>
    </row>
    <row r="469">
      <c r="A469" s="8" t="inlineStr">
        <is>
          <t>PEND-F45C5DE3BF71-A001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28/04/2026</t>
        </is>
      </c>
      <c r="E469" s="8" t="inlineStr">
        <is>
          <t>29841705</t>
        </is>
      </c>
      <c r="F469" s="8" t="inlineStr">
        <is>
          <t>GRAVAMEN LEY 25413 S/CRED</t>
        </is>
      </c>
      <c r="G469" s="8" t="inlineStr">
        <is>
          <t>Anticipo Ganancias Ley 25.413 créditos</t>
        </is>
      </c>
      <c r="H469" s="8" t="inlineStr">
        <is>
          <t>Anticipo Impuesto a las Ganancias</t>
        </is>
      </c>
      <c r="I469" s="9" t="n">
        <v>211.3</v>
      </c>
      <c r="J469" s="9" t="inlineStr"/>
      <c r="K469" s="8" t="inlineStr">
        <is>
          <t>Copiar en Flexxus: Tipo=MB-EXT | Movimiento=GRAVAMEN LEY 25.413 S/CRED | Monto=211,30 | Fecha: 28/04/2026</t>
        </is>
      </c>
    </row>
    <row r="470">
      <c r="A470" s="8" t="inlineStr">
        <is>
          <t>PEND-EEC60BA067D5-A001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28/04/2026</t>
        </is>
      </c>
      <c r="E470" s="8" t="inlineStr">
        <is>
          <t>29841642</t>
        </is>
      </c>
      <c r="F470" s="8" t="inlineStr">
        <is>
          <t>INGRESOS BRUTOS MENDOZA</t>
        </is>
      </c>
      <c r="G470" s="8" t="inlineStr">
        <is>
          <t>Retención Ingresos Brutos Mendoza</t>
        </is>
      </c>
      <c r="H470" s="8" t="inlineStr">
        <is>
          <t>Retención de Ingresos Brutos</t>
        </is>
      </c>
      <c r="I470" s="9" t="n">
        <v>88.04000000000001</v>
      </c>
      <c r="J470" s="9" t="inlineStr"/>
      <c r="K470" s="8" t="inlineStr">
        <is>
          <t>Copiar en Flexxus: Tipo=MB-EXT | Movimiento=INGRESOS BRUTOS MENDOZA | Monto=88,04 | Fecha: 28/04/2026</t>
        </is>
      </c>
    </row>
    <row r="471">
      <c r="A471" s="8" t="inlineStr">
        <is>
          <t>PEND-492B58A13A7F-A001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28/04/2026</t>
        </is>
      </c>
      <c r="E471" s="8" t="inlineStr">
        <is>
          <t>29841642</t>
        </is>
      </c>
      <c r="F471" s="8" t="inlineStr">
        <is>
          <t>GRAVAMEN LEY 25413 S/CRED</t>
        </is>
      </c>
      <c r="G471" s="8" t="inlineStr">
        <is>
          <t>Anticipo Ganancias Ley 25.413 créditos</t>
        </is>
      </c>
      <c r="H471" s="8" t="inlineStr">
        <is>
          <t>Anticipo Impuesto a las Ganancias</t>
        </is>
      </c>
      <c r="I471" s="9" t="n">
        <v>52.82</v>
      </c>
      <c r="J471" s="9" t="inlineStr"/>
      <c r="K471" s="8" t="inlineStr">
        <is>
          <t>Copiar en Flexxus: Tipo=MB-EXT | Movimiento=GRAVAMEN LEY 25.413 S/CRED | Monto=52,82 | Fecha: 28/04/2026</t>
        </is>
      </c>
    </row>
    <row r="472">
      <c r="A472" s="8" t="inlineStr">
        <is>
          <t>PEND-C6576085D6C5-A001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28/04/2026</t>
        </is>
      </c>
      <c r="E472" s="8" t="inlineStr">
        <is>
          <t>109244</t>
        </is>
      </c>
      <c r="F472" s="8" t="inlineStr">
        <is>
          <t>INGRESOS BRUTOS MENDOZA</t>
        </is>
      </c>
      <c r="G472" s="8" t="inlineStr">
        <is>
          <t>Retención Ingresos Brutos Mendoza</t>
        </is>
      </c>
      <c r="H472" s="8" t="inlineStr">
        <is>
          <t>Retención de Ingresos Brutos</t>
        </is>
      </c>
      <c r="I472" s="9" t="n">
        <v>1013.1</v>
      </c>
      <c r="J472" s="9" t="inlineStr"/>
      <c r="K472" s="8" t="inlineStr">
        <is>
          <t>Copiar en Flexxus: Tipo=MB-EXT | Movimiento=INGRESOS BRUTOS MENDOZA | Monto=1.013,10 | Fecha: 28/04/2026</t>
        </is>
      </c>
    </row>
    <row r="473">
      <c r="A473" s="8" t="inlineStr">
        <is>
          <t>PEND-85A11B561229-A001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28/04/2026</t>
        </is>
      </c>
      <c r="E473" s="8" t="inlineStr">
        <is>
          <t>109244</t>
        </is>
      </c>
      <c r="F473" s="8" t="inlineStr">
        <is>
          <t>GRAVAMEN LEY 25413 S/CRED</t>
        </is>
      </c>
      <c r="G473" s="8" t="inlineStr">
        <is>
          <t>Anticipo Ganancias Ley 25.413 créditos</t>
        </is>
      </c>
      <c r="H473" s="8" t="inlineStr">
        <is>
          <t>Anticipo Impuesto a las Ganancias</t>
        </is>
      </c>
      <c r="I473" s="9" t="n">
        <v>607.86</v>
      </c>
      <c r="J473" s="9" t="inlineStr"/>
      <c r="K473" s="8" t="inlineStr">
        <is>
          <t>Copiar en Flexxus: Tipo=MB-EXT | Movimiento=GRAVAMEN LEY 25.413 S/CRED | Monto=607,86 | Fecha: 28/04/2026</t>
        </is>
      </c>
    </row>
    <row r="474">
      <c r="A474" s="8" t="inlineStr">
        <is>
          <t>PEND-F64547B80AB0-A001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28/04/2026</t>
        </is>
      </c>
      <c r="E474" s="8" t="inlineStr">
        <is>
          <t>109243</t>
        </is>
      </c>
      <c r="F474" s="8" t="inlineStr">
        <is>
          <t>INGRESOS BRUTOS MENDOZA</t>
        </is>
      </c>
      <c r="G474" s="8" t="inlineStr">
        <is>
          <t>Retención Ingresos Brutos Mendoza</t>
        </is>
      </c>
      <c r="H474" s="8" t="inlineStr">
        <is>
          <t>Retención de Ingresos Brutos</t>
        </is>
      </c>
      <c r="I474" s="9" t="n">
        <v>361.47</v>
      </c>
      <c r="J474" s="9" t="inlineStr"/>
      <c r="K474" s="8" t="inlineStr">
        <is>
          <t>Copiar en Flexxus: Tipo=MB-EXT | Movimiento=INGRESOS BRUTOS MENDOZA | Monto=361,47 | Fecha: 28/04/2026</t>
        </is>
      </c>
    </row>
    <row r="475">
      <c r="A475" s="8" t="inlineStr">
        <is>
          <t>PEND-1B794629DDBD-A001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28/04/2026</t>
        </is>
      </c>
      <c r="E475" s="8" t="inlineStr">
        <is>
          <t>109243</t>
        </is>
      </c>
      <c r="F475" s="8" t="inlineStr">
        <is>
          <t>GRAVAMEN LEY 25413 S/CRED</t>
        </is>
      </c>
      <c r="G475" s="8" t="inlineStr">
        <is>
          <t>Anticipo Ganancias Ley 25.413 créditos</t>
        </is>
      </c>
      <c r="H475" s="8" t="inlineStr">
        <is>
          <t>Anticipo Impuesto a las Ganancias</t>
        </is>
      </c>
      <c r="I475" s="9" t="n">
        <v>216.88</v>
      </c>
      <c r="J475" s="9" t="inlineStr"/>
      <c r="K475" s="8" t="inlineStr">
        <is>
          <t>Copiar en Flexxus: Tipo=MB-EXT | Movimiento=GRAVAMEN LEY 25.413 S/CRED | Monto=216,88 | Fecha: 28/04/2026</t>
        </is>
      </c>
    </row>
    <row r="476">
      <c r="A476" s="8" t="inlineStr">
        <is>
          <t>PEND-4FFFD9AF5ECE-A001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28/04/2026</t>
        </is>
      </c>
      <c r="E476" s="8" t="inlineStr">
        <is>
          <t>109242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12000</v>
      </c>
      <c r="J476" s="9" t="inlineStr"/>
      <c r="K476" s="8" t="inlineStr">
        <is>
          <t>Copiar en Flexxus: Tipo=MB-EXT | Movimiento=GRAVAMEN LEY 25.413 S/DEB | Monto=12.000,00 | Fecha: 28/04/2026</t>
        </is>
      </c>
    </row>
    <row r="477">
      <c r="A477" s="8" t="inlineStr">
        <is>
          <t>PEND-33059C2ED4CC-A001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28/04/2026</t>
        </is>
      </c>
      <c r="E477" s="8" t="inlineStr">
        <is>
          <t>31995644</t>
        </is>
      </c>
      <c r="F477" s="8" t="inlineStr">
        <is>
          <t>DEB LIQ MASTERCARD 24H</t>
        </is>
      </c>
      <c r="G477" s="8" t="inlineStr">
        <is>
          <t>Débito liquidación tarjeta</t>
        </is>
      </c>
      <c r="H477" s="8" t="inlineStr">
        <is>
          <t>Revisar según concepto</t>
        </is>
      </c>
      <c r="I477" s="9" t="n">
        <v>75.09999999999999</v>
      </c>
      <c r="J477" s="9" t="inlineStr"/>
      <c r="K477" s="8" t="inlineStr">
        <is>
          <t>Copiar en Flexxus: Tipo=MB-EXT | Movimiento=DEB LIQ MASTERCARD 24H | Monto=75,10 | Fecha: 28/04/2026</t>
        </is>
      </c>
    </row>
    <row r="478">
      <c r="A478" s="8" t="inlineStr">
        <is>
          <t>PEND-E4C732A67E32-A001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28/04/2026</t>
        </is>
      </c>
      <c r="E478" s="8" t="inlineStr">
        <is>
          <t>109242</t>
        </is>
      </c>
      <c r="F478" s="8" t="inlineStr">
        <is>
          <t>DB CREDIN TRANSFERENCIA</t>
        </is>
      </c>
      <c r="G478" s="8" t="inlineStr">
        <is>
          <t>Transferencia saliente</t>
        </is>
      </c>
      <c r="H478" s="8" t="inlineStr">
        <is>
          <t>Revisar según concepto</t>
        </is>
      </c>
      <c r="I478" s="9" t="n">
        <v>2000000</v>
      </c>
      <c r="J478" s="9" t="inlineStr"/>
      <c r="K478" s="8" t="inlineStr">
        <is>
          <t>Registrar asiento / revisar según concepto</t>
        </is>
      </c>
    </row>
    <row r="479">
      <c r="A479" s="8" t="inlineStr">
        <is>
          <t>PEND-082BB8906C6D-A001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28/04/2026</t>
        </is>
      </c>
      <c r="E479" s="8" t="inlineStr">
        <is>
          <t>109287</t>
        </is>
      </c>
      <c r="F479" s="8" t="inlineStr">
        <is>
          <t>GRAVAMEN LEY 25413 S/DEB</t>
        </is>
      </c>
      <c r="G479" s="8" t="inlineStr">
        <is>
          <t>Anticipo Ganancias Ley 25.413 débitos</t>
        </is>
      </c>
      <c r="H479" s="8" t="inlineStr">
        <is>
          <t>Anticipo Impuesto a las Ganancias</t>
        </is>
      </c>
      <c r="I479" s="9" t="n">
        <v>0.8</v>
      </c>
      <c r="J479" s="9" t="inlineStr"/>
      <c r="K479" s="8" t="inlineStr">
        <is>
          <t>Copiar en Flexxus: Tipo=MB-EXT | Movimiento=GRAVAMEN LEY 25.413 S/DEB | Monto=0,80 | Fecha: 28/04/2026</t>
        </is>
      </c>
    </row>
    <row r="480">
      <c r="A480" s="8" t="inlineStr">
        <is>
          <t>PEND-CE714578C97E-A001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28/04/2026</t>
        </is>
      </c>
      <c r="E480" s="8" t="inlineStr">
        <is>
          <t>109286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1.93</v>
      </c>
      <c r="J480" s="9" t="inlineStr"/>
      <c r="K480" s="8" t="inlineStr">
        <is>
          <t>Copiar en Flexxus: Tipo=MB-EXT | Movimiento=GRAVAMEN LEY 25.413 S/DEB | Monto=1,93 | Fecha: 28/04/2026</t>
        </is>
      </c>
    </row>
    <row r="481">
      <c r="A481" s="8" t="inlineStr">
        <is>
          <t>PEND-7F4E3808FB21-A001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28/04/2026</t>
        </is>
      </c>
      <c r="E481" s="8" t="inlineStr">
        <is>
          <t>109282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1.72</v>
      </c>
      <c r="J481" s="9" t="inlineStr"/>
      <c r="K481" s="8" t="inlineStr">
        <is>
          <t>Copiar en Flexxus: Tipo=MB-EXT | Movimiento=GRAVAMEN LEY 25.413 S/DEB | Monto=1,72 | Fecha: 28/04/2026</t>
        </is>
      </c>
    </row>
    <row r="482">
      <c r="A482" s="8" t="inlineStr">
        <is>
          <t>PEND-733BC21E56E7-A001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28/04/2026</t>
        </is>
      </c>
      <c r="E482" s="8" t="inlineStr">
        <is>
          <t>109281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2.44</v>
      </c>
      <c r="J482" s="9" t="inlineStr"/>
      <c r="K482" s="8" t="inlineStr">
        <is>
          <t>Copiar en Flexxus: Tipo=MB-EXT | Movimiento=GRAVAMEN LEY 25.413 S/DEB | Monto=2,44 | Fecha: 28/04/2026</t>
        </is>
      </c>
    </row>
    <row r="483">
      <c r="A483" s="8" t="inlineStr">
        <is>
          <t>PEND-E3646726A2D2-A001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28/04/2026</t>
        </is>
      </c>
      <c r="E483" s="8" t="inlineStr">
        <is>
          <t>29841642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28.54</v>
      </c>
      <c r="J483" s="9" t="inlineStr"/>
      <c r="K483" s="8" t="inlineStr">
        <is>
          <t>Copiar en Flexxus: Tipo=MB-EXT | Movimiento=GRAVAMEN LEY 25.413 S/DEB | Monto=28,54 | Fecha: 28/04/2026</t>
        </is>
      </c>
    </row>
    <row r="484">
      <c r="A484" s="8" t="inlineStr">
        <is>
          <t>PEND-40AFDF7A6AFF-A001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28/04/2026</t>
        </is>
      </c>
      <c r="E484" s="8" t="inlineStr">
        <is>
          <t>29841627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9.02</v>
      </c>
      <c r="J484" s="9" t="inlineStr"/>
      <c r="K484" s="8" t="inlineStr">
        <is>
          <t>Copiar en Flexxus: Tipo=MB-EXT | Movimiento=GRAVAMEN LEY 25.413 S/DEB | Monto=9,02 | Fecha: 28/04/2026</t>
        </is>
      </c>
    </row>
    <row r="485">
      <c r="A485" s="8" t="inlineStr">
        <is>
          <t>PEND-E68C0EC8FA37-A001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28/04/2026</t>
        </is>
      </c>
      <c r="E485" s="8" t="inlineStr">
        <is>
          <t>32032899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6.79</v>
      </c>
      <c r="J485" s="9" t="inlineStr"/>
      <c r="K485" s="8" t="inlineStr">
        <is>
          <t>Copiar en Flexxus: Tipo=MB-EXT | Movimiento=GRAVAMEN LEY 25.413 S/DEB | Monto=6,79 | Fecha: 28/04/2026</t>
        </is>
      </c>
    </row>
    <row r="486">
      <c r="A486" s="8" t="inlineStr">
        <is>
          <t>PEND-2E2BB80D2422-A001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28/04/2026</t>
        </is>
      </c>
      <c r="E486" s="8" t="inlineStr">
        <is>
          <t>29841642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2.79</v>
      </c>
      <c r="J486" s="9" t="inlineStr"/>
      <c r="K486" s="8" t="inlineStr">
        <is>
          <t>Copiar en Flexxus: Tipo=MB-EXT | Movimiento=GRAVAMEN LEY 25.413 S/DEB | Monto=2,79 | Fecha: 28/04/2026</t>
        </is>
      </c>
    </row>
    <row r="487">
      <c r="A487" s="8" t="inlineStr">
        <is>
          <t>PEND-35C4F8C9E098-A001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28/04/2026</t>
        </is>
      </c>
      <c r="E487" s="8" t="inlineStr">
        <is>
          <t>29841627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4.57</v>
      </c>
      <c r="J487" s="9" t="inlineStr"/>
      <c r="K487" s="8" t="inlineStr">
        <is>
          <t>Copiar en Flexxus: Tipo=MB-EXT | Movimiento=GRAVAMEN LEY 25.413 S/DEB | Monto=4,57 | Fecha: 28/04/2026</t>
        </is>
      </c>
    </row>
    <row r="488">
      <c r="A488" s="8" t="inlineStr">
        <is>
          <t>PEND-295F741C4977-A001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28/04/2026</t>
        </is>
      </c>
      <c r="E488" s="8" t="inlineStr">
        <is>
          <t>32032899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1.93</v>
      </c>
      <c r="J488" s="9" t="inlineStr"/>
      <c r="K488" s="8" t="inlineStr">
        <is>
          <t>Copiar en Flexxus: Tipo=MB-EXT | Movimiento=GRAVAMEN LEY 25.413 S/DEB | Monto=1,93 | Fecha: 28/04/2026</t>
        </is>
      </c>
    </row>
    <row r="489">
      <c r="A489" s="8" t="inlineStr">
        <is>
          <t>PEND-3350F75103AD-A001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28/04/2026</t>
        </is>
      </c>
      <c r="E489" s="8" t="inlineStr">
        <is>
          <t>32032899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4.37</v>
      </c>
      <c r="J489" s="9" t="inlineStr"/>
      <c r="K489" s="8" t="inlineStr">
        <is>
          <t>Copiar en Flexxus: Tipo=MB-EXT | Movimiento=GRAVAMEN LEY 25.413 S/DEB | Monto=4,37 | Fecha: 28/04/2026</t>
        </is>
      </c>
    </row>
    <row r="490">
      <c r="A490" s="8" t="inlineStr">
        <is>
          <t>PEND-51357A6CC058-A001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28/04/2026</t>
        </is>
      </c>
      <c r="E490" s="8" t="inlineStr">
        <is>
          <t>31995644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2.63</v>
      </c>
      <c r="J490" s="9" t="inlineStr"/>
      <c r="K490" s="8" t="inlineStr">
        <is>
          <t>Copiar en Flexxus: Tipo=MB-EXT | Movimiento=GRAVAMEN LEY 25.413 S/DEB | Monto=2,63 | Fecha: 28/04/2026</t>
        </is>
      </c>
    </row>
    <row r="491">
      <c r="A491" s="8" t="inlineStr">
        <is>
          <t>PEND-AFC50901D177-A001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28/04/2026</t>
        </is>
      </c>
      <c r="E491" s="8" t="inlineStr">
        <is>
          <t>29841705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3.76</v>
      </c>
      <c r="J491" s="9" t="inlineStr"/>
      <c r="K491" s="8" t="inlineStr">
        <is>
          <t>Copiar en Flexxus: Tipo=MB-EXT | Movimiento=GRAVAMEN LEY 25.413 S/DEB | Monto=3,76 | Fecha: 28/04/2026</t>
        </is>
      </c>
    </row>
    <row r="492">
      <c r="A492" s="8" t="inlineStr">
        <is>
          <t>PEND-C48D26A7A48D-A001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28/04/2026</t>
        </is>
      </c>
      <c r="E492" s="8" t="inlineStr">
        <is>
          <t>29841683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1.9</v>
      </c>
      <c r="J492" s="9" t="inlineStr"/>
      <c r="K492" s="8" t="inlineStr">
        <is>
          <t>Copiar en Flexxus: Tipo=MB-EXT | Movimiento=GRAVAMEN LEY 25.413 S/DEB | Monto=1,90 | Fecha: 28/04/2026</t>
        </is>
      </c>
    </row>
    <row r="493">
      <c r="A493" s="8" t="inlineStr">
        <is>
          <t>PEND-E0501E193AA6-A001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28/04/2026</t>
        </is>
      </c>
      <c r="E493" s="8" t="inlineStr">
        <is>
          <t>29841670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1.63</v>
      </c>
      <c r="J493" s="9" t="inlineStr"/>
      <c r="K493" s="8" t="inlineStr">
        <is>
          <t>Copiar en Flexxus: Tipo=MB-EXT | Movimiento=GRAVAMEN LEY 25.413 S/DEB | Monto=1,63 | Fecha: 28/04/2026</t>
        </is>
      </c>
    </row>
    <row r="494">
      <c r="A494" s="8" t="inlineStr">
        <is>
          <t>PEND-B5B5F264A73F-A001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28/04/2026</t>
        </is>
      </c>
      <c r="E494" s="8" t="inlineStr">
        <is>
          <t>29841627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3.17</v>
      </c>
      <c r="J494" s="9" t="inlineStr"/>
      <c r="K494" s="8" t="inlineStr">
        <is>
          <t>Copiar en Flexxus: Tipo=MB-EXT | Movimiento=GRAVAMEN LEY 25.413 S/DEB | Monto=3,17 | Fecha: 28/04/2026</t>
        </is>
      </c>
    </row>
    <row r="495">
      <c r="A495" s="8" t="inlineStr">
        <is>
          <t>PEND-D01EFD31C5B6-A001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28/04/2026</t>
        </is>
      </c>
      <c r="E495" s="8" t="inlineStr">
        <is>
          <t>32032899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3.56</v>
      </c>
      <c r="J495" s="9" t="inlineStr"/>
      <c r="K495" s="8" t="inlineStr">
        <is>
          <t>Copiar en Flexxus: Tipo=MB-EXT | Movimiento=GRAVAMEN LEY 25.413 S/DEB | Monto=3,56 | Fecha: 28/04/2026</t>
        </is>
      </c>
    </row>
    <row r="496">
      <c r="A496" s="8" t="inlineStr">
        <is>
          <t>PEND-5F39908D5623-A001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28/04/2026</t>
        </is>
      </c>
      <c r="E496" s="8" t="inlineStr">
        <is>
          <t>31995644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5.09</v>
      </c>
      <c r="J496" s="9" t="inlineStr"/>
      <c r="K496" s="8" t="inlineStr">
        <is>
          <t>Copiar en Flexxus: Tipo=MB-EXT | Movimiento=GRAVAMEN LEY 25.413 S/DEB | Monto=5,09 | Fecha: 28/04/2026</t>
        </is>
      </c>
    </row>
    <row r="497">
      <c r="A497" s="8" t="inlineStr">
        <is>
          <t>PEND-27EDC44EDF1F-A001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28/04/2026</t>
        </is>
      </c>
      <c r="E497" s="8" t="inlineStr">
        <is>
          <t>31995644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5.1</v>
      </c>
      <c r="J497" s="9" t="inlineStr"/>
      <c r="K497" s="8" t="inlineStr">
        <is>
          <t>Copiar en Flexxus: Tipo=MB-EXT | Movimiento=GRAVAMEN LEY 25.413 S/DEB | Monto=5,10 | Fecha: 28/04/2026</t>
        </is>
      </c>
    </row>
    <row r="498">
      <c r="A498" s="8" t="inlineStr">
        <is>
          <t>PEND-6152962AEC0E-A001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28/04/2026</t>
        </is>
      </c>
      <c r="E498" s="8" t="inlineStr">
        <is>
          <t>29841705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2.11</v>
      </c>
      <c r="J498" s="9" t="inlineStr"/>
      <c r="K498" s="8" t="inlineStr">
        <is>
          <t>Copiar en Flexxus: Tipo=MB-EXT | Movimiento=GRAVAMEN LEY 25.413 S/DEB | Monto=2,11 | Fecha: 28/04/2026</t>
        </is>
      </c>
    </row>
    <row r="499">
      <c r="A499" s="8" t="inlineStr">
        <is>
          <t>PEND-A061D6A132FB-A001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28/04/2026</t>
        </is>
      </c>
      <c r="E499" s="8" t="inlineStr">
        <is>
          <t>29841642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0.53</v>
      </c>
      <c r="J499" s="9" t="inlineStr"/>
      <c r="K499" s="8" t="inlineStr">
        <is>
          <t>Copiar en Flexxus: Tipo=MB-EXT | Movimiento=GRAVAMEN LEY 25.413 S/DEB | Monto=0,53 | Fecha: 28/04/2026</t>
        </is>
      </c>
    </row>
    <row r="500">
      <c r="A500" s="8" t="inlineStr">
        <is>
          <t>PEND-DBA5684E6921-A001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28/04/2026</t>
        </is>
      </c>
      <c r="E500" s="8" t="inlineStr">
        <is>
          <t>109241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0.68</v>
      </c>
      <c r="J500" s="9" t="inlineStr"/>
      <c r="K500" s="8" t="inlineStr">
        <is>
          <t>Copiar en Flexxus: Tipo=MB-EXT | Movimiento=GRAVAMEN LEY 25.413 S/DEB | Monto=0,68 | Fecha: 28/04/2026</t>
        </is>
      </c>
    </row>
    <row r="501">
      <c r="A501" s="8" t="inlineStr">
        <is>
          <t>PEND-16F0411B8EF2-A001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28/04/2026</t>
        </is>
      </c>
      <c r="E501" s="8" t="inlineStr">
        <is>
          <t>109287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133.69</v>
      </c>
      <c r="J501" s="9" t="inlineStr"/>
      <c r="K501" s="8" t="inlineStr">
        <is>
          <t>Copiar en Flexxus: Tipo=MB-EXT | Movimiento=INGRESOS BRUTOS MENDOZA | Monto=133,69 | Fecha: 28/04/2026</t>
        </is>
      </c>
    </row>
    <row r="502">
      <c r="A502" s="8" t="inlineStr">
        <is>
          <t>PEND-7D80F8FAD8D3-A001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28/04/2026</t>
        </is>
      </c>
      <c r="E502" s="8" t="inlineStr">
        <is>
          <t>109287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80.22</v>
      </c>
      <c r="J502" s="9" t="inlineStr"/>
      <c r="K502" s="8" t="inlineStr">
        <is>
          <t>Copiar en Flexxus: Tipo=MB-EXT | Movimiento=GRAVAMEN LEY 25.413 S/CRED | Monto=80,22 | Fecha: 28/04/2026</t>
        </is>
      </c>
    </row>
    <row r="503">
      <c r="A503" s="8" t="inlineStr">
        <is>
          <t>PEND-309578F1ED74-A001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28/04/2026</t>
        </is>
      </c>
      <c r="E503" s="8" t="inlineStr">
        <is>
          <t>109281</t>
        </is>
      </c>
      <c r="F503" s="8" t="inlineStr">
        <is>
          <t>GRAVAMEN LEY 25413 S/CRED</t>
        </is>
      </c>
      <c r="G503" s="8" t="inlineStr">
        <is>
          <t>Anticipo Ganancias Ley 25.413 créditos</t>
        </is>
      </c>
      <c r="H503" s="8" t="inlineStr">
        <is>
          <t>Anticipo Impuesto a las Ganancias</t>
        </is>
      </c>
      <c r="I503" s="9" t="n">
        <v>243.62</v>
      </c>
      <c r="J503" s="9" t="inlineStr"/>
      <c r="K503" s="8" t="inlineStr">
        <is>
          <t>Copiar en Flexxus: Tipo=MB-EXT | Movimiento=GRAVAMEN LEY 25.413 S/CRED | Monto=243,62 | Fecha: 28/04/2026</t>
        </is>
      </c>
    </row>
    <row r="504">
      <c r="A504" s="8" t="inlineStr">
        <is>
          <t>PEND-A7DA1CE584DC-A001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28/04/2026</t>
        </is>
      </c>
      <c r="E504" s="8" t="inlineStr">
        <is>
          <t>109261</t>
        </is>
      </c>
      <c r="F504" s="8" t="inlineStr">
        <is>
          <t>INGRESOS BRUTOS MENDOZA</t>
        </is>
      </c>
      <c r="G504" s="8" t="inlineStr">
        <is>
          <t>Retención Ingresos Brutos Mendoza</t>
        </is>
      </c>
      <c r="H504" s="8" t="inlineStr">
        <is>
          <t>Retención de Ingresos Brutos</t>
        </is>
      </c>
      <c r="I504" s="9" t="n">
        <v>478.32</v>
      </c>
      <c r="J504" s="9" t="inlineStr"/>
      <c r="K504" s="8" t="inlineStr">
        <is>
          <t>Copiar en Flexxus: Tipo=MB-EXT | Movimiento=INGRESOS BRUTOS MENDOZA | Monto=478,32 | Fecha: 28/04/2026</t>
        </is>
      </c>
    </row>
    <row r="505">
      <c r="A505" s="8" t="inlineStr">
        <is>
          <t>PEND-013911CCF3D3-A001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28/04/2026</t>
        </is>
      </c>
      <c r="E505" s="8" t="inlineStr">
        <is>
          <t>109241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113.89</v>
      </c>
      <c r="J505" s="9" t="inlineStr"/>
      <c r="K505" s="8" t="inlineStr">
        <is>
          <t>Copiar en Flexxus: Tipo=MB-EXT | Movimiento=INGRESOS BRUTOS MENDOZA | Monto=113,89 | Fecha: 28/04/2026</t>
        </is>
      </c>
    </row>
    <row r="506">
      <c r="A506" s="8" t="inlineStr">
        <is>
          <t>PEND-587B3FACD49E-A001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28/04/2026</t>
        </is>
      </c>
      <c r="E506" s="8" t="inlineStr">
        <is>
          <t>109241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68.33</v>
      </c>
      <c r="J506" s="9" t="inlineStr"/>
      <c r="K506" s="8" t="inlineStr">
        <is>
          <t>Copiar en Flexxus: Tipo=MB-EXT | Movimiento=GRAVAMEN LEY 25.413 S/CRED | Monto=68,33 | Fecha: 28/04/2026</t>
        </is>
      </c>
    </row>
  </sheetData>
  <autoFilter ref="A1:K5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2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PEND-F13DB695D909-A001</t>
        </is>
      </c>
      <c r="B3" s="8" t="inlineStr">
        <is>
          <t>BANCO_INGRESO_NO_FLEXXUS</t>
        </is>
      </c>
      <c r="C3" s="8" t="inlineStr">
        <is>
          <t>28/04/2026</t>
        </is>
      </c>
      <c r="D3" s="8" t="inlineStr">
        <is>
          <t>PAV</t>
        </is>
      </c>
      <c r="E3" s="8" t="inlineStr">
        <is>
          <t>2200022701</t>
        </is>
      </c>
      <c r="F3" s="8" t="inlineStr">
        <is>
          <t>PAGO TARJETA CREDITO</t>
        </is>
      </c>
      <c r="G3" s="8" t="inlineStr"/>
      <c r="H3" s="9" t="n">
        <v>475282.85</v>
      </c>
      <c r="I3" s="8" t="inlineStr">
        <is>
          <t>Regulariza Banco no Flexxus anterior</t>
        </is>
      </c>
    </row>
    <row r="4">
      <c r="A4" s="8" t="inlineStr">
        <is>
          <t>PEND-B066F0BB3B10-A001</t>
        </is>
      </c>
      <c r="B4" s="8" t="inlineStr">
        <is>
          <t>BANCO_INGRESO_NO_FLEXXUS</t>
        </is>
      </c>
      <c r="C4" s="8" t="inlineStr">
        <is>
          <t>28/04/2026</t>
        </is>
      </c>
      <c r="D4" s="8" t="inlineStr">
        <is>
          <t>PAV</t>
        </is>
      </c>
      <c r="E4" s="8" t="inlineStr">
        <is>
          <t>2200022699</t>
        </is>
      </c>
      <c r="F4" s="8" t="inlineStr">
        <is>
          <t>PAGO TARJETA CREDITO</t>
        </is>
      </c>
      <c r="G4" s="8" t="inlineStr"/>
      <c r="H4" s="9" t="n">
        <v>453447.98</v>
      </c>
      <c r="I4" s="8" t="inlineStr">
        <is>
          <t>Regulariza Banco no Flexxus anterior</t>
        </is>
      </c>
    </row>
    <row r="5">
      <c r="A5" s="8" t="inlineStr">
        <is>
          <t>PEND-D7C092DC505C-A001</t>
        </is>
      </c>
      <c r="B5" s="8" t="inlineStr">
        <is>
          <t>BANCO_INGRESO_NO_FLEXXUS</t>
        </is>
      </c>
      <c r="C5" s="8" t="inlineStr">
        <is>
          <t>28/04/2026</t>
        </is>
      </c>
      <c r="D5" s="8" t="inlineStr">
        <is>
          <t>PAV</t>
        </is>
      </c>
      <c r="E5" s="8" t="inlineStr">
        <is>
          <t>2200022697</t>
        </is>
      </c>
      <c r="F5" s="8" t="inlineStr">
        <is>
          <t>PAGO TARJETA CREDITO</t>
        </is>
      </c>
      <c r="G5" s="8" t="inlineStr"/>
      <c r="H5" s="9" t="n">
        <v>359684.79</v>
      </c>
      <c r="I5" s="8" t="inlineStr">
        <is>
          <t>Regulariza Banco no Flexxus anterior</t>
        </is>
      </c>
    </row>
    <row r="6">
      <c r="A6" s="8" t="inlineStr">
        <is>
          <t>PEND-EC9929740049-A001</t>
        </is>
      </c>
      <c r="B6" s="8" t="inlineStr">
        <is>
          <t>BANCO_INGRESO_NO_FLEXXUS</t>
        </is>
      </c>
      <c r="C6" s="8" t="inlineStr">
        <is>
          <t>28/04/2026</t>
        </is>
      </c>
      <c r="D6" s="8" t="inlineStr">
        <is>
          <t>PAV</t>
        </is>
      </c>
      <c r="E6" s="8" t="inlineStr">
        <is>
          <t>2200022691</t>
        </is>
      </c>
      <c r="F6" s="8" t="inlineStr">
        <is>
          <t>PAGO TARJETA CREDITO</t>
        </is>
      </c>
      <c r="G6" s="8" t="inlineStr"/>
      <c r="H6" s="9" t="n">
        <v>154962.27</v>
      </c>
      <c r="I6" s="8" t="inlineStr">
        <is>
          <t>Regulariza Banco no Flexxus anterior</t>
        </is>
      </c>
    </row>
    <row r="7">
      <c r="A7" s="8" t="inlineStr">
        <is>
          <t>PEND-A95F13412C83-A001</t>
        </is>
      </c>
      <c r="B7" s="8" t="inlineStr">
        <is>
          <t>BANCO_INGRESO_NO_FLEXXUS</t>
        </is>
      </c>
      <c r="C7" s="8" t="inlineStr">
        <is>
          <t>28/04/2026</t>
        </is>
      </c>
      <c r="D7" s="8" t="inlineStr">
        <is>
          <t>PAV</t>
        </is>
      </c>
      <c r="E7" s="8" t="inlineStr">
        <is>
          <t>2200022689</t>
        </is>
      </c>
      <c r="F7" s="8" t="inlineStr">
        <is>
          <t>PAGO TARJETA CREDITO</t>
        </is>
      </c>
      <c r="G7" s="8" t="inlineStr"/>
      <c r="H7" s="9" t="n">
        <v>110054.17</v>
      </c>
      <c r="I7" s="8" t="inlineStr">
        <is>
          <t>Regulariza Banco no Flexxus anterior</t>
        </is>
      </c>
    </row>
    <row r="8">
      <c r="A8" s="8" t="inlineStr">
        <is>
          <t>PEND-BFF6B474CEFE-A001</t>
        </is>
      </c>
      <c r="B8" s="8" t="inlineStr">
        <is>
          <t>BANCO_INGRESO_NO_FLEXXUS</t>
        </is>
      </c>
      <c r="C8" s="8" t="inlineStr">
        <is>
          <t>28/04/2026</t>
        </is>
      </c>
      <c r="D8" s="8" t="inlineStr">
        <is>
          <t>PAV</t>
        </is>
      </c>
      <c r="E8" s="8" t="inlineStr">
        <is>
          <t>2200022693</t>
        </is>
      </c>
      <c r="F8" s="8" t="inlineStr">
        <is>
          <t>PAGO TARJETA CREDITO</t>
        </is>
      </c>
      <c r="G8" s="8" t="inlineStr"/>
      <c r="H8" s="9" t="n">
        <v>98800.22</v>
      </c>
      <c r="I8" s="8" t="inlineStr">
        <is>
          <t>Regulariza Banco no Flexxus anterior</t>
        </is>
      </c>
    </row>
    <row r="9">
      <c r="A9" s="8" t="inlineStr">
        <is>
          <t>PEND-81C528C8943C-A001</t>
        </is>
      </c>
      <c r="B9" s="8" t="inlineStr">
        <is>
          <t>BANCO_INGRESO_NO_FLEXXUS</t>
        </is>
      </c>
      <c r="C9" s="8" t="inlineStr">
        <is>
          <t>28/04/2026</t>
        </is>
      </c>
      <c r="D9" s="8" t="inlineStr">
        <is>
          <t>PAV</t>
        </is>
      </c>
      <c r="E9" s="8" t="inlineStr">
        <is>
          <t>2200022702</t>
        </is>
      </c>
      <c r="F9" s="8" t="inlineStr">
        <is>
          <t>PAGO TARJETA CREDITO</t>
        </is>
      </c>
      <c r="G9" s="8" t="inlineStr"/>
      <c r="H9" s="9" t="n">
        <v>54306</v>
      </c>
      <c r="I9" s="8" t="inlineStr">
        <is>
          <t>Regulariza Banco no Flexxus anterior</t>
        </is>
      </c>
    </row>
    <row r="10">
      <c r="A10" s="8" t="inlineStr">
        <is>
          <t>PEND-25D4DBC3A2FF-A001</t>
        </is>
      </c>
      <c r="B10" s="8" t="inlineStr">
        <is>
          <t>BANCO_INGRESO_NO_FLEXXUS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1900043021</t>
        </is>
      </c>
      <c r="F10" s="8" t="inlineStr">
        <is>
          <t>PAGO TARJETA CREDITO</t>
        </is>
      </c>
      <c r="G10" s="8" t="inlineStr"/>
      <c r="H10" s="9" t="n">
        <v>13369.32</v>
      </c>
      <c r="I10" s="8" t="inlineStr">
        <is>
          <t>Regulariza Banco no Flexxus anterior</t>
        </is>
      </c>
    </row>
    <row r="11">
      <c r="A11" s="8" t="inlineStr">
        <is>
          <t>PEND-5F8409A91A13-A001</t>
        </is>
      </c>
      <c r="B11" s="8" t="inlineStr">
        <is>
          <t>BANCO_INGRESO_NO_FLEXXUS</t>
        </is>
      </c>
      <c r="C11" s="8" t="inlineStr">
        <is>
          <t>28/04/2026</t>
        </is>
      </c>
      <c r="D11" s="8" t="inlineStr">
        <is>
          <t>PAV</t>
        </is>
      </c>
      <c r="E11" s="8" t="inlineStr">
        <is>
          <t>1700037018</t>
        </is>
      </c>
      <c r="F11" s="8" t="inlineStr">
        <is>
          <t>PAGO TARJETA CREDITO</t>
        </is>
      </c>
      <c r="G11" s="8" t="inlineStr"/>
      <c r="H11" s="9" t="n">
        <v>13336.65</v>
      </c>
      <c r="I11" s="8" t="inlineStr">
        <is>
          <t>Regulariza Banco no Flexxus anterior</t>
        </is>
      </c>
    </row>
    <row r="12">
      <c r="A12" s="8" t="inlineStr">
        <is>
          <t>PEND-4DBE4A713207-A001</t>
        </is>
      </c>
      <c r="B12" s="8" t="inlineStr">
        <is>
          <t>BANCO_INGRESO_NO_FLEXXUS</t>
        </is>
      </c>
      <c r="C12" s="8" t="inlineStr">
        <is>
          <t>28/04/2026</t>
        </is>
      </c>
      <c r="D12" s="8" t="inlineStr">
        <is>
          <t>PAV</t>
        </is>
      </c>
      <c r="E12" s="8" t="inlineStr">
        <is>
          <t>1900043014</t>
        </is>
      </c>
      <c r="F12" s="8" t="inlineStr">
        <is>
          <t>PAGO TARJETA CREDITO</t>
        </is>
      </c>
      <c r="G12" s="8" t="inlineStr"/>
      <c r="H12" s="9" t="n">
        <v>11388.68</v>
      </c>
      <c r="I12" s="8" t="inlineStr">
        <is>
          <t>Regulariza Banco no Flexxus anterior</t>
        </is>
      </c>
    </row>
    <row r="13">
      <c r="A13" s="8" t="inlineStr">
        <is>
          <t>PEND-55FCF5634045-A001</t>
        </is>
      </c>
      <c r="B13" s="8" t="inlineStr">
        <is>
          <t>BANCO_INGRESO_NO_FLEXXUS</t>
        </is>
      </c>
      <c r="C13" s="8" t="inlineStr">
        <is>
          <t>28/04/2026</t>
        </is>
      </c>
      <c r="D13" s="8" t="inlineStr">
        <is>
          <t>PAV</t>
        </is>
      </c>
      <c r="E13" s="8" t="inlineStr">
        <is>
          <t>1700037019</t>
        </is>
      </c>
      <c r="F13" s="8" t="inlineStr">
        <is>
          <t>PAGO TARJETA CREDITO</t>
        </is>
      </c>
      <c r="G13" s="8" t="inlineStr"/>
      <c r="H13" s="9" t="n">
        <v>9879</v>
      </c>
      <c r="I1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28</v>
      </c>
      <c r="C2" s="4" t="n">
        <v>5256258.07</v>
      </c>
    </row>
    <row r="3">
      <c r="A3" s="2" t="inlineStr">
        <is>
          <t>MB-ENT-EX</t>
        </is>
      </c>
      <c r="B3" s="2" t="n">
        <v>0</v>
      </c>
      <c r="C3" s="4" t="n">
        <v>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28</v>
      </c>
      <c r="C5" s="4" t="n">
        <v>5256258.07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28/04/2026</t>
        </is>
      </c>
      <c r="B7" s="8" t="inlineStr">
        <is>
          <t>PAV</t>
        </is>
      </c>
      <c r="C7" s="8" t="inlineStr">
        <is>
          <t>2200022690</t>
        </is>
      </c>
      <c r="D7" s="9" t="n">
        <v>85007.32000000001</v>
      </c>
      <c r="E7" s="8" t="inlineStr">
        <is>
          <t>28/04/2026</t>
        </is>
      </c>
      <c r="F7" s="8" t="inlineStr">
        <is>
          <t>28/04/2026</t>
        </is>
      </c>
      <c r="G7" s="8" t="inlineStr">
        <is>
          <t>CR LIQ MASTERCARD 24H</t>
        </is>
      </c>
      <c r="H7" s="8" t="inlineStr">
        <is>
          <t>31995644</t>
        </is>
      </c>
      <c r="I7" s="8" t="inlineStr">
        <is>
          <t>No</t>
        </is>
      </c>
    </row>
    <row r="8">
      <c r="A8" s="8" t="inlineStr">
        <is>
          <t>28/04/2026</t>
        </is>
      </c>
      <c r="B8" s="8" t="inlineStr">
        <is>
          <t>PAV</t>
        </is>
      </c>
      <c r="C8" s="8" t="inlineStr">
        <is>
          <t>2200022692</t>
        </is>
      </c>
      <c r="D8" s="9" t="n">
        <v>84811.67</v>
      </c>
      <c r="E8" s="8" t="inlineStr">
        <is>
          <t>28/04/2026</t>
        </is>
      </c>
      <c r="F8" s="8" t="inlineStr">
        <is>
          <t>28/04/2026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</row>
    <row r="9">
      <c r="A9" s="8" t="inlineStr">
        <is>
          <t>28/04/2026</t>
        </is>
      </c>
      <c r="B9" s="8" t="inlineStr">
        <is>
          <t>PAV</t>
        </is>
      </c>
      <c r="C9" s="8" t="inlineStr">
        <is>
          <t>2200022694</t>
        </is>
      </c>
      <c r="D9" s="9" t="n">
        <v>431186.16</v>
      </c>
      <c r="E9" s="8" t="inlineStr">
        <is>
          <t>28/04/2026</t>
        </is>
      </c>
      <c r="F9" s="8" t="inlineStr">
        <is>
          <t>28/04/2026</t>
        </is>
      </c>
      <c r="G9" s="8" t="inlineStr">
        <is>
          <t>CR LIQ MASTER DEB 24H</t>
        </is>
      </c>
      <c r="H9" s="8" t="inlineStr">
        <is>
          <t>31995644</t>
        </is>
      </c>
      <c r="I9" s="8" t="inlineStr">
        <is>
          <t>No</t>
        </is>
      </c>
    </row>
    <row r="10">
      <c r="A10" s="8" t="inlineStr">
        <is>
          <t>28/04/2026</t>
        </is>
      </c>
      <c r="B10" s="8" t="inlineStr">
        <is>
          <t>PAV</t>
        </is>
      </c>
      <c r="C10" s="8" t="inlineStr">
        <is>
          <t>2200022695</t>
        </is>
      </c>
      <c r="D10" s="9" t="n">
        <v>837336.65</v>
      </c>
      <c r="E10" s="8" t="inlineStr">
        <is>
          <t>28/04/2026</t>
        </is>
      </c>
      <c r="F10" s="8" t="inlineStr">
        <is>
          <t>28/04/2026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28/04/2026</t>
        </is>
      </c>
      <c r="B11" s="8" t="inlineStr">
        <is>
          <t>PAV</t>
        </is>
      </c>
      <c r="C11" s="8" t="inlineStr">
        <is>
          <t>2200022696</t>
        </is>
      </c>
      <c r="D11" s="9" t="n">
        <v>135604.21</v>
      </c>
      <c r="E11" s="8" t="inlineStr">
        <is>
          <t>28/04/2026</t>
        </is>
      </c>
      <c r="F11" s="8" t="inlineStr">
        <is>
          <t>28/04/2026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28/04/2026</t>
        </is>
      </c>
      <c r="B12" s="8" t="inlineStr">
        <is>
          <t>PAV</t>
        </is>
      </c>
      <c r="C12" s="8" t="inlineStr">
        <is>
          <t>2200022698</t>
        </is>
      </c>
      <c r="D12" s="9" t="n">
        <v>1069093.08</v>
      </c>
      <c r="E12" s="8" t="inlineStr">
        <is>
          <t>28/04/2026</t>
        </is>
      </c>
      <c r="F12" s="8" t="inlineStr">
        <is>
          <t>28/04/2026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28/04/2026</t>
        </is>
      </c>
      <c r="B13" s="8" t="inlineStr">
        <is>
          <t>PAV</t>
        </is>
      </c>
      <c r="C13" s="8" t="inlineStr">
        <is>
          <t>2200022700</t>
        </is>
      </c>
      <c r="D13" s="9" t="n">
        <v>527458.36</v>
      </c>
      <c r="E13" s="8" t="inlineStr">
        <is>
          <t>28/04/2026</t>
        </is>
      </c>
      <c r="F13" s="8" t="inlineStr">
        <is>
          <t>28/04/2026</t>
        </is>
      </c>
      <c r="G13" s="8" t="inlineStr">
        <is>
          <t>CR LIQ MASTER DEB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28/04/2026</t>
        </is>
      </c>
      <c r="B14" s="8" t="inlineStr">
        <is>
          <t>PAV</t>
        </is>
      </c>
      <c r="C14" s="8" t="inlineStr">
        <is>
          <t>2200022703</t>
        </is>
      </c>
      <c r="D14" s="9" t="n">
        <v>43813.3</v>
      </c>
      <c r="E14" s="8" t="inlineStr">
        <is>
          <t>28/04/2026</t>
        </is>
      </c>
      <c r="F14" s="8" t="inlineStr">
        <is>
          <t>28/04/2026</t>
        </is>
      </c>
      <c r="G14" s="8" t="inlineStr">
        <is>
          <t>CR LIQ AMEX/MADQ FIS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28/04/2026</t>
        </is>
      </c>
      <c r="B15" s="8" t="inlineStr">
        <is>
          <t>PAV</t>
        </is>
      </c>
      <c r="C15" s="8" t="inlineStr">
        <is>
          <t>2100058167</t>
        </is>
      </c>
      <c r="D15" s="9" t="n">
        <v>8803.98</v>
      </c>
      <c r="E15" s="8" t="inlineStr">
        <is>
          <t>28/04/2026</t>
        </is>
      </c>
      <c r="F15" s="8" t="inlineStr">
        <is>
          <t>28/04/2026</t>
        </is>
      </c>
      <c r="G15" s="8" t="inlineStr">
        <is>
          <t>CR LIQ MASTERCARD 24H</t>
        </is>
      </c>
      <c r="H15" s="8" t="inlineStr">
        <is>
          <t>29841642</t>
        </is>
      </c>
      <c r="I15" s="8" t="inlineStr">
        <is>
          <t>No</t>
        </is>
      </c>
    </row>
    <row r="16">
      <c r="A16" s="8" t="inlineStr">
        <is>
          <t>28/04/2026</t>
        </is>
      </c>
      <c r="B16" s="8" t="inlineStr">
        <is>
          <t>PAV</t>
        </is>
      </c>
      <c r="C16" s="8" t="inlineStr">
        <is>
          <t>2100058168</t>
        </is>
      </c>
      <c r="D16" s="9" t="n">
        <v>46431.3</v>
      </c>
      <c r="E16" s="8" t="inlineStr">
        <is>
          <t>28/04/2026</t>
        </is>
      </c>
      <c r="F16" s="8" t="inlineStr">
        <is>
          <t>28/04/2026</t>
        </is>
      </c>
      <c r="G16" s="8" t="inlineStr">
        <is>
          <t>CR LIQ MASTER DEB 24H</t>
        </is>
      </c>
      <c r="H16" s="8" t="inlineStr">
        <is>
          <t>29841642</t>
        </is>
      </c>
      <c r="I16" s="8" t="inlineStr">
        <is>
          <t>No</t>
        </is>
      </c>
    </row>
    <row r="17">
      <c r="A17" s="8" t="inlineStr">
        <is>
          <t>28/04/2026</t>
        </is>
      </c>
      <c r="B17" s="8" t="inlineStr">
        <is>
          <t>PAV</t>
        </is>
      </c>
      <c r="C17" s="8" t="inlineStr">
        <is>
          <t>2100058169</t>
        </is>
      </c>
      <c r="D17" s="9" t="n">
        <v>87159.39999999999</v>
      </c>
      <c r="E17" s="8" t="inlineStr">
        <is>
          <t>28/04/2026</t>
        </is>
      </c>
      <c r="F17" s="8" t="inlineStr">
        <is>
          <t>28/04/2026</t>
        </is>
      </c>
      <c r="G17" s="8" t="inlineStr">
        <is>
          <t>CR LIQ MASTER DEB 24H</t>
        </is>
      </c>
      <c r="H17" s="8" t="inlineStr">
        <is>
          <t>29841642</t>
        </is>
      </c>
      <c r="I17" s="8" t="inlineStr">
        <is>
          <t>No</t>
        </is>
      </c>
    </row>
    <row r="18">
      <c r="A18" s="8" t="inlineStr">
        <is>
          <t>28/04/2026</t>
        </is>
      </c>
      <c r="B18" s="8" t="inlineStr">
        <is>
          <t>PAV</t>
        </is>
      </c>
      <c r="C18" s="8" t="inlineStr">
        <is>
          <t>2100058170</t>
        </is>
      </c>
      <c r="D18" s="9" t="n">
        <v>475638.04</v>
      </c>
      <c r="E18" s="8" t="inlineStr">
        <is>
          <t>28/04/2026</t>
        </is>
      </c>
      <c r="F18" s="8" t="inlineStr">
        <is>
          <t>28/04/2026</t>
        </is>
      </c>
      <c r="G18" s="8" t="inlineStr">
        <is>
          <t>CR LIQ MASTER DEB 24H</t>
        </is>
      </c>
      <c r="H18" s="8" t="inlineStr">
        <is>
          <t>29841642</t>
        </is>
      </c>
      <c r="I18" s="8" t="inlineStr">
        <is>
          <t>No</t>
        </is>
      </c>
    </row>
    <row r="19">
      <c r="A19" s="8" t="inlineStr">
        <is>
          <t>28/04/2026</t>
        </is>
      </c>
      <c r="B19" s="8" t="inlineStr">
        <is>
          <t>PAV</t>
        </is>
      </c>
      <c r="C19" s="8" t="inlineStr">
        <is>
          <t>2100058177</t>
        </is>
      </c>
      <c r="D19" s="9" t="n">
        <v>47832.46</v>
      </c>
      <c r="E19" s="8" t="inlineStr">
        <is>
          <t>28/04/2026</t>
        </is>
      </c>
      <c r="F19" s="8" t="inlineStr">
        <is>
          <t>28/04/2026</t>
        </is>
      </c>
      <c r="G19" s="8" t="inlineStr">
        <is>
          <t>CR DEBIN SPOT - CUIT/CUIL: 30711424179</t>
        </is>
      </c>
      <c r="H19" s="8" t="inlineStr">
        <is>
          <t>109261</t>
        </is>
      </c>
      <c r="I19" s="8" t="inlineStr">
        <is>
          <t>No</t>
        </is>
      </c>
    </row>
    <row r="20">
      <c r="A20" s="8" t="inlineStr">
        <is>
          <t>28/04/2026</t>
        </is>
      </c>
      <c r="B20" s="8" t="inlineStr">
        <is>
          <t>PAV</t>
        </is>
      </c>
      <c r="C20" s="8" t="inlineStr">
        <is>
          <t>1900043015</t>
        </is>
      </c>
      <c r="D20" s="9" t="n">
        <v>101309.74</v>
      </c>
      <c r="E20" s="8" t="inlineStr">
        <is>
          <t>28/04/2026</t>
        </is>
      </c>
      <c r="F20" s="8" t="inlineStr">
        <is>
          <t>28/04/2026</t>
        </is>
      </c>
      <c r="G20" s="8" t="inlineStr">
        <is>
          <t>CR DEBIN SPOT - CUIT/CUIL: 30711424179</t>
        </is>
      </c>
      <c r="H20" s="8" t="inlineStr">
        <is>
          <t>109244</t>
        </is>
      </c>
      <c r="I20" s="8" t="inlineStr">
        <is>
          <t>No</t>
        </is>
      </c>
    </row>
    <row r="21">
      <c r="A21" s="8" t="inlineStr">
        <is>
          <t>28/04/2026</t>
        </is>
      </c>
      <c r="B21" s="8" t="inlineStr">
        <is>
          <t>PAV</t>
        </is>
      </c>
      <c r="C21" s="8" t="inlineStr">
        <is>
          <t>2300014245</t>
        </is>
      </c>
      <c r="D21" s="9" t="n">
        <v>28719.28</v>
      </c>
      <c r="E21" s="8" t="inlineStr">
        <is>
          <t>28/04/2026</t>
        </is>
      </c>
      <c r="F21" s="8" t="inlineStr">
        <is>
          <t>28/04/2026</t>
        </is>
      </c>
      <c r="G21" s="8" t="inlineStr">
        <is>
          <t>CR DEBIN SPOT - CUIT/CUIL: 30711424179</t>
        </is>
      </c>
      <c r="H21" s="8" t="inlineStr">
        <is>
          <t>109282</t>
        </is>
      </c>
      <c r="I21" s="8" t="inlineStr">
        <is>
          <t>No</t>
        </is>
      </c>
    </row>
    <row r="22">
      <c r="A22" s="8" t="inlineStr">
        <is>
          <t>28/04/2026</t>
        </is>
      </c>
      <c r="B22" s="8" t="inlineStr">
        <is>
          <t>PAV</t>
        </is>
      </c>
      <c r="C22" s="8" t="inlineStr">
        <is>
          <t>2300014246</t>
        </is>
      </c>
      <c r="D22" s="9" t="n">
        <v>40603.12</v>
      </c>
      <c r="E22" s="8" t="inlineStr">
        <is>
          <t>28/04/2026</t>
        </is>
      </c>
      <c r="F22" s="8" t="inlineStr">
        <is>
          <t>28/04/2026</t>
        </is>
      </c>
      <c r="G22" s="8" t="inlineStr">
        <is>
          <t>CR DEBIN SPOT - CUIT/CUIL: 30711424179</t>
        </is>
      </c>
      <c r="H22" s="8" t="inlineStr">
        <is>
          <t>109281</t>
        </is>
      </c>
      <c r="I22" s="8" t="inlineStr">
        <is>
          <t>No</t>
        </is>
      </c>
    </row>
    <row r="23">
      <c r="A23" s="8" t="inlineStr">
        <is>
          <t>28/04/2026</t>
        </is>
      </c>
      <c r="B23" s="8" t="inlineStr">
        <is>
          <t>PAV</t>
        </is>
      </c>
      <c r="C23" s="8" t="inlineStr">
        <is>
          <t>2300014247</t>
        </is>
      </c>
      <c r="D23" s="9" t="n">
        <v>40603.12</v>
      </c>
      <c r="E23" s="8" t="inlineStr">
        <is>
          <t>28/04/2026</t>
        </is>
      </c>
      <c r="F23" s="8" t="inlineStr">
        <is>
          <t>28/04/2026</t>
        </is>
      </c>
      <c r="G23" s="8" t="inlineStr">
        <is>
          <t>CR DEBIN SPOT - CUIT/CUIL: 30711424179</t>
        </is>
      </c>
      <c r="H23" s="8" t="inlineStr">
        <is>
          <t>109280</t>
        </is>
      </c>
      <c r="I23" s="8" t="inlineStr">
        <is>
          <t>No</t>
        </is>
      </c>
    </row>
    <row r="24">
      <c r="A24" s="8" t="inlineStr">
        <is>
          <t>28/04/2026</t>
        </is>
      </c>
      <c r="B24" s="8" t="inlineStr">
        <is>
          <t>PAV</t>
        </is>
      </c>
      <c r="C24" s="8" t="inlineStr">
        <is>
          <t>2300014250</t>
        </is>
      </c>
      <c r="D24" s="9" t="n">
        <v>72491.42</v>
      </c>
      <c r="E24" s="8" t="inlineStr">
        <is>
          <t>28/04/2026</t>
        </is>
      </c>
      <c r="F24" s="8" t="inlineStr">
        <is>
          <t>28/04/2026</t>
        </is>
      </c>
      <c r="G24" s="8" t="inlineStr">
        <is>
          <t>CR DEBIN SPOT - CUIT/CUIL: 30711424179</t>
        </is>
      </c>
      <c r="H24" s="8" t="inlineStr">
        <is>
          <t>109283</t>
        </is>
      </c>
      <c r="I24" s="8" t="inlineStr">
        <is>
          <t>No</t>
        </is>
      </c>
    </row>
    <row r="25">
      <c r="A25" s="8" t="inlineStr">
        <is>
          <t>28/04/2026</t>
        </is>
      </c>
      <c r="B25" s="8" t="inlineStr">
        <is>
          <t>PAV</t>
        </is>
      </c>
      <c r="C25" s="8" t="inlineStr">
        <is>
          <t>3400068691</t>
        </is>
      </c>
      <c r="D25" s="9" t="n">
        <v>35215.92</v>
      </c>
      <c r="E25" s="8" t="inlineStr">
        <is>
          <t>28/04/2026</t>
        </is>
      </c>
      <c r="F25" s="8" t="inlineStr">
        <is>
          <t>28/04/2026</t>
        </is>
      </c>
      <c r="G25" s="8" t="inlineStr">
        <is>
          <t>CR LIQ MASTERCARD 24H</t>
        </is>
      </c>
      <c r="H25" s="8" t="inlineStr">
        <is>
          <t>29841705</t>
        </is>
      </c>
      <c r="I25" s="8" t="inlineStr">
        <is>
          <t>No</t>
        </is>
      </c>
    </row>
    <row r="26">
      <c r="A26" s="8" t="inlineStr">
        <is>
          <t>28/04/2026</t>
        </is>
      </c>
      <c r="B26" s="8" t="inlineStr">
        <is>
          <t>PAV</t>
        </is>
      </c>
      <c r="C26" s="8" t="inlineStr">
        <is>
          <t>3400068692</t>
        </is>
      </c>
      <c r="D26" s="9" t="n">
        <v>137416.89</v>
      </c>
      <c r="E26" s="8" t="inlineStr">
        <is>
          <t>28/04/2026</t>
        </is>
      </c>
      <c r="F26" s="8" t="inlineStr">
        <is>
          <t>28/04/2026</t>
        </is>
      </c>
      <c r="G26" s="8" t="inlineStr">
        <is>
          <t>CR LIQ MASTER DEB 24H</t>
        </is>
      </c>
      <c r="H26" s="8" t="inlineStr">
        <is>
          <t>29841705</t>
        </is>
      </c>
      <c r="I26" s="8" t="inlineStr">
        <is>
          <t>No</t>
        </is>
      </c>
    </row>
    <row r="27">
      <c r="A27" s="8" t="inlineStr">
        <is>
          <t>28/04/2026</t>
        </is>
      </c>
      <c r="B27" s="8" t="inlineStr">
        <is>
          <t>PAV</t>
        </is>
      </c>
      <c r="C27" s="8" t="inlineStr">
        <is>
          <t>3400068693</t>
        </is>
      </c>
      <c r="D27" s="9" t="n">
        <v>2934.66</v>
      </c>
      <c r="E27" s="8" t="inlineStr">
        <is>
          <t>28/04/2026</t>
        </is>
      </c>
      <c r="F27" s="8" t="inlineStr">
        <is>
          <t>28/04/2026</t>
        </is>
      </c>
      <c r="G27" s="8" t="inlineStr">
        <is>
          <t>CR LIQ MASTERCARD 24H</t>
        </is>
      </c>
      <c r="H27" s="8" t="inlineStr">
        <is>
          <t>29841705</t>
        </is>
      </c>
      <c r="I27" s="8" t="inlineStr">
        <is>
          <t>No</t>
        </is>
      </c>
    </row>
    <row r="28">
      <c r="A28" s="8" t="inlineStr">
        <is>
          <t>28/04/2026</t>
        </is>
      </c>
      <c r="B28" s="8" t="inlineStr">
        <is>
          <t>PAV</t>
        </is>
      </c>
      <c r="C28" s="8" t="inlineStr">
        <is>
          <t>3400068694</t>
        </is>
      </c>
      <c r="D28" s="9" t="n">
        <v>517403.64</v>
      </c>
      <c r="E28" s="8" t="inlineStr">
        <is>
          <t>28/04/2026</t>
        </is>
      </c>
      <c r="F28" s="8" t="inlineStr">
        <is>
          <t>28/04/2026</t>
        </is>
      </c>
      <c r="G28" s="8" t="inlineStr">
        <is>
          <t>CR LIQ MASTER DEB 24H</t>
        </is>
      </c>
      <c r="H28" s="8" t="inlineStr">
        <is>
          <t>29841705</t>
        </is>
      </c>
      <c r="I28" s="8" t="inlineStr">
        <is>
          <t>No</t>
        </is>
      </c>
    </row>
    <row r="29">
      <c r="A29" s="8" t="inlineStr">
        <is>
          <t>28/04/2026</t>
        </is>
      </c>
      <c r="B29" s="8" t="inlineStr">
        <is>
          <t>PAV</t>
        </is>
      </c>
      <c r="C29" s="8" t="inlineStr">
        <is>
          <t>3400068695</t>
        </is>
      </c>
      <c r="D29" s="9" t="n">
        <v>62606.08</v>
      </c>
      <c r="E29" s="8" t="inlineStr">
        <is>
          <t>28/04/2026</t>
        </is>
      </c>
      <c r="F29" s="8" t="inlineStr">
        <is>
          <t>28/04/2026</t>
        </is>
      </c>
      <c r="G29" s="8" t="inlineStr">
        <is>
          <t>CR LIQ MASTER DEB 24H</t>
        </is>
      </c>
      <c r="H29" s="8" t="inlineStr">
        <is>
          <t>29841705</t>
        </is>
      </c>
      <c r="I29" s="8" t="inlineStr">
        <is>
          <t>No</t>
        </is>
      </c>
    </row>
    <row r="30">
      <c r="A30" s="8" t="inlineStr">
        <is>
          <t>28/04/2026</t>
        </is>
      </c>
      <c r="B30" s="8" t="inlineStr">
        <is>
          <t>PAV</t>
        </is>
      </c>
      <c r="C30" s="8" t="inlineStr">
        <is>
          <t>1700037016</t>
        </is>
      </c>
      <c r="D30" s="9" t="n">
        <v>150259.59</v>
      </c>
      <c r="E30" s="8" t="inlineStr">
        <is>
          <t>28/04/2026</t>
        </is>
      </c>
      <c r="F30" s="8" t="inlineStr">
        <is>
          <t>28/04/2026</t>
        </is>
      </c>
      <c r="G30" s="8" t="inlineStr">
        <is>
          <t>CR LIQ MASTER DEB 24H</t>
        </is>
      </c>
      <c r="H30" s="8" t="inlineStr">
        <is>
          <t>29841627</t>
        </is>
      </c>
      <c r="I30" s="8" t="inlineStr">
        <is>
          <t>No</t>
        </is>
      </c>
    </row>
    <row r="31">
      <c r="A31" s="8" t="inlineStr">
        <is>
          <t>28/04/2026</t>
        </is>
      </c>
      <c r="B31" s="8" t="inlineStr">
        <is>
          <t>PAV</t>
        </is>
      </c>
      <c r="C31" s="8" t="inlineStr">
        <is>
          <t>1700037017</t>
        </is>
      </c>
      <c r="D31" s="9" t="n">
        <v>52823.88</v>
      </c>
      <c r="E31" s="8" t="inlineStr">
        <is>
          <t>28/04/2026</t>
        </is>
      </c>
      <c r="F31" s="8" t="inlineStr">
        <is>
          <t>28/04/2026</t>
        </is>
      </c>
      <c r="G31" s="8" t="inlineStr">
        <is>
          <t>CR LIQ MASTER DEB 24H</t>
        </is>
      </c>
      <c r="H31" s="8" t="inlineStr">
        <is>
          <t>29841627</t>
        </is>
      </c>
      <c r="I31" s="8" t="inlineStr">
        <is>
          <t>No</t>
        </is>
      </c>
    </row>
    <row r="32">
      <c r="A32" s="8" t="inlineStr">
        <is>
          <t>28/04/2026</t>
        </is>
      </c>
      <c r="B32" s="8" t="inlineStr">
        <is>
          <t>PAV</t>
        </is>
      </c>
      <c r="C32" s="8" t="inlineStr">
        <is>
          <t>1700037020</t>
        </is>
      </c>
      <c r="D32" s="9" t="n">
        <v>76157.21000000001</v>
      </c>
      <c r="E32" s="8" t="inlineStr">
        <is>
          <t>28/04/2026</t>
        </is>
      </c>
      <c r="F32" s="8" t="inlineStr">
        <is>
          <t>28/04/2026</t>
        </is>
      </c>
      <c r="G32" s="8" t="inlineStr">
        <is>
          <t>CR LIQ MASTER DEB 24H</t>
        </is>
      </c>
      <c r="H32" s="8" t="inlineStr">
        <is>
          <t>29841627</t>
        </is>
      </c>
      <c r="I32" s="8" t="inlineStr">
        <is>
          <t>No</t>
        </is>
      </c>
    </row>
    <row r="33">
      <c r="A33" s="8" t="inlineStr">
        <is>
          <t>28/04/2026</t>
        </is>
      </c>
      <c r="B33" s="8" t="inlineStr">
        <is>
          <t>PAV</t>
        </is>
      </c>
      <c r="C33" s="8" t="inlineStr">
        <is>
          <t>1800042938</t>
        </is>
      </c>
      <c r="D33" s="9" t="n">
        <v>36146.68</v>
      </c>
      <c r="E33" s="8" t="inlineStr">
        <is>
          <t>28/04/2026</t>
        </is>
      </c>
      <c r="F33" s="8" t="inlineStr">
        <is>
          <t>28/04/2026</t>
        </is>
      </c>
      <c r="G33" s="8" t="inlineStr">
        <is>
          <t>CR DEBIN SPOT - CUIT/CUIL: 30711424179</t>
        </is>
      </c>
      <c r="H33" s="8" t="inlineStr">
        <is>
          <t>109243</t>
        </is>
      </c>
      <c r="I33" s="8" t="inlineStr">
        <is>
          <t>No</t>
        </is>
      </c>
    </row>
    <row r="34">
      <c r="A34" s="8" t="inlineStr">
        <is>
          <t>28/04/2026</t>
        </is>
      </c>
      <c r="B34" s="8" t="inlineStr">
        <is>
          <t>PAV</t>
        </is>
      </c>
      <c r="C34" s="8" t="inlineStr">
        <is>
          <t>1800042939</t>
        </is>
      </c>
      <c r="D34" s="9" t="n">
        <v>21390.91</v>
      </c>
      <c r="E34" s="8" t="inlineStr">
        <is>
          <t>28/04/2026</t>
        </is>
      </c>
      <c r="F34" s="8" t="inlineStr">
        <is>
          <t>28/04/2026</t>
        </is>
      </c>
      <c r="G34" s="8" t="inlineStr">
        <is>
          <t>CR DEBIN SPOT</t>
        </is>
      </c>
      <c r="H34" s="8" t="inlineStr">
        <is>
          <t>109284</t>
        </is>
      </c>
      <c r="I34" s="8" t="inlineStr">
        <is>
          <t>No</t>
        </is>
      </c>
    </row>
  </sheetData>
  <autoFilter ref="A1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28/04/2026</t>
        </is>
      </c>
      <c r="B2" s="8" t="inlineStr">
        <is>
          <t>Completa</t>
        </is>
      </c>
      <c r="C2" s="8" t="inlineStr">
        <is>
          <t>31995644</t>
        </is>
      </c>
      <c r="D2" s="8" t="inlineStr">
        <is>
          <t>Local 7</t>
        </is>
      </c>
      <c r="E2" s="8" t="inlineStr">
        <is>
          <t>69443513</t>
        </is>
      </c>
      <c r="F2" s="8" t="inlineStr">
        <is>
          <t>718</t>
        </is>
      </c>
      <c r="G2" s="9" t="n">
        <v>105100</v>
      </c>
      <c r="H2" s="9" t="n">
        <v>104082.63</v>
      </c>
      <c r="I2" s="8" t="inlineStr">
        <is>
          <t>No</t>
        </is>
      </c>
      <c r="J2" s="8" t="inlineStr">
        <is>
          <t>No</t>
        </is>
      </c>
      <c r="K2" s="8" t="inlineStr">
        <is>
          <t>Revisar</t>
        </is>
      </c>
    </row>
    <row r="3">
      <c r="A3" s="8" t="inlineStr">
        <is>
          <t>28/04/2026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39943954</t>
        </is>
      </c>
      <c r="F3" s="8" t="inlineStr">
        <is>
          <t>508</t>
        </is>
      </c>
      <c r="G3" s="9" t="n">
        <v>13500</v>
      </c>
      <c r="H3" s="9" t="n">
        <v>13369.32</v>
      </c>
      <c r="I3" s="8" t="inlineStr">
        <is>
          <t>Sí</t>
        </is>
      </c>
      <c r="J3" s="8" t="inlineStr">
        <is>
          <t>No</t>
        </is>
      </c>
      <c r="K3" s="8" t="inlineStr">
        <is>
          <t>En banco, NO en Flexxus</t>
        </is>
      </c>
    </row>
    <row r="4">
      <c r="A4" s="8" t="inlineStr">
        <is>
          <t>28/04/2026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1368</t>
        </is>
      </c>
      <c r="G4" s="9" t="n">
        <v>32400</v>
      </c>
      <c r="H4" s="9" t="n">
        <v>32086.37</v>
      </c>
      <c r="I4" s="8" t="inlineStr">
        <is>
          <t>Sí</t>
        </is>
      </c>
      <c r="J4" s="8" t="inlineStr">
        <is>
          <t>No</t>
        </is>
      </c>
      <c r="K4" s="8" t="inlineStr">
        <is>
          <t>En banco, NO en Flexxus</t>
        </is>
      </c>
    </row>
    <row r="5">
      <c r="A5" s="8" t="inlineStr">
        <is>
          <t>28/04/2026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1365</t>
        </is>
      </c>
      <c r="G5" s="9" t="n">
        <v>21300</v>
      </c>
      <c r="H5" s="9" t="n">
        <v>21093.82</v>
      </c>
      <c r="I5" s="8" t="inlineStr">
        <is>
          <t>Sí</t>
        </is>
      </c>
      <c r="J5" s="8" t="inlineStr">
        <is>
          <t>No</t>
        </is>
      </c>
      <c r="K5" s="8" t="inlineStr">
        <is>
          <t>En banco, NO en Flexxus</t>
        </is>
      </c>
    </row>
    <row r="6">
      <c r="A6" s="8" t="inlineStr">
        <is>
          <t>28/04/2026</t>
        </is>
      </c>
      <c r="B6" s="8" t="inlineStr">
        <is>
          <t>Completa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69343173</t>
        </is>
      </c>
      <c r="F6" s="8" t="inlineStr">
        <is>
          <t>1697</t>
        </is>
      </c>
      <c r="G6" s="9" t="n">
        <v>21600</v>
      </c>
      <c r="H6" s="9" t="n">
        <v>21390.91</v>
      </c>
      <c r="I6" s="8" t="inlineStr">
        <is>
          <t>Sí</t>
        </is>
      </c>
      <c r="J6" s="8" t="inlineStr">
        <is>
          <t>Sí</t>
        </is>
      </c>
      <c r="K6" s="8" t="inlineStr">
        <is>
          <t>OK - en banco y Flexxus</t>
        </is>
      </c>
    </row>
    <row r="7">
      <c r="A7" s="8" t="inlineStr">
        <is>
          <t>28/04/2026</t>
        </is>
      </c>
      <c r="B7" s="8" t="inlineStr">
        <is>
          <t>Completa</t>
        </is>
      </c>
      <c r="C7" s="8" t="inlineStr">
        <is>
          <t>32032899</t>
        </is>
      </c>
      <c r="D7" s="8" t="inlineStr">
        <is>
          <t>Local 8</t>
        </is>
      </c>
      <c r="E7" s="8" t="inlineStr">
        <is>
          <t>69443515</t>
        </is>
      </c>
      <c r="F7" s="8" t="inlineStr">
        <is>
          <t>1364</t>
        </is>
      </c>
      <c r="G7" s="9" t="n">
        <v>73200</v>
      </c>
      <c r="H7" s="9" t="n">
        <v>72491.42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28/04/2026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1363</t>
        </is>
      </c>
      <c r="G8" s="9" t="n">
        <v>29000</v>
      </c>
      <c r="H8" s="9" t="n">
        <v>28719.28</v>
      </c>
      <c r="I8" s="8" t="inlineStr">
        <is>
          <t>Sí</t>
        </is>
      </c>
      <c r="J8" s="8" t="inlineStr">
        <is>
          <t>Sí</t>
        </is>
      </c>
      <c r="K8" s="8" t="inlineStr">
        <is>
          <t>OK - en banco y Flexxus</t>
        </is>
      </c>
    </row>
    <row r="9">
      <c r="A9" s="8" t="inlineStr">
        <is>
          <t>28/04/2026</t>
        </is>
      </c>
      <c r="B9" s="8" t="inlineStr">
        <is>
          <t>Completa</t>
        </is>
      </c>
      <c r="C9" s="8" t="inlineStr">
        <is>
          <t>32032899</t>
        </is>
      </c>
      <c r="D9" s="8" t="inlineStr">
        <is>
          <t>Local 8</t>
        </is>
      </c>
      <c r="E9" s="8" t="inlineStr">
        <is>
          <t>69443515</t>
        </is>
      </c>
      <c r="F9" s="8" t="inlineStr">
        <is>
          <t>1362</t>
        </is>
      </c>
      <c r="G9" s="9" t="n">
        <v>41000</v>
      </c>
      <c r="H9" s="9" t="n">
        <v>40603.12</v>
      </c>
      <c r="I9" s="8" t="inlineStr">
        <is>
          <t>Sí</t>
        </is>
      </c>
      <c r="J9" s="8" t="inlineStr">
        <is>
          <t>Sí</t>
        </is>
      </c>
      <c r="K9" s="8" t="inlineStr">
        <is>
          <t>OK - en banco y Flexxus</t>
        </is>
      </c>
    </row>
    <row r="10">
      <c r="A10" s="8" t="inlineStr">
        <is>
          <t>28/04/2026</t>
        </is>
      </c>
      <c r="B10" s="8" t="inlineStr">
        <is>
          <t>Completa</t>
        </is>
      </c>
      <c r="C10" s="8" t="inlineStr">
        <is>
          <t>32032899</t>
        </is>
      </c>
      <c r="D10" s="8" t="inlineStr">
        <is>
          <t>Local 8</t>
        </is>
      </c>
      <c r="E10" s="8" t="inlineStr">
        <is>
          <t>69443515</t>
        </is>
      </c>
      <c r="F10" s="8" t="inlineStr">
        <is>
          <t>1361</t>
        </is>
      </c>
      <c r="G10" s="9" t="n">
        <v>41000</v>
      </c>
      <c r="H10" s="9" t="n">
        <v>40603.12</v>
      </c>
      <c r="I10" s="8" t="inlineStr">
        <is>
          <t>Sí</t>
        </is>
      </c>
      <c r="J10" s="8" t="inlineStr">
        <is>
          <t>Sí</t>
        </is>
      </c>
      <c r="K10" s="8" t="inlineStr">
        <is>
          <t>OK - en banco y Flexxus</t>
        </is>
      </c>
    </row>
    <row r="11">
      <c r="A11" s="8" t="inlineStr">
        <is>
          <t>28/04/2026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401</t>
        </is>
      </c>
      <c r="G11" s="9" t="n">
        <v>48300</v>
      </c>
      <c r="H11" s="9" t="n">
        <v>47832.46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28/04/2026</t>
        </is>
      </c>
      <c r="B12" s="8" t="inlineStr">
        <is>
          <t>Completa</t>
        </is>
      </c>
      <c r="C12" s="8" t="inlineStr">
        <is>
          <t>29841670</t>
        </is>
      </c>
      <c r="D12" s="8" t="inlineStr">
        <is>
          <t>Local 5</t>
        </is>
      </c>
      <c r="E12" s="8" t="inlineStr">
        <is>
          <t>39943954</t>
        </is>
      </c>
      <c r="F12" s="8" t="inlineStr">
        <is>
          <t>504</t>
        </is>
      </c>
      <c r="G12" s="9" t="n">
        <v>102300</v>
      </c>
      <c r="H12" s="9" t="n">
        <v>101309.74</v>
      </c>
      <c r="I12" s="8" t="inlineStr">
        <is>
          <t>Sí</t>
        </is>
      </c>
      <c r="J12" s="8" t="inlineStr">
        <is>
          <t>Sí</t>
        </is>
      </c>
      <c r="K12" s="8" t="inlineStr">
        <is>
          <t>OK - en banco y Flexxus</t>
        </is>
      </c>
    </row>
    <row r="13">
      <c r="A13" s="8" t="inlineStr">
        <is>
          <t>28/04/2026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69343173</t>
        </is>
      </c>
      <c r="F13" s="8" t="inlineStr">
        <is>
          <t>1695</t>
        </is>
      </c>
      <c r="G13" s="9" t="n">
        <v>36500</v>
      </c>
      <c r="H13" s="9" t="n">
        <v>36146.68</v>
      </c>
      <c r="I13" s="8" t="inlineStr">
        <is>
          <t>Sí</t>
        </is>
      </c>
      <c r="J13" s="8" t="inlineStr">
        <is>
          <t>Sí</t>
        </is>
      </c>
      <c r="K13" s="8" t="inlineStr">
        <is>
          <t>OK - en banco y Flexxus</t>
        </is>
      </c>
    </row>
    <row r="14">
      <c r="A14" s="8" t="inlineStr">
        <is>
          <t>28/04/2026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39943954</t>
        </is>
      </c>
      <c r="F14" s="8" t="inlineStr">
        <is>
          <t>499</t>
        </is>
      </c>
      <c r="G14" s="9" t="n">
        <v>11500</v>
      </c>
      <c r="H14" s="9" t="n">
        <v>11388.68</v>
      </c>
      <c r="I14" s="8" t="inlineStr">
        <is>
          <t>Sí</t>
        </is>
      </c>
      <c r="J14" s="8" t="inlineStr">
        <is>
          <t>No</t>
        </is>
      </c>
      <c r="K14" s="8" t="inlineStr">
        <is>
          <t>En banco, NO en Flexxus</t>
        </is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28/04/2026</t>
        </is>
      </c>
      <c r="B2" s="8" t="inlineStr">
        <is>
          <t>342523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52823.88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28/04/2026</t>
        </is>
      </c>
      <c r="B3" s="8" t="inlineStr">
        <is>
          <t>343044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Mastercard Debit</t>
        </is>
      </c>
      <c r="F3" s="9" t="n">
        <v>76157.21000000001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28/04/2026</t>
        </is>
      </c>
      <c r="B4" s="8" t="inlineStr">
        <is>
          <t>343075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150259.59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28/04/2026</t>
        </is>
      </c>
      <c r="B5" s="8" t="inlineStr">
        <is>
          <t>342511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8803.98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28/04/2026</t>
        </is>
      </c>
      <c r="B6" s="8" t="inlineStr">
        <is>
          <t>342524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87159.39999999999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28/04/2026</t>
        </is>
      </c>
      <c r="B7" s="8" t="inlineStr">
        <is>
          <t>343045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Mastercard Debit</t>
        </is>
      </c>
      <c r="F7" s="9" t="n">
        <v>46431.3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28/04/2026</t>
        </is>
      </c>
      <c r="B8" s="8" t="inlineStr">
        <is>
          <t>343076</t>
        </is>
      </c>
      <c r="C8" s="8" t="inlineStr">
        <is>
          <t>29841642</t>
        </is>
      </c>
      <c r="D8" s="8" t="inlineStr">
        <is>
          <t>Local 1</t>
        </is>
      </c>
      <c r="E8" s="8" t="inlineStr">
        <is>
          <t>Visa Débito</t>
        </is>
      </c>
      <c r="F8" s="9" t="n">
        <v>475638.04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28/04/2026</t>
        </is>
      </c>
      <c r="B9" s="8" t="inlineStr">
        <is>
          <t>342525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27194.52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28/04/2026</t>
        </is>
      </c>
      <c r="B10" s="8" t="inlineStr">
        <is>
          <t>343046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Mastercard Debit</t>
        </is>
      </c>
      <c r="F10" s="9" t="n">
        <v>114892.77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28/04/2026</t>
        </is>
      </c>
      <c r="B11" s="8" t="inlineStr">
        <is>
          <t>343077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Visa Débito</t>
        </is>
      </c>
      <c r="F11" s="9" t="n">
        <v>594633.96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28/04/2026</t>
        </is>
      </c>
      <c r="B12" s="8" t="inlineStr">
        <is>
          <t>342526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31694.33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28/04/2026</t>
        </is>
      </c>
      <c r="B13" s="8" t="inlineStr">
        <is>
          <t>343047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278206.92</v>
      </c>
      <c r="G13" s="8" t="inlineStr">
        <is>
          <t>No</t>
        </is>
      </c>
      <c r="H13" s="8" t="inlineStr">
        <is>
          <t>Revisar</t>
        </is>
      </c>
    </row>
    <row r="14">
      <c r="A14" s="8" t="inlineStr">
        <is>
          <t>28/04/2026</t>
        </is>
      </c>
      <c r="B14" s="8" t="inlineStr">
        <is>
          <t>343078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274651.56</v>
      </c>
      <c r="G14" s="8" t="inlineStr">
        <is>
          <t>No</t>
        </is>
      </c>
      <c r="H14" s="8" t="inlineStr">
        <is>
          <t>Revisar</t>
        </is>
      </c>
    </row>
    <row r="15">
      <c r="A15" s="8" t="inlineStr">
        <is>
          <t>28/04/2026</t>
        </is>
      </c>
      <c r="B15" s="8" t="inlineStr">
        <is>
          <t>341277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35215.92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28/04/2026</t>
        </is>
      </c>
      <c r="B16" s="8" t="inlineStr">
        <is>
          <t>342527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Visa Crédito</t>
        </is>
      </c>
      <c r="F16" s="9" t="n">
        <v>62606.08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28/04/2026</t>
        </is>
      </c>
      <c r="B17" s="8" t="inlineStr">
        <is>
          <t>343048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Mastercard Debit</t>
        </is>
      </c>
      <c r="F17" s="9" t="n">
        <v>137416.89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28/04/2026</t>
        </is>
      </c>
      <c r="B18" s="8" t="inlineStr">
        <is>
          <t>343079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Visa Débito</t>
        </is>
      </c>
      <c r="F18" s="9" t="n">
        <v>517403.64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28/04/2026</t>
        </is>
      </c>
      <c r="B19" s="8" t="inlineStr">
        <is>
          <t>343098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Mastercard Crédito</t>
        </is>
      </c>
      <c r="F19" s="9" t="n">
        <v>2934.66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28/04/2026</t>
        </is>
      </c>
      <c r="B20" s="8" t="inlineStr">
        <is>
          <t>341280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85007.32000000001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28/04/2026</t>
        </is>
      </c>
      <c r="B21" s="8" t="inlineStr">
        <is>
          <t>341296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527458.36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28/04/2026</t>
        </is>
      </c>
      <c r="B22" s="8" t="inlineStr">
        <is>
          <t>342515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84811.67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28/04/2026</t>
        </is>
      </c>
      <c r="B23" s="8" t="inlineStr">
        <is>
          <t>342532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1069093.08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28/04/2026</t>
        </is>
      </c>
      <c r="B24" s="8" t="inlineStr">
        <is>
          <t>342539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Amex</t>
        </is>
      </c>
      <c r="F24" s="9" t="n">
        <v>43813.3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28/04/2026</t>
        </is>
      </c>
      <c r="B25" s="8" t="inlineStr">
        <is>
          <t>342989</t>
        </is>
      </c>
      <c r="C25" s="8" t="inlineStr">
        <is>
          <t>31995644</t>
        </is>
      </c>
      <c r="D25" s="8" t="inlineStr">
        <is>
          <t>Local 7</t>
        </is>
      </c>
      <c r="E25" s="8" t="inlineStr">
        <is>
          <t>Mastercard Crédito</t>
        </is>
      </c>
      <c r="F25" s="9" t="n">
        <v>-75.09999999999999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28/04/2026</t>
        </is>
      </c>
      <c r="B26" s="8" t="inlineStr">
        <is>
          <t>343059</t>
        </is>
      </c>
      <c r="C26" s="8" t="inlineStr">
        <is>
          <t>31995644</t>
        </is>
      </c>
      <c r="D26" s="8" t="inlineStr">
        <is>
          <t>Local 7</t>
        </is>
      </c>
      <c r="E26" s="8" t="inlineStr">
        <is>
          <t>Mastercard Debit</t>
        </is>
      </c>
      <c r="F26" s="9" t="n">
        <v>431186.16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28/04/2026</t>
        </is>
      </c>
      <c r="B27" s="8" t="inlineStr">
        <is>
          <t>343090</t>
        </is>
      </c>
      <c r="C27" s="8" t="inlineStr">
        <is>
          <t>31995644</t>
        </is>
      </c>
      <c r="D27" s="8" t="inlineStr">
        <is>
          <t>Local 7</t>
        </is>
      </c>
      <c r="E27" s="8" t="inlineStr">
        <is>
          <t>Visa Débito</t>
        </is>
      </c>
      <c r="F27" s="9" t="n">
        <v>837336.65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28/04/2026</t>
        </is>
      </c>
      <c r="B28" s="8" t="inlineStr">
        <is>
          <t>343140</t>
        </is>
      </c>
      <c r="C28" s="8" t="inlineStr">
        <is>
          <t>31995644</t>
        </is>
      </c>
      <c r="D28" s="8" t="inlineStr">
        <is>
          <t>Local 7</t>
        </is>
      </c>
      <c r="E28" s="8" t="inlineStr">
        <is>
          <t>Visa Crédito</t>
        </is>
      </c>
      <c r="F28" s="9" t="n">
        <v>135604.21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28/04/2026</t>
        </is>
      </c>
      <c r="B29" s="8" t="inlineStr">
        <is>
          <t>341281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59377.95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28/04/2026</t>
        </is>
      </c>
      <c r="B30" s="8" t="inlineStr">
        <is>
          <t>341297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152029.24</v>
      </c>
      <c r="G30" s="8" t="inlineStr">
        <is>
          <t>No</t>
        </is>
      </c>
      <c r="H30" s="8" t="inlineStr">
        <is>
          <t>Revisar</t>
        </is>
      </c>
    </row>
    <row r="31">
      <c r="A31" s="8" t="inlineStr">
        <is>
          <t>28/04/2026</t>
        </is>
      </c>
      <c r="B31" s="8" t="inlineStr">
        <is>
          <t>342533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273975.26</v>
      </c>
      <c r="G31" s="8" t="inlineStr">
        <is>
          <t>No</t>
        </is>
      </c>
      <c r="H31" s="8" t="inlineStr">
        <is>
          <t>Revisar</t>
        </is>
      </c>
    </row>
    <row r="32">
      <c r="A32" s="8" t="inlineStr">
        <is>
          <t>28/04/2026</t>
        </is>
      </c>
      <c r="B32" s="8" t="inlineStr">
        <is>
          <t>342540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Amex</t>
        </is>
      </c>
      <c r="F32" s="9" t="n">
        <v>72828.22</v>
      </c>
      <c r="G32" s="8" t="inlineStr">
        <is>
          <t>No</t>
        </is>
      </c>
      <c r="H32" s="8" t="inlineStr">
        <is>
          <t>Revisar</t>
        </is>
      </c>
    </row>
    <row r="33">
      <c r="A33" s="8" t="inlineStr">
        <is>
          <t>28/04/2026</t>
        </is>
      </c>
      <c r="B33" s="8" t="inlineStr">
        <is>
          <t>343060</t>
        </is>
      </c>
      <c r="C33" s="8" t="inlineStr">
        <is>
          <t>32032899</t>
        </is>
      </c>
      <c r="D33" s="8" t="inlineStr">
        <is>
          <t>Local 8</t>
        </is>
      </c>
      <c r="E33" s="8" t="inlineStr">
        <is>
          <t>Mastercard Debit</t>
        </is>
      </c>
      <c r="F33" s="9" t="n">
        <v>113213.34</v>
      </c>
      <c r="G33" s="8" t="inlineStr">
        <is>
          <t>No</t>
        </is>
      </c>
      <c r="H33" s="8" t="inlineStr">
        <is>
          <t>Revisar</t>
        </is>
      </c>
    </row>
    <row r="34">
      <c r="A34" s="8" t="inlineStr">
        <is>
          <t>28/04/2026</t>
        </is>
      </c>
      <c r="B34" s="8" t="inlineStr">
        <is>
          <t>343091</t>
        </is>
      </c>
      <c r="C34" s="8" t="inlineStr">
        <is>
          <t>32032899</t>
        </is>
      </c>
      <c r="D34" s="8" t="inlineStr">
        <is>
          <t>Local 8</t>
        </is>
      </c>
      <c r="E34" s="8" t="inlineStr">
        <is>
          <t>Visa Débito</t>
        </is>
      </c>
      <c r="F34" s="9" t="n">
        <v>2045023.32</v>
      </c>
      <c r="G34" s="8" t="inlineStr">
        <is>
          <t>No</t>
        </is>
      </c>
      <c r="H34" s="8" t="inlineStr">
        <is>
          <t>Revisar</t>
        </is>
      </c>
    </row>
    <row r="35">
      <c r="A35" s="8" t="inlineStr">
        <is>
          <t>28/04/2026</t>
        </is>
      </c>
      <c r="B35" s="8" t="inlineStr">
        <is>
          <t>343141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Visa Crédito</t>
        </is>
      </c>
      <c r="F35" s="9" t="n">
        <v>32085.62</v>
      </c>
      <c r="G35" s="8" t="inlineStr">
        <is>
          <t>No</t>
        </is>
      </c>
      <c r="H35" s="8" t="inlineStr">
        <is>
          <t>Revisar</t>
        </is>
      </c>
    </row>
  </sheetData>
  <autoFilter ref="A1:H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8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9404003.270000001</v>
      </c>
      <c r="D3" s="9" t="n">
        <v>12561191.25</v>
      </c>
      <c r="E3" s="9" t="n">
        <v>-3157187.98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2163103.44</v>
      </c>
      <c r="D4" s="9" t="n">
        <v>4083194.85</v>
      </c>
      <c r="E4" s="9" t="n">
        <v>-1920091.41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10297833.36</v>
      </c>
      <c r="D5" s="9" t="n">
        <v>10645630.49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0</v>
      </c>
      <c r="D6" s="9" t="n">
        <v>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28/04/2026</t>
        </is>
      </c>
      <c r="C11" s="8" t="inlineStr">
        <is>
          <t>109285</t>
        </is>
      </c>
      <c r="D11" s="8" t="inlineStr">
        <is>
          <t>GRAVAMEN LEY 25413 S/DEB</t>
        </is>
      </c>
      <c r="E11" s="9" t="n">
        <v>1.27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28/04/2026</t>
        </is>
      </c>
      <c r="C12" s="8" t="inlineStr">
        <is>
          <t>109284</t>
        </is>
      </c>
      <c r="D12" s="8" t="inlineStr">
        <is>
          <t>GRAVAMEN LEY 25413 S/DEB</t>
        </is>
      </c>
      <c r="E12" s="9" t="n">
        <v>1.28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28/04/2026</t>
        </is>
      </c>
      <c r="C13" s="8" t="inlineStr">
        <is>
          <t>109283</t>
        </is>
      </c>
      <c r="D13" s="8" t="inlineStr">
        <is>
          <t>GRAVAMEN LEY 25413 S/DEB</t>
        </is>
      </c>
      <c r="E13" s="9" t="n">
        <v>4.35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28/04/2026</t>
        </is>
      </c>
      <c r="C14" s="8" t="inlineStr">
        <is>
          <t>109280</t>
        </is>
      </c>
      <c r="D14" s="8" t="inlineStr">
        <is>
          <t>GRAVAMEN LEY 25413 S/DEB</t>
        </is>
      </c>
      <c r="E14" s="9" t="n">
        <v>2.44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28/04/2026</t>
        </is>
      </c>
      <c r="C15" s="8" t="inlineStr">
        <is>
          <t>32032899</t>
        </is>
      </c>
      <c r="D15" s="8" t="inlineStr">
        <is>
          <t>GRAVAMEN LEY 25413 S/DEB</t>
        </is>
      </c>
      <c r="E15" s="9" t="n">
        <v>122.7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28/04/2026</t>
        </is>
      </c>
      <c r="C16" s="8" t="inlineStr">
        <is>
          <t>31995644</t>
        </is>
      </c>
      <c r="D16" s="8" t="inlineStr">
        <is>
          <t>GRAVAMEN LEY 25413 S/DEB</t>
        </is>
      </c>
      <c r="E16" s="9" t="n">
        <v>50.24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28/04/2026</t>
        </is>
      </c>
      <c r="C17" s="8" t="inlineStr">
        <is>
          <t>29841705</t>
        </is>
      </c>
      <c r="D17" s="8" t="inlineStr">
        <is>
          <t>GRAVAMEN LEY 25413 S/DEB</t>
        </is>
      </c>
      <c r="E17" s="9" t="n">
        <v>31.04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28/04/2026</t>
        </is>
      </c>
      <c r="C18" s="8" t="inlineStr">
        <is>
          <t>29841683</t>
        </is>
      </c>
      <c r="D18" s="8" t="inlineStr">
        <is>
          <t>GRAVAMEN LEY 25413 S/DEB</t>
        </is>
      </c>
      <c r="E18" s="9" t="n">
        <v>16.48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28/04/2026</t>
        </is>
      </c>
      <c r="C19" s="8" t="inlineStr">
        <is>
          <t>29841670</t>
        </is>
      </c>
      <c r="D19" s="8" t="inlineStr">
        <is>
          <t>GRAVAMEN LEY 25413 S/DEB</t>
        </is>
      </c>
      <c r="E19" s="9" t="n">
        <v>35.68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28/04/2026</t>
        </is>
      </c>
      <c r="C20" s="8" t="inlineStr">
        <is>
          <t>31995644</t>
        </is>
      </c>
      <c r="D20" s="8" t="inlineStr">
        <is>
          <t>GRAVAMEN LEY 25413 S/DEB</t>
        </is>
      </c>
      <c r="E20" s="9" t="n">
        <v>25.87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28/04/2026</t>
        </is>
      </c>
      <c r="C21" s="8" t="inlineStr">
        <is>
          <t>29841705</t>
        </is>
      </c>
      <c r="D21" s="8" t="inlineStr">
        <is>
          <t>GRAVAMEN LEY 25413 S/DEB</t>
        </is>
      </c>
      <c r="E21" s="9" t="n">
        <v>8.25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28/04/2026</t>
        </is>
      </c>
      <c r="C22" s="8" t="inlineStr">
        <is>
          <t>29841683</t>
        </is>
      </c>
      <c r="D22" s="8" t="inlineStr">
        <is>
          <t>GRAVAMEN LEY 25413 S/DEB</t>
        </is>
      </c>
      <c r="E22" s="9" t="n">
        <v>16.69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28/04/2026</t>
        </is>
      </c>
      <c r="C23" s="8" t="inlineStr">
        <is>
          <t>29841670</t>
        </is>
      </c>
      <c r="D23" s="8" t="inlineStr">
        <is>
          <t>GRAVAMEN LEY 25413 S/DEB</t>
        </is>
      </c>
      <c r="E23" s="9" t="n">
        <v>6.89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28/04/2026</t>
        </is>
      </c>
      <c r="C24" s="8" t="inlineStr">
        <is>
          <t>31995644</t>
        </is>
      </c>
      <c r="D24" s="8" t="inlineStr">
        <is>
          <t>GRAVAMEN LEY 25413 S/DEB</t>
        </is>
      </c>
      <c r="E24" s="9" t="n">
        <v>8.140000000000001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28/04/2026</t>
        </is>
      </c>
      <c r="C25" s="8" t="inlineStr">
        <is>
          <t>29841705</t>
        </is>
      </c>
      <c r="D25" s="8" t="inlineStr">
        <is>
          <t>GRAVAMEN LEY 25413 S/DEB</t>
        </is>
      </c>
      <c r="E25" s="9" t="n">
        <v>0.18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28/04/2026</t>
        </is>
      </c>
      <c r="C26" s="8" t="inlineStr">
        <is>
          <t>109261</t>
        </is>
      </c>
      <c r="D26" s="8" t="inlineStr">
        <is>
          <t>GRAVAMEN LEY 25413 S/DEB</t>
        </is>
      </c>
      <c r="E26" s="9" t="n">
        <v>2.87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28/04/2026</t>
        </is>
      </c>
      <c r="C27" s="8" t="inlineStr">
        <is>
          <t>32032899</t>
        </is>
      </c>
      <c r="D27" s="8" t="inlineStr">
        <is>
          <t>GRAVAMEN LEY 25413 S/DEB</t>
        </is>
      </c>
      <c r="E27" s="9" t="n">
        <v>16.44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28/04/2026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9.119999999999999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28/04/2026</t>
        </is>
      </c>
      <c r="C29" s="8" t="inlineStr">
        <is>
          <t>31995644</t>
        </is>
      </c>
      <c r="D29" s="8" t="inlineStr">
        <is>
          <t>GRAVAMEN LEY 25413 S/DEB</t>
        </is>
      </c>
      <c r="E29" s="9" t="n">
        <v>64.15000000000001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28/04/2026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31.65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28/04/2026</t>
        </is>
      </c>
      <c r="C31" s="8" t="inlineStr">
        <is>
          <t>29841642</t>
        </is>
      </c>
      <c r="D31" s="8" t="inlineStr">
        <is>
          <t>GRAVAMEN LEY 25413 S/DEB</t>
        </is>
      </c>
      <c r="E31" s="9" t="n">
        <v>5.23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28/04/2026</t>
        </is>
      </c>
      <c r="C32" s="8" t="inlineStr">
        <is>
          <t>109244</t>
        </is>
      </c>
      <c r="D32" s="8" t="inlineStr">
        <is>
          <t>GRAVAMEN LEY 25413 S/DEB</t>
        </is>
      </c>
      <c r="E32" s="9" t="n">
        <v>6.08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28/04/2026</t>
        </is>
      </c>
      <c r="C33" s="8" t="inlineStr">
        <is>
          <t>109243</t>
        </is>
      </c>
      <c r="D33" s="8" t="inlineStr">
        <is>
          <t>GRAVAMEN LEY 25413 S/DEB</t>
        </is>
      </c>
      <c r="E33" s="9" t="n">
        <v>2.17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28/04/2026</t>
        </is>
      </c>
      <c r="C34" s="8" t="inlineStr">
        <is>
          <t>109286</t>
        </is>
      </c>
      <c r="D34" s="8" t="inlineStr">
        <is>
          <t>INGRESOS BRUTOS MENDOZA</t>
        </is>
      </c>
      <c r="E34" s="9" t="n">
        <v>320.86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28/04/2026</t>
        </is>
      </c>
      <c r="C35" s="8" t="inlineStr">
        <is>
          <t>109286</t>
        </is>
      </c>
      <c r="D35" s="8" t="inlineStr">
        <is>
          <t>GRAVAMEN LEY 25413 S/CRED</t>
        </is>
      </c>
      <c r="E35" s="9" t="n">
        <v>192.52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28/04/2026</t>
        </is>
      </c>
      <c r="C36" s="8" t="inlineStr">
        <is>
          <t>109285</t>
        </is>
      </c>
      <c r="D36" s="8" t="inlineStr">
        <is>
          <t>INGRESOS BRUTOS MENDOZA</t>
        </is>
      </c>
      <c r="E36" s="9" t="n">
        <v>210.94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28/04/2026</t>
        </is>
      </c>
      <c r="C37" s="8" t="inlineStr">
        <is>
          <t>109285</t>
        </is>
      </c>
      <c r="D37" s="8" t="inlineStr">
        <is>
          <t>GRAVAMEN LEY 25413 S/CRED</t>
        </is>
      </c>
      <c r="E37" s="9" t="n">
        <v>126.56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28/04/2026</t>
        </is>
      </c>
      <c r="C38" s="8" t="inlineStr">
        <is>
          <t>109284</t>
        </is>
      </c>
      <c r="D38" s="8" t="inlineStr">
        <is>
          <t>INGRESOS BRUTOS MENDOZA</t>
        </is>
      </c>
      <c r="E38" s="9" t="n">
        <v>213.91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28/04/2026</t>
        </is>
      </c>
      <c r="C39" s="8" t="inlineStr">
        <is>
          <t>109284</t>
        </is>
      </c>
      <c r="D39" s="8" t="inlineStr">
        <is>
          <t>GRAVAMEN LEY 25413 S/CRED</t>
        </is>
      </c>
      <c r="E39" s="9" t="n">
        <v>128.35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28/04/2026</t>
        </is>
      </c>
      <c r="C40" s="8" t="inlineStr">
        <is>
          <t>109283</t>
        </is>
      </c>
      <c r="D40" s="8" t="inlineStr">
        <is>
          <t>INGRESOS BRUTOS MENDOZA</t>
        </is>
      </c>
      <c r="E40" s="9" t="n">
        <v>724.91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28/04/2026</t>
        </is>
      </c>
      <c r="C41" s="8" t="inlineStr">
        <is>
          <t>109283</t>
        </is>
      </c>
      <c r="D41" s="8" t="inlineStr">
        <is>
          <t>GRAVAMEN LEY 25413 S/CRED</t>
        </is>
      </c>
      <c r="E41" s="9" t="n">
        <v>434.95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28/04/2026</t>
        </is>
      </c>
      <c r="C42" s="8" t="inlineStr">
        <is>
          <t>109282</t>
        </is>
      </c>
      <c r="D42" s="8" t="inlineStr">
        <is>
          <t>INGRESOS BRUTOS MENDOZA</t>
        </is>
      </c>
      <c r="E42" s="9" t="n">
        <v>287.19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28/04/2026</t>
        </is>
      </c>
      <c r="C43" s="8" t="inlineStr">
        <is>
          <t>109282</t>
        </is>
      </c>
      <c r="D43" s="8" t="inlineStr">
        <is>
          <t>GRAVAMEN LEY 25413 S/CRED</t>
        </is>
      </c>
      <c r="E43" s="9" t="n">
        <v>172.32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28/04/2026</t>
        </is>
      </c>
      <c r="C44" s="8" t="inlineStr">
        <is>
          <t>109281</t>
        </is>
      </c>
      <c r="D44" s="8" t="inlineStr">
        <is>
          <t>INGRESOS BRUTOS MENDOZA</t>
        </is>
      </c>
      <c r="E44" s="9" t="n">
        <v>406.03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28/04/2026</t>
        </is>
      </c>
      <c r="C45" s="8" t="inlineStr">
        <is>
          <t>109280</t>
        </is>
      </c>
      <c r="D45" s="8" t="inlineStr">
        <is>
          <t>INGRESOS BRUTOS MENDOZA</t>
        </is>
      </c>
      <c r="E45" s="9" t="n">
        <v>406.03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28/04/2026</t>
        </is>
      </c>
      <c r="C46" s="8" t="inlineStr">
        <is>
          <t>109280</t>
        </is>
      </c>
      <c r="D46" s="8" t="inlineStr">
        <is>
          <t>GRAVAMEN LEY 25413 S/CRED</t>
        </is>
      </c>
      <c r="E46" s="9" t="n">
        <v>243.62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28/04/2026</t>
        </is>
      </c>
      <c r="C47" s="8" t="inlineStr">
        <is>
          <t>32032899</t>
        </is>
      </c>
      <c r="D47" s="8" t="inlineStr">
        <is>
          <t>INGRESOS BRUTOS MENDOZA</t>
        </is>
      </c>
      <c r="E47" s="9" t="n">
        <v>20450.23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28/04/2026</t>
        </is>
      </c>
      <c r="C48" s="8" t="inlineStr">
        <is>
          <t>32032899</t>
        </is>
      </c>
      <c r="D48" s="8" t="inlineStr">
        <is>
          <t>GRAVAMEN LEY 25413 S/CRED</t>
        </is>
      </c>
      <c r="E48" s="9" t="n">
        <v>12270.14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28/04/2026</t>
        </is>
      </c>
      <c r="C49" s="8" t="inlineStr">
        <is>
          <t>31995644</t>
        </is>
      </c>
      <c r="D49" s="8" t="inlineStr">
        <is>
          <t>INGRESOS BRUTOS MENDOZA</t>
        </is>
      </c>
      <c r="E49" s="9" t="n">
        <v>8373.370000000001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28/04/2026</t>
        </is>
      </c>
      <c r="C50" s="8" t="inlineStr">
        <is>
          <t>31995644</t>
        </is>
      </c>
      <c r="D50" s="8" t="inlineStr">
        <is>
          <t>GRAVAMEN LEY 25413 S/CRED</t>
        </is>
      </c>
      <c r="E50" s="9" t="n">
        <v>5024.02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28/04/2026</t>
        </is>
      </c>
      <c r="C51" s="8" t="inlineStr">
        <is>
          <t>29841705</t>
        </is>
      </c>
      <c r="D51" s="8" t="inlineStr">
        <is>
          <t>INGRESOS BRUTOS MENDOZA</t>
        </is>
      </c>
      <c r="E51" s="9" t="n">
        <v>5174.04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28/04/2026</t>
        </is>
      </c>
      <c r="C52" s="8" t="inlineStr">
        <is>
          <t>29841705</t>
        </is>
      </c>
      <c r="D52" s="8" t="inlineStr">
        <is>
          <t>GRAVAMEN LEY 25413 S/CRED</t>
        </is>
      </c>
      <c r="E52" s="9" t="n">
        <v>3104.42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28/04/2026</t>
        </is>
      </c>
      <c r="C53" s="8" t="inlineStr">
        <is>
          <t>29841683</t>
        </is>
      </c>
      <c r="D53" s="8" t="inlineStr">
        <is>
          <t>INGRESOS BRUTOS MENDOZA</t>
        </is>
      </c>
      <c r="E53" s="9" t="n">
        <v>2746.52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28/04/2026</t>
        </is>
      </c>
      <c r="C54" s="8" t="inlineStr">
        <is>
          <t>29841683</t>
        </is>
      </c>
      <c r="D54" s="8" t="inlineStr">
        <is>
          <t>GRAVAMEN LEY 25413 S/CRED</t>
        </is>
      </c>
      <c r="E54" s="9" t="n">
        <v>1647.91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28/04/2026</t>
        </is>
      </c>
      <c r="C55" s="8" t="inlineStr">
        <is>
          <t>29841670</t>
        </is>
      </c>
      <c r="D55" s="8" t="inlineStr">
        <is>
          <t>INGRESOS BRUTOS MENDOZA</t>
        </is>
      </c>
      <c r="E55" s="9" t="n">
        <v>5946.34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28/04/2026</t>
        </is>
      </c>
      <c r="C56" s="8" t="inlineStr">
        <is>
          <t>29841670</t>
        </is>
      </c>
      <c r="D56" s="8" t="inlineStr">
        <is>
          <t>GRAVAMEN LEY 25413 S/CRED</t>
        </is>
      </c>
      <c r="E56" s="9" t="n">
        <v>3567.8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28/04/2026</t>
        </is>
      </c>
      <c r="C57" s="8" t="inlineStr">
        <is>
          <t>29841642</t>
        </is>
      </c>
      <c r="D57" s="8" t="inlineStr">
        <is>
          <t>INGRESOS BRUTOS MENDOZA</t>
        </is>
      </c>
      <c r="E57" s="9" t="n">
        <v>4756.38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28/04/2026</t>
        </is>
      </c>
      <c r="C58" s="8" t="inlineStr">
        <is>
          <t>29841642</t>
        </is>
      </c>
      <c r="D58" s="8" t="inlineStr">
        <is>
          <t>GRAVAMEN LEY 25413 S/CRED</t>
        </is>
      </c>
      <c r="E58" s="9" t="n">
        <v>2853.83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28/04/2026</t>
        </is>
      </c>
      <c r="C59" s="8" t="inlineStr">
        <is>
          <t>29841627</t>
        </is>
      </c>
      <c r="D59" s="8" t="inlineStr">
        <is>
          <t>INGRESOS BRUTOS MENDOZA</t>
        </is>
      </c>
      <c r="E59" s="9" t="n">
        <v>1502.6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28/04/2026</t>
        </is>
      </c>
      <c r="C60" s="8" t="inlineStr">
        <is>
          <t>29841627</t>
        </is>
      </c>
      <c r="D60" s="8" t="inlineStr">
        <is>
          <t>GRAVAMEN LEY 25413 S/CRED</t>
        </is>
      </c>
      <c r="E60" s="9" t="n">
        <v>901.5599999999999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28/04/2026</t>
        </is>
      </c>
      <c r="C61" s="8" t="inlineStr">
        <is>
          <t>32032899</t>
        </is>
      </c>
      <c r="D61" s="8" t="inlineStr">
        <is>
          <t>INGRESOS BRUTOS MENDOZA</t>
        </is>
      </c>
      <c r="E61" s="9" t="n">
        <v>1132.13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28/04/2026</t>
        </is>
      </c>
      <c r="C62" s="8" t="inlineStr">
        <is>
          <t>32032899</t>
        </is>
      </c>
      <c r="D62" s="8" t="inlineStr">
        <is>
          <t>GRAVAMEN LEY 25413 S/CRED</t>
        </is>
      </c>
      <c r="E62" s="9" t="n">
        <v>679.28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28/04/2026</t>
        </is>
      </c>
      <c r="C63" s="8" t="inlineStr">
        <is>
          <t>31995644</t>
        </is>
      </c>
      <c r="D63" s="8" t="inlineStr">
        <is>
          <t>INGRESOS BRUTOS MENDOZA</t>
        </is>
      </c>
      <c r="E63" s="9" t="n">
        <v>4311.86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28/04/2026</t>
        </is>
      </c>
      <c r="C64" s="8" t="inlineStr">
        <is>
          <t>31995644</t>
        </is>
      </c>
      <c r="D64" s="8" t="inlineStr">
        <is>
          <t>GRAVAMEN LEY 25413 S/CRED</t>
        </is>
      </c>
      <c r="E64" s="9" t="n">
        <v>2587.12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28/04/2026</t>
        </is>
      </c>
      <c r="C65" s="8" t="inlineStr">
        <is>
          <t>29841705</t>
        </is>
      </c>
      <c r="D65" s="8" t="inlineStr">
        <is>
          <t>INGRESOS BRUTOS MENDOZA</t>
        </is>
      </c>
      <c r="E65" s="9" t="n">
        <v>1374.17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28/04/2026</t>
        </is>
      </c>
      <c r="C66" s="8" t="inlineStr">
        <is>
          <t>29841705</t>
        </is>
      </c>
      <c r="D66" s="8" t="inlineStr">
        <is>
          <t>GRAVAMEN LEY 25413 S/CRED</t>
        </is>
      </c>
      <c r="E66" s="9" t="n">
        <v>824.5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28/04/2026</t>
        </is>
      </c>
      <c r="C67" s="8" t="inlineStr">
        <is>
          <t>29841683</t>
        </is>
      </c>
      <c r="D67" s="8" t="inlineStr">
        <is>
          <t>INGRESOS BRUTOS MENDOZA</t>
        </is>
      </c>
      <c r="E67" s="9" t="n">
        <v>2782.07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28/04/2026</t>
        </is>
      </c>
      <c r="C68" s="8" t="inlineStr">
        <is>
          <t>29841683</t>
        </is>
      </c>
      <c r="D68" s="8" t="inlineStr">
        <is>
          <t>GRAVAMEN LEY 25413 S/CRED</t>
        </is>
      </c>
      <c r="E68" s="9" t="n">
        <v>1669.24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28/04/2026</t>
        </is>
      </c>
      <c r="C69" s="8" t="inlineStr">
        <is>
          <t>29841670</t>
        </is>
      </c>
      <c r="D69" s="8" t="inlineStr">
        <is>
          <t>INGRESOS BRUTOS MENDOZA</t>
        </is>
      </c>
      <c r="E69" s="9" t="n">
        <v>1148.93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28/04/2026</t>
        </is>
      </c>
      <c r="C70" s="8" t="inlineStr">
        <is>
          <t>29841670</t>
        </is>
      </c>
      <c r="D70" s="8" t="inlineStr">
        <is>
          <t>GRAVAMEN LEY 25413 S/CRED</t>
        </is>
      </c>
      <c r="E70" s="9" t="n">
        <v>689.36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28/04/2026</t>
        </is>
      </c>
      <c r="C71" s="8" t="inlineStr">
        <is>
          <t>29841642</t>
        </is>
      </c>
      <c r="D71" s="8" t="inlineStr">
        <is>
          <t>INGRESOS BRUTOS MENDOZA</t>
        </is>
      </c>
      <c r="E71" s="9" t="n">
        <v>464.31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28/04/2026</t>
        </is>
      </c>
      <c r="C72" s="8" t="inlineStr">
        <is>
          <t>29841642</t>
        </is>
      </c>
      <c r="D72" s="8" t="inlineStr">
        <is>
          <t>GRAVAMEN LEY 25413 S/CRED</t>
        </is>
      </c>
      <c r="E72" s="9" t="n">
        <v>278.59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28/04/2026</t>
        </is>
      </c>
      <c r="C73" s="8" t="inlineStr">
        <is>
          <t>29841627</t>
        </is>
      </c>
      <c r="D73" s="8" t="inlineStr">
        <is>
          <t>INGRESOS BRUTOS MENDOZA</t>
        </is>
      </c>
      <c r="E73" s="9" t="n">
        <v>761.5700000000001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28/04/2026</t>
        </is>
      </c>
      <c r="C74" s="8" t="inlineStr">
        <is>
          <t>29841627</t>
        </is>
      </c>
      <c r="D74" s="8" t="inlineStr">
        <is>
          <t>GRAVAMEN LEY 25413 S/CRED</t>
        </is>
      </c>
      <c r="E74" s="9" t="n">
        <v>456.94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28/04/2026</t>
        </is>
      </c>
      <c r="C75" s="8" t="inlineStr">
        <is>
          <t>32032899</t>
        </is>
      </c>
      <c r="D75" s="8" t="inlineStr">
        <is>
          <t>INGRESOS BRUTOS MENDOZA</t>
        </is>
      </c>
      <c r="E75" s="9" t="n">
        <v>320.86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28/04/2026</t>
        </is>
      </c>
      <c r="C76" s="8" t="inlineStr">
        <is>
          <t>32032899</t>
        </is>
      </c>
      <c r="D76" s="8" t="inlineStr">
        <is>
          <t>GRAVAMEN LEY 25413 S/CRED</t>
        </is>
      </c>
      <c r="E76" s="9" t="n">
        <v>192.51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28/04/2026</t>
        </is>
      </c>
      <c r="C77" s="8" t="inlineStr">
        <is>
          <t>31995644</t>
        </is>
      </c>
      <c r="D77" s="8" t="inlineStr">
        <is>
          <t>INGRESOS BRUTOS MENDOZA</t>
        </is>
      </c>
      <c r="E77" s="9" t="n">
        <v>1356.04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28/04/2026</t>
        </is>
      </c>
      <c r="C78" s="8" t="inlineStr">
        <is>
          <t>31995644</t>
        </is>
      </c>
      <c r="D78" s="8" t="inlineStr">
        <is>
          <t>GRAVAMEN LEY 25413 S/CRED</t>
        </is>
      </c>
      <c r="E78" s="9" t="n">
        <v>813.63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28/04/2026</t>
        </is>
      </c>
      <c r="C79" s="8" t="inlineStr">
        <is>
          <t>29841705</t>
        </is>
      </c>
      <c r="D79" s="8" t="inlineStr">
        <is>
          <t>INGRESOS BRUTOS MENDOZA</t>
        </is>
      </c>
      <c r="E79" s="9" t="n">
        <v>29.35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28/04/2026</t>
        </is>
      </c>
      <c r="C80" s="8" t="inlineStr">
        <is>
          <t>29841705</t>
        </is>
      </c>
      <c r="D80" s="8" t="inlineStr">
        <is>
          <t>GRAVAMEN LEY 25413 S/CRED</t>
        </is>
      </c>
      <c r="E80" s="9" t="n">
        <v>17.61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28/04/2026</t>
        </is>
      </c>
      <c r="C81" s="8" t="inlineStr">
        <is>
          <t>109261</t>
        </is>
      </c>
      <c r="D81" s="8" t="inlineStr">
        <is>
          <t>GRAVAMEN LEY 25413 S/CRED</t>
        </is>
      </c>
      <c r="E81" s="9" t="n">
        <v>286.99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28/04/2026</t>
        </is>
      </c>
      <c r="C82" s="8" t="inlineStr">
        <is>
          <t>32032899</t>
        </is>
      </c>
      <c r="D82" s="8" t="inlineStr">
        <is>
          <t>INGRESOS BRUTOS MENDOZA</t>
        </is>
      </c>
      <c r="E82" s="9" t="n">
        <v>728.28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28/04/2026</t>
        </is>
      </c>
      <c r="C83" s="8" t="inlineStr">
        <is>
          <t>32032899</t>
        </is>
      </c>
      <c r="D83" s="8" t="inlineStr">
        <is>
          <t>GRAVAMEN LEY 25413 S/CRED</t>
        </is>
      </c>
      <c r="E83" s="9" t="n">
        <v>436.97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28/04/2026</t>
        </is>
      </c>
      <c r="C84" s="8" t="inlineStr">
        <is>
          <t>31995644</t>
        </is>
      </c>
      <c r="D84" s="8" t="inlineStr">
        <is>
          <t>INGRESOS BRUTOS MENDOZA</t>
        </is>
      </c>
      <c r="E84" s="9" t="n">
        <v>438.13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28/04/2026</t>
        </is>
      </c>
      <c r="C85" s="8" t="inlineStr">
        <is>
          <t>31995644</t>
        </is>
      </c>
      <c r="D85" s="8" t="inlineStr">
        <is>
          <t>GRAVAMEN LEY 25413 S/CRED</t>
        </is>
      </c>
      <c r="E85" s="9" t="n">
        <v>262.88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28/04/2026</t>
        </is>
      </c>
      <c r="C86" s="8" t="inlineStr">
        <is>
          <t>32032899</t>
        </is>
      </c>
      <c r="D86" s="8" t="inlineStr">
        <is>
          <t>INGRESOS BRUTOS MENDOZA</t>
        </is>
      </c>
      <c r="E86" s="9" t="n">
        <v>2739.75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28/04/2026</t>
        </is>
      </c>
      <c r="C87" s="8" t="inlineStr">
        <is>
          <t>32032899</t>
        </is>
      </c>
      <c r="D87" s="8" t="inlineStr">
        <is>
          <t>GRAVAMEN LEY 25413 S/CRED</t>
        </is>
      </c>
      <c r="E87" s="9" t="n">
        <v>1643.85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28/04/2026</t>
        </is>
      </c>
      <c r="C88" s="8" t="inlineStr">
        <is>
          <t>32032899</t>
        </is>
      </c>
      <c r="D88" s="8" t="inlineStr">
        <is>
          <t>INGRESOS BRUTOS MENDOZA</t>
        </is>
      </c>
      <c r="E88" s="9" t="n">
        <v>1520.29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28/04/2026</t>
        </is>
      </c>
      <c r="C89" s="8" t="inlineStr">
        <is>
          <t>32032899</t>
        </is>
      </c>
      <c r="D89" s="8" t="inlineStr">
        <is>
          <t>GRAVAMEN LEY 25413 S/CRED</t>
        </is>
      </c>
      <c r="E89" s="9" t="n">
        <v>912.1799999999999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28/04/2026</t>
        </is>
      </c>
      <c r="C90" s="8" t="inlineStr">
        <is>
          <t>31995644</t>
        </is>
      </c>
      <c r="D90" s="8" t="inlineStr">
        <is>
          <t>INGRESOS BRUTOS MENDOZA</t>
        </is>
      </c>
      <c r="E90" s="9" t="n">
        <v>10690.93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28/04/2026</t>
        </is>
      </c>
      <c r="C91" s="8" t="inlineStr">
        <is>
          <t>31995644</t>
        </is>
      </c>
      <c r="D91" s="8" t="inlineStr">
        <is>
          <t>GRAVAMEN LEY 25413 S/CRED</t>
        </is>
      </c>
      <c r="E91" s="9" t="n">
        <v>6414.56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28/04/2026</t>
        </is>
      </c>
      <c r="C92" s="8" t="inlineStr">
        <is>
          <t>31995644</t>
        </is>
      </c>
      <c r="D92" s="8" t="inlineStr">
        <is>
          <t>INGRESOS BRUTOS MENDOZA</t>
        </is>
      </c>
      <c r="E92" s="9" t="n">
        <v>5274.58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28/04/2026</t>
        </is>
      </c>
      <c r="C93" s="8" t="inlineStr">
        <is>
          <t>31995644</t>
        </is>
      </c>
      <c r="D93" s="8" t="inlineStr">
        <is>
          <t>GRAVAMEN LEY 25413 S/CRED</t>
        </is>
      </c>
      <c r="E93" s="9" t="n">
        <v>3164.75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28/04/2026</t>
        </is>
      </c>
      <c r="C94" s="8" t="inlineStr">
        <is>
          <t>29841705</t>
        </is>
      </c>
      <c r="D94" s="8" t="inlineStr">
        <is>
          <t>INGRESOS BRUTOS MENDOZA</t>
        </is>
      </c>
      <c r="E94" s="9" t="n">
        <v>626.0599999999999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28/04/2026</t>
        </is>
      </c>
      <c r="C95" s="8" t="inlineStr">
        <is>
          <t>29841705</t>
        </is>
      </c>
      <c r="D95" s="8" t="inlineStr">
        <is>
          <t>GRAVAMEN LEY 25413 S/CRED</t>
        </is>
      </c>
      <c r="E95" s="9" t="n">
        <v>375.64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28/04/2026</t>
        </is>
      </c>
      <c r="C96" s="8" t="inlineStr">
        <is>
          <t>29841683</t>
        </is>
      </c>
      <c r="D96" s="8" t="inlineStr">
        <is>
          <t>INGRESOS BRUTOS MENDOZA</t>
        </is>
      </c>
      <c r="E96" s="9" t="n">
        <v>316.94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28/04/2026</t>
        </is>
      </c>
      <c r="C97" s="8" t="inlineStr">
        <is>
          <t>29841683</t>
        </is>
      </c>
      <c r="D97" s="8" t="inlineStr">
        <is>
          <t>GRAVAMEN LEY 25413 S/CRED</t>
        </is>
      </c>
      <c r="E97" s="9" t="n">
        <v>190.17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28/04/2026</t>
        </is>
      </c>
      <c r="C98" s="8" t="inlineStr">
        <is>
          <t>29841670</t>
        </is>
      </c>
      <c r="D98" s="8" t="inlineStr">
        <is>
          <t>INGRESOS BRUTOS MENDOZA</t>
        </is>
      </c>
      <c r="E98" s="9" t="n">
        <v>271.95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28/04/2026</t>
        </is>
      </c>
      <c r="C99" s="8" t="inlineStr">
        <is>
          <t>29841670</t>
        </is>
      </c>
      <c r="D99" s="8" t="inlineStr">
        <is>
          <t>GRAVAMEN LEY 25413 S/CRED</t>
        </is>
      </c>
      <c r="E99" s="9" t="n">
        <v>163.17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28/04/2026</t>
        </is>
      </c>
      <c r="C100" s="8" t="inlineStr">
        <is>
          <t>29841642</t>
        </is>
      </c>
      <c r="D100" s="8" t="inlineStr">
        <is>
          <t>INGRESOS BRUTOS MENDOZA</t>
        </is>
      </c>
      <c r="E100" s="9" t="n">
        <v>871.59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28/04/2026</t>
        </is>
      </c>
      <c r="C101" s="8" t="inlineStr">
        <is>
          <t>29841642</t>
        </is>
      </c>
      <c r="D101" s="8" t="inlineStr">
        <is>
          <t>GRAVAMEN LEY 25413 S/CRED</t>
        </is>
      </c>
      <c r="E101" s="9" t="n">
        <v>522.96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28/04/2026</t>
        </is>
      </c>
      <c r="C102" s="8" t="inlineStr">
        <is>
          <t>29841627</t>
        </is>
      </c>
      <c r="D102" s="8" t="inlineStr">
        <is>
          <t>INGRESOS BRUTOS MENDOZA</t>
        </is>
      </c>
      <c r="E102" s="9" t="n">
        <v>528.24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28/04/2026</t>
        </is>
      </c>
      <c r="C103" s="8" t="inlineStr">
        <is>
          <t>29841627</t>
        </is>
      </c>
      <c r="D103" s="8" t="inlineStr">
        <is>
          <t>GRAVAMEN LEY 25413 S/CRED</t>
        </is>
      </c>
      <c r="E103" s="9" t="n">
        <v>316.94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28/04/2026</t>
        </is>
      </c>
      <c r="C104" s="8" t="inlineStr">
        <is>
          <t>32032899</t>
        </is>
      </c>
      <c r="D104" s="8" t="inlineStr">
        <is>
          <t>INGRESOS BRUTOS MENDOZA</t>
        </is>
      </c>
      <c r="E104" s="9" t="n">
        <v>593.78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28/04/2026</t>
        </is>
      </c>
      <c r="C105" s="8" t="inlineStr">
        <is>
          <t>32032899</t>
        </is>
      </c>
      <c r="D105" s="8" t="inlineStr">
        <is>
          <t>GRAVAMEN LEY 25413 S/CRED</t>
        </is>
      </c>
      <c r="E105" s="9" t="n">
        <v>356.27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28/04/2026</t>
        </is>
      </c>
      <c r="C106" s="8" t="inlineStr">
        <is>
          <t>31995644</t>
        </is>
      </c>
      <c r="D106" s="8" t="inlineStr">
        <is>
          <t>INGRESOS BRUTOS MENDOZA</t>
        </is>
      </c>
      <c r="E106" s="9" t="n">
        <v>848.12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28/04/2026</t>
        </is>
      </c>
      <c r="C107" s="8" t="inlineStr">
        <is>
          <t>31995644</t>
        </is>
      </c>
      <c r="D107" s="8" t="inlineStr">
        <is>
          <t>GRAVAMEN LEY 25413 S/CRED</t>
        </is>
      </c>
      <c r="E107" s="9" t="n">
        <v>508.87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28/04/2026</t>
        </is>
      </c>
      <c r="C108" s="8" t="inlineStr">
        <is>
          <t>31995644</t>
        </is>
      </c>
      <c r="D108" s="8" t="inlineStr">
        <is>
          <t>INGRESOS BRUTOS MENDOZA</t>
        </is>
      </c>
      <c r="E108" s="9" t="n">
        <v>850.0700000000001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28/04/2026</t>
        </is>
      </c>
      <c r="C109" s="8" t="inlineStr">
        <is>
          <t>31995644</t>
        </is>
      </c>
      <c r="D109" s="8" t="inlineStr">
        <is>
          <t>GRAVAMEN LEY 25413 S/CRED</t>
        </is>
      </c>
      <c r="E109" s="9" t="n">
        <v>510.04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28/04/2026</t>
        </is>
      </c>
      <c r="C110" s="8" t="inlineStr">
        <is>
          <t>29841705</t>
        </is>
      </c>
      <c r="D110" s="8" t="inlineStr">
        <is>
          <t>INGRESOS BRUTOS MENDOZA</t>
        </is>
      </c>
      <c r="E110" s="9" t="n">
        <v>352.16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28/04/2026</t>
        </is>
      </c>
      <c r="C111" s="8" t="inlineStr">
        <is>
          <t>29841705</t>
        </is>
      </c>
      <c r="D111" s="8" t="inlineStr">
        <is>
          <t>GRAVAMEN LEY 25413 S/CRED</t>
        </is>
      </c>
      <c r="E111" s="9" t="n">
        <v>211.3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28/04/2026</t>
        </is>
      </c>
      <c r="C112" s="8" t="inlineStr">
        <is>
          <t>29841642</t>
        </is>
      </c>
      <c r="D112" s="8" t="inlineStr">
        <is>
          <t>INGRESOS BRUTOS MENDOZA</t>
        </is>
      </c>
      <c r="E112" s="9" t="n">
        <v>88.04000000000001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28/04/2026</t>
        </is>
      </c>
      <c r="C113" s="8" t="inlineStr">
        <is>
          <t>29841642</t>
        </is>
      </c>
      <c r="D113" s="8" t="inlineStr">
        <is>
          <t>GRAVAMEN LEY 25413 S/CRED</t>
        </is>
      </c>
      <c r="E113" s="9" t="n">
        <v>52.82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28/04/2026</t>
        </is>
      </c>
      <c r="C114" s="8" t="inlineStr">
        <is>
          <t>109244</t>
        </is>
      </c>
      <c r="D114" s="8" t="inlineStr">
        <is>
          <t>INGRESOS BRUTOS MENDOZA</t>
        </is>
      </c>
      <c r="E114" s="9" t="n">
        <v>1013.1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28/04/2026</t>
        </is>
      </c>
      <c r="C115" s="8" t="inlineStr">
        <is>
          <t>109244</t>
        </is>
      </c>
      <c r="D115" s="8" t="inlineStr">
        <is>
          <t>GRAVAMEN LEY 25413 S/CRED</t>
        </is>
      </c>
      <c r="E115" s="9" t="n">
        <v>607.86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28/04/2026</t>
        </is>
      </c>
      <c r="C116" s="8" t="inlineStr">
        <is>
          <t>109243</t>
        </is>
      </c>
      <c r="D116" s="8" t="inlineStr">
        <is>
          <t>INGRESOS BRUTOS MENDOZA</t>
        </is>
      </c>
      <c r="E116" s="9" t="n">
        <v>361.47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28/04/2026</t>
        </is>
      </c>
      <c r="C117" s="8" t="inlineStr">
        <is>
          <t>109243</t>
        </is>
      </c>
      <c r="D117" s="8" t="inlineStr">
        <is>
          <t>GRAVAMEN LEY 25413 S/CRED</t>
        </is>
      </c>
      <c r="E117" s="9" t="n">
        <v>216.88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28/04/2026</t>
        </is>
      </c>
      <c r="C118" s="8" t="inlineStr">
        <is>
          <t>109242</t>
        </is>
      </c>
      <c r="D118" s="8" t="inlineStr">
        <is>
          <t>GRAVAMEN LEY 25413 S/DEB</t>
        </is>
      </c>
      <c r="E118" s="9" t="n">
        <v>12000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28/04/2026</t>
        </is>
      </c>
      <c r="C119" s="8" t="inlineStr">
        <is>
          <t>109285</t>
        </is>
      </c>
      <c r="D119" s="8" t="inlineStr">
        <is>
          <t>CR DEBIN SPOT</t>
        </is>
      </c>
      <c r="E119" s="9" t="n">
        <v>21093.82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28/04/2026</t>
        </is>
      </c>
      <c r="C120" s="8" t="inlineStr">
        <is>
          <t>32032899</t>
        </is>
      </c>
      <c r="D120" s="8" t="inlineStr">
        <is>
          <t>CR LIQ MASTER DEB 24H</t>
        </is>
      </c>
      <c r="E120" s="9" t="n">
        <v>2045023.32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28/04/2026</t>
        </is>
      </c>
      <c r="C121" s="8" t="inlineStr">
        <is>
          <t>29841683</t>
        </is>
      </c>
      <c r="D121" s="8" t="inlineStr">
        <is>
          <t>CR LIQ MASTER DEB 24H</t>
        </is>
      </c>
      <c r="E121" s="9" t="n">
        <v>274651.56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28/04/2026</t>
        </is>
      </c>
      <c r="C122" s="8" t="inlineStr">
        <is>
          <t>29841670</t>
        </is>
      </c>
      <c r="D122" s="8" t="inlineStr">
        <is>
          <t>CR LIQ MASTER DEB 24H</t>
        </is>
      </c>
      <c r="E122" s="9" t="n">
        <v>594633.96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28/04/2026</t>
        </is>
      </c>
      <c r="C123" s="8" t="inlineStr">
        <is>
          <t>32032899</t>
        </is>
      </c>
      <c r="D123" s="8" t="inlineStr">
        <is>
          <t>CR LIQ MASTER DEB 24H</t>
        </is>
      </c>
      <c r="E123" s="9" t="n">
        <v>113213.34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28/04/2026</t>
        </is>
      </c>
      <c r="C124" s="8" t="inlineStr">
        <is>
          <t>29841683</t>
        </is>
      </c>
      <c r="D124" s="8" t="inlineStr">
        <is>
          <t>CR LIQ MASTER DEB 24H</t>
        </is>
      </c>
      <c r="E124" s="9" t="n">
        <v>278206.92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28/04/2026</t>
        </is>
      </c>
      <c r="C125" s="8" t="inlineStr">
        <is>
          <t>29841670</t>
        </is>
      </c>
      <c r="D125" s="8" t="inlineStr">
        <is>
          <t>CR LIQ MASTER DEB 24H</t>
        </is>
      </c>
      <c r="E125" s="9" t="n">
        <v>114892.77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28/04/2026</t>
        </is>
      </c>
      <c r="C126" s="8" t="inlineStr">
        <is>
          <t>32032899</t>
        </is>
      </c>
      <c r="D126" s="8" t="inlineStr">
        <is>
          <t>CR LIQ MASTER DEB 24H</t>
        </is>
      </c>
      <c r="E126" s="9" t="n">
        <v>32085.62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28/04/2026</t>
        </is>
      </c>
      <c r="C127" s="8" t="inlineStr">
        <is>
          <t>31995644</t>
        </is>
      </c>
      <c r="D127" s="8" t="inlineStr">
        <is>
          <t>DEB LIQ MASTERCARD 24H</t>
        </is>
      </c>
      <c r="E127" s="9" t="n">
        <v>75.09999999999999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28/04/2026</t>
        </is>
      </c>
      <c r="C128" s="8" t="inlineStr">
        <is>
          <t>32032899</t>
        </is>
      </c>
      <c r="D128" s="8" t="inlineStr">
        <is>
          <t>CR LIQ AMEX/MADQ FIS 24H</t>
        </is>
      </c>
      <c r="E128" s="9" t="n">
        <v>72828.22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28/04/2026</t>
        </is>
      </c>
      <c r="C129" s="8" t="inlineStr">
        <is>
          <t>32032899</t>
        </is>
      </c>
      <c r="D129" s="8" t="inlineStr">
        <is>
          <t>CR LIQ MASTER DEB 24H</t>
        </is>
      </c>
      <c r="E129" s="9" t="n">
        <v>273975.26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28/04/2026</t>
        </is>
      </c>
      <c r="C130" s="8" t="inlineStr">
        <is>
          <t>32032899</t>
        </is>
      </c>
      <c r="D130" s="8" t="inlineStr">
        <is>
          <t>CR LIQ MASTER DEB 24H</t>
        </is>
      </c>
      <c r="E130" s="9" t="n">
        <v>152029.24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28/04/2026</t>
        </is>
      </c>
      <c r="C131" s="8" t="inlineStr">
        <is>
          <t>29841683</t>
        </is>
      </c>
      <c r="D131" s="8" t="inlineStr">
        <is>
          <t>CR LIQ MASTER DEB 24H</t>
        </is>
      </c>
      <c r="E131" s="9" t="n">
        <v>31694.33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28/04/2026</t>
        </is>
      </c>
      <c r="C132" s="8" t="inlineStr">
        <is>
          <t>29841670</t>
        </is>
      </c>
      <c r="D132" s="8" t="inlineStr">
        <is>
          <t>CR LIQ MASTER DEB 24H</t>
        </is>
      </c>
      <c r="E132" s="9" t="n">
        <v>27194.52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28/04/2026</t>
        </is>
      </c>
      <c r="C133" s="8" t="inlineStr">
        <is>
          <t>32032899</t>
        </is>
      </c>
      <c r="D133" s="8" t="inlineStr">
        <is>
          <t>CR LIQ MASTERCARD 24H</t>
        </is>
      </c>
      <c r="E133" s="9" t="n">
        <v>59377.95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28/04/2026</t>
        </is>
      </c>
      <c r="C134" s="8" t="inlineStr">
        <is>
          <t>109242</t>
        </is>
      </c>
      <c r="D134" s="8" t="inlineStr">
        <is>
          <t>DB CREDIN TRANSFERENCIA</t>
        </is>
      </c>
      <c r="E134" s="9" t="n">
        <v>2000000</v>
      </c>
      <c r="F134" s="8" t="inlineStr">
        <is>
          <t>Pendiente visible en hojas Banco no Flexxus</t>
        </is>
      </c>
      <c r="G134" s="8" t="inlineStr"/>
    </row>
  </sheetData>
  <autoFilter ref="A1:G1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V5.3</t>
        </is>
      </c>
      <c r="B9" s="2" t="inlineStr">
        <is>
          <t>Excel con fórmulas reales, B14 sin impacto residual, saldos separados y hoja Control cobertura para evitar movimientos en zona muerta.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2026-04-30T03:31:41Z</dcterms:created>
  <dcterms:modified xsi:type="dcterms:W3CDTF">2026-04-30T03:31:42Z</dcterms:modified>
</cp:coreProperties>
</file>