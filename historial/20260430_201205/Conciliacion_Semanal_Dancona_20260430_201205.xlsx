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Resumen atraso por local" sheetId="10" state="visible" r:id="rId10"/>
    <sheet name="Control cobertura" sheetId="11" state="visible" r:id="rId11"/>
    <sheet name="Notas proceso" sheetId="12" state="visible" r:id="rId12"/>
  </sheets>
  <definedNames>
    <definedName name="_xlnm._FilterDatabase" localSheetId="2" hidden="1">'Flexxus no Banco'!$A$1:$L$64</definedName>
    <definedName name="_xlnm._FilterDatabase" localSheetId="3" hidden="1">'Banco ingresos no Flexxus'!$A$1:$R$5</definedName>
    <definedName name="_xlnm._FilterDatabase" localSheetId="4" hidden="1">'Banco egresos no Flexxus'!$A$1:$K$1071</definedName>
    <definedName name="_xlnm._FilterDatabase" localSheetId="6" hidden="1">'Carga Flexxus'!$A$1:$I$256</definedName>
    <definedName name="_xlnm._FilterDatabase" localSheetId="7" hidden="1">'Auditoría QR PCT'!$A$1:$K$157</definedName>
    <definedName name="_xlnm._FilterDatabase" localSheetId="8" hidden="1">'Auditoría TRX Merchant'!$A$1:$H$145</definedName>
    <definedName name="_xlnm._FilterDatabase" localSheetId="9" hidden="1">'Resumen atraso por local'!$A$1:$I$1151</definedName>
    <definedName name="_xlnm._FilterDatabase" localSheetId="10" hidden="1">'Control cobertura'!$A$1:$G$1081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sz val="12"/>
    </font>
    <font>
      <name val="Calibri"/>
      <b val="1"/>
      <color rgb="00FFFFFF"/>
      <sz val="10"/>
    </font>
    <font>
      <b val="1"/>
      <color rgb="00C00000"/>
    </font>
    <font>
      <b val="1"/>
      <color rgb="009C6500"/>
    </font>
    <font>
      <b val="1"/>
      <color rgb="00375623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45" customWidth="1" min="3" max="3"/>
    <col width="12" customWidth="1" min="4" max="4"/>
    <col width="18" customWidth="1" min="5" max="5"/>
    <col width="4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24/04/2026 (período 20/04/2026 al 24/04/2026; banco con movimientos hasta 24/04/2026)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24/04/2026</t>
        </is>
      </c>
      <c r="B6" s="4" t="n">
        <v>29620748.49</v>
      </c>
    </row>
    <row r="7">
      <c r="A7" s="2" t="inlineStr">
        <is>
          <t>Saldo S/FLEXXUS al 24/04/2026</t>
        </is>
      </c>
      <c r="B7" s="4" t="n">
        <v>37824483.97</v>
      </c>
    </row>
    <row r="8">
      <c r="A8" s="2" t="inlineStr">
        <is>
          <t>DIFERENCIA INICIAL (extracto banco vs libro Flexxus)</t>
        </is>
      </c>
      <c r="B8" s="4">
        <f>B6-B7</f>
        <v/>
      </c>
    </row>
    <row r="10">
      <c r="A10" s="2" t="inlineStr">
        <is>
          <t>Menos: INGRESOS registrados en FLEXXUS que NO están en el Banco</t>
        </is>
      </c>
      <c r="B10" s="4">
        <f>SUMIF('Flexxus no Banco'!D:D,"PAV",'Flexxus no Banco'!G:G)</f>
        <v/>
      </c>
    </row>
    <row r="11">
      <c r="A11" s="2" t="inlineStr">
        <is>
          <t>Más: EGRESOS registrados en FLEXXUS que NO están en el Banco</t>
        </is>
      </c>
      <c r="B11" s="4">
        <f>SUM('Flexxus no Banco'!G:G)-B10</f>
        <v/>
      </c>
    </row>
    <row r="12">
      <c r="A12" s="2" t="inlineStr">
        <is>
          <t>Más: INGRESOS en el Banco pero NO registrados en FLEXXUS</t>
        </is>
      </c>
      <c r="B12" s="4">
        <f>SUM('Banco ingresos no Flexxus'!H:H)</f>
        <v/>
      </c>
    </row>
    <row r="13">
      <c r="A13" s="2" t="inlineStr">
        <is>
          <t>Menos: EGRESOS en el Banco pero NO registrados en FLEXXUS</t>
        </is>
      </c>
      <c r="B13" s="4">
        <f>SUM('Banco egresos no Flexxus'!I:I)</f>
        <v/>
      </c>
    </row>
    <row r="14">
      <c r="A14" s="2" t="inlineStr">
        <is>
          <t>Pendientes anteriores: incluidos dentro de los bloques anteriores (NO impacta como residual)</t>
        </is>
      </c>
      <c r="B14" s="4">
        <f>0</f>
        <v/>
      </c>
    </row>
    <row r="16">
      <c r="A16" s="3" t="inlineStr">
        <is>
          <t>SALDO REAL S/FLEXXUS SEGÚN ARCHIVO ACTUAL al 24/04/2026</t>
        </is>
      </c>
      <c r="B16" s="4">
        <f>B7</f>
        <v/>
      </c>
    </row>
    <row r="17">
      <c r="A17" s="3" t="inlineStr">
        <is>
          <t>SALDO FLEXXUS AJUSTADO PARA CONCILIACIÓN BANCARIA (= Flex - C1 + C2)</t>
        </is>
      </c>
      <c r="B17" s="4">
        <f>B7-B10+B11</f>
        <v/>
      </c>
    </row>
    <row r="18">
      <c r="A18" s="3" t="inlineStr">
        <is>
          <t>TOTAL MOVIMIENTOS CONCILIADOS / .XLS A IMPORTAR</t>
        </is>
      </c>
      <c r="B18" s="4">
        <f>'Carga Flexxus'!C5</f>
        <v/>
      </c>
    </row>
    <row r="19">
      <c r="A19" s="3" t="inlineStr">
        <is>
          <t>SALDO BANCO CALCULADO (= Flex - C1 + C2 + C3 - C4)</t>
        </is>
      </c>
      <c r="B19" s="4">
        <f>B7-B10+B11+B12-B13</f>
        <v/>
      </c>
    </row>
    <row r="20">
      <c r="A20" s="3" t="inlineStr">
        <is>
          <t>SALDO SEGÚN EXTRACTO BANCO al 24/04/2026</t>
        </is>
      </c>
      <c r="B20" s="4">
        <f>B6</f>
        <v/>
      </c>
    </row>
    <row r="21">
      <c r="A21" s="3" t="inlineStr">
        <is>
          <t>DIFERENCIA FINAL (debe ser 0)</t>
        </is>
      </c>
      <c r="B21" s="5">
        <f>B20-B19</f>
        <v/>
      </c>
    </row>
    <row r="22">
      <c r="A22" s="3" t="inlineStr">
        <is>
          <t>SALDO REAL EN FLEXXUS LUEGO DE IMPORTAR / POST-IMPORT SI APLICA</t>
        </is>
      </c>
      <c r="B22" s="4">
        <f>B7</f>
        <v/>
      </c>
    </row>
    <row r="23">
      <c r="A23" s="3" t="inlineStr">
        <is>
          <t>ACLARACIÓN: B17 es saldo ajustado conciliatorio, no saldo final real</t>
        </is>
      </c>
      <c r="B23" s="4">
        <f>B17</f>
        <v/>
      </c>
    </row>
    <row r="25">
      <c r="A25" s="6" t="inlineStr">
        <is>
          <t>Controles de consistencia interna</t>
        </is>
      </c>
    </row>
    <row r="26">
      <c r="A26" s="7" t="inlineStr">
        <is>
          <t>Control</t>
        </is>
      </c>
      <c r="B26" s="7" t="inlineStr">
        <is>
          <t>Fórmula / Resultado esperado</t>
        </is>
      </c>
      <c r="C26" s="7" t="inlineStr">
        <is>
          <t>Estado</t>
        </is>
      </c>
    </row>
    <row r="27">
      <c r="A27" s="8" t="inlineStr">
        <is>
          <t>B10 = suma hoja Flexxus no Banco PAV</t>
        </is>
      </c>
      <c r="B27" s="9">
        <f>B10-SUMIF('Flexxus no Banco'!D:D,"PAV",'Flexxus no Banco'!G:G)</f>
        <v/>
      </c>
      <c r="C27" s="8" t="inlineStr">
        <is>
          <t>Debe dar 0</t>
        </is>
      </c>
    </row>
    <row r="28">
      <c r="A28" s="8" t="inlineStr">
        <is>
          <t>B11 = suma hoja Flexxus no Banco egresos</t>
        </is>
      </c>
      <c r="B28" s="9">
        <f>B11-(SUM('Flexxus no Banco'!G:G)-B10)</f>
        <v/>
      </c>
      <c r="C28" s="8" t="inlineStr">
        <is>
          <t>Debe dar 0</t>
        </is>
      </c>
    </row>
    <row r="29">
      <c r="A29" s="8" t="inlineStr">
        <is>
          <t>B12 = suma hoja Banco ingresos no Flexxus</t>
        </is>
      </c>
      <c r="B29" s="9">
        <f>B12-SUM('Banco ingresos no Flexxus'!H:H)</f>
        <v/>
      </c>
      <c r="C29" s="8" t="inlineStr">
        <is>
          <t>Debe dar 0</t>
        </is>
      </c>
    </row>
    <row r="30">
      <c r="A30" s="8" t="inlineStr">
        <is>
          <t>B13 = suma hoja Banco egresos no Flexxus</t>
        </is>
      </c>
      <c r="B30" s="9">
        <f>B13-SUM('Banco egresos no Flexxus'!I:I)</f>
        <v/>
      </c>
      <c r="C30" s="8" t="inlineStr">
        <is>
          <t>Debe dar 0</t>
        </is>
      </c>
    </row>
    <row r="31">
      <c r="A31" s="8" t="inlineStr">
        <is>
          <t>B14 no es residual de cierre</t>
        </is>
      </c>
      <c r="B31" s="9">
        <f>B14</f>
        <v/>
      </c>
      <c r="C31" s="8" t="inlineStr">
        <is>
          <t>Debe dar 0</t>
        </is>
      </c>
    </row>
    <row r="32">
      <c r="A32" s="8" t="inlineStr">
        <is>
          <t>B18 = total hoja Carga Flexxus</t>
        </is>
      </c>
      <c r="B32" s="9">
        <f>B18-'Carga Flexxus'!C5</f>
        <v/>
      </c>
      <c r="C32" s="8" t="inlineStr">
        <is>
          <t>Debe dar 0</t>
        </is>
      </c>
    </row>
    <row r="35">
      <c r="A35" s="6" t="inlineStr">
        <is>
          <t>Detalle de diferencias por bloque</t>
        </is>
      </c>
    </row>
    <row r="36">
      <c r="A36" s="7" t="inlineStr">
        <is>
          <t>Bloque</t>
        </is>
      </c>
      <c r="B36" s="7" t="inlineStr">
        <is>
          <t>Fecha</t>
        </is>
      </c>
      <c r="C36" s="7" t="inlineStr">
        <is>
          <t>Detalle / cuenta sugerida</t>
        </is>
      </c>
      <c r="D36" s="7" t="inlineStr">
        <is>
          <t>Cantidad</t>
        </is>
      </c>
      <c r="E36" s="7" t="inlineStr">
        <is>
          <t>Importe</t>
        </is>
      </c>
      <c r="F36" s="7" t="inlineStr">
        <is>
          <t>Observación</t>
        </is>
      </c>
    </row>
    <row r="37">
      <c r="A37" s="3" t="inlineStr">
        <is>
          <t>Menos: INGRESOS registrados en FLEXXUS que NO están en el Banco</t>
        </is>
      </c>
      <c r="E37" s="4">
        <f>B10</f>
        <v/>
      </c>
    </row>
    <row r="38">
      <c r="A38" s="8" t="inlineStr">
        <is>
          <t>Flexxus ingreso no banco</t>
        </is>
      </c>
      <c r="B38" s="8" t="inlineStr">
        <is>
          <t>21/04/2026</t>
        </is>
      </c>
      <c r="C38" s="8" t="inlineStr">
        <is>
          <t>2 PAV sin acreditar en banco</t>
        </is>
      </c>
      <c r="D38" s="8" t="n">
        <v>2</v>
      </c>
      <c r="E38" s="9" t="n">
        <v>107348.44</v>
      </c>
      <c r="F38" s="8" t="inlineStr">
        <is>
          <t>Detalle en hoja Flexxus no Banco</t>
        </is>
      </c>
    </row>
    <row r="39">
      <c r="A39" s="8" t="inlineStr">
        <is>
          <t>Flexxus ingreso no banco</t>
        </is>
      </c>
      <c r="B39" s="8" t="inlineStr">
        <is>
          <t>24/04/2026</t>
        </is>
      </c>
      <c r="C39" s="8" t="inlineStr">
        <is>
          <t>3 PAV sin acreditar en banco</t>
        </is>
      </c>
      <c r="D39" s="8" t="n">
        <v>3</v>
      </c>
      <c r="E39" s="9" t="n">
        <v>2980958.95</v>
      </c>
      <c r="F39" s="8" t="inlineStr">
        <is>
          <t>Detalle en hoja Flexxus no Banco</t>
        </is>
      </c>
    </row>
    <row r="40">
      <c r="A40" s="8" t="inlineStr">
        <is>
          <t>Flexxus ingreso no banco</t>
        </is>
      </c>
      <c r="B40" s="8" t="inlineStr">
        <is>
          <t>25/04/2026</t>
        </is>
      </c>
      <c r="C40" s="8" t="inlineStr">
        <is>
          <t>21 PAV sin acreditar en banco</t>
        </is>
      </c>
      <c r="D40" s="8" t="n">
        <v>21</v>
      </c>
      <c r="E40" s="9" t="n">
        <v>1127082.7</v>
      </c>
      <c r="F40" s="8" t="inlineStr">
        <is>
          <t>Detalle en hoja Flexxus no Banco</t>
        </is>
      </c>
    </row>
    <row r="41">
      <c r="A41" s="8" t="inlineStr">
        <is>
          <t>Flexxus ingreso no banco</t>
        </is>
      </c>
      <c r="B41" s="8" t="inlineStr">
        <is>
          <t>26/04/2026</t>
        </is>
      </c>
      <c r="C41" s="8" t="inlineStr">
        <is>
          <t>36 PAV sin acreditar en banco</t>
        </is>
      </c>
      <c r="D41" s="8" t="n">
        <v>36</v>
      </c>
      <c r="E41" s="9" t="n">
        <v>1555692.94</v>
      </c>
      <c r="F41" s="8" t="inlineStr">
        <is>
          <t>Detalle en hoja Flexxus no Banco</t>
        </is>
      </c>
    </row>
    <row r="42">
      <c r="A42" s="3" t="inlineStr">
        <is>
          <t>Más: EGRESOS registrados en FLEXXUS que NO están en el Banco</t>
        </is>
      </c>
      <c r="E42" s="4">
        <f>B11</f>
        <v/>
      </c>
    </row>
    <row r="43">
      <c r="A43" s="3" t="inlineStr">
        <is>
          <t>Más: INGRESOS en el Banco pero NO registrados en FLEXXUS</t>
        </is>
      </c>
      <c r="E43" s="4">
        <f>B12</f>
        <v/>
      </c>
    </row>
    <row r="44">
      <c r="A44" s="8" t="inlineStr">
        <is>
          <t>Banco ingreso no Flexxus</t>
        </is>
      </c>
      <c r="B44" s="8" t="inlineStr"/>
      <c r="C44" s="8" t="inlineStr">
        <is>
          <t>Ajuste menor redondeo/extracto</t>
        </is>
      </c>
      <c r="D44" s="8" t="n">
        <v>1</v>
      </c>
      <c r="E44" s="9" t="n">
        <v>3.62</v>
      </c>
      <c r="F44" s="8" t="inlineStr">
        <is>
          <t>Detalle en hoja Banco ingresos no Flexxus</t>
        </is>
      </c>
    </row>
    <row r="45">
      <c r="A45" s="8" t="inlineStr">
        <is>
          <t>Banco ingreso no Flexxus</t>
        </is>
      </c>
      <c r="B45" s="8" t="inlineStr"/>
      <c r="C45" s="8" t="inlineStr">
        <is>
          <t>QR / CR DEBIN SPOT</t>
        </is>
      </c>
      <c r="D45" s="8" t="n">
        <v>1</v>
      </c>
      <c r="E45" s="9" t="n">
        <v>32086.37</v>
      </c>
      <c r="F45" s="8" t="inlineStr">
        <is>
          <t>Detalle en hoja Banco ingresos no Flexxus</t>
        </is>
      </c>
    </row>
    <row r="46">
      <c r="A46" s="8" t="inlineStr">
        <is>
          <t>Banco ingreso no Flexxus</t>
        </is>
      </c>
      <c r="B46" s="8" t="inlineStr"/>
      <c r="C46" s="8" t="inlineStr">
        <is>
          <t>Transferencia entrante</t>
        </is>
      </c>
      <c r="D46" s="8" t="n">
        <v>1</v>
      </c>
      <c r="E46" s="9" t="n">
        <v>33180.87</v>
      </c>
      <c r="F46" s="8" t="inlineStr">
        <is>
          <t>Detalle en hoja Banco ingresos no Flexxus</t>
        </is>
      </c>
    </row>
    <row r="47">
      <c r="A47" s="3" t="inlineStr">
        <is>
          <t>Menos: EGRESOS en el Banco pero NO registrados en FLEXXUS</t>
        </is>
      </c>
      <c r="E47" s="4">
        <f>B13</f>
        <v/>
      </c>
    </row>
    <row r="48">
      <c r="A48" s="8" t="inlineStr">
        <is>
          <t>Banco egreso no Flexxus</t>
        </is>
      </c>
      <c r="B48" s="8" t="inlineStr"/>
      <c r="C48" s="8" t="inlineStr">
        <is>
          <t>Débito liquidación tarjeta</t>
        </is>
      </c>
      <c r="D48" s="8" t="n">
        <v>9</v>
      </c>
      <c r="E48" s="9" t="n">
        <v>1508.13</v>
      </c>
      <c r="F48" s="8" t="inlineStr">
        <is>
          <t>Copiar en Flexxus: Tipo=MB-EXT | Movimiento=DEB LIQ MASTERCARD 24H | Monto=1.508,13</t>
        </is>
      </c>
    </row>
    <row r="49">
      <c r="A49" s="8" t="inlineStr">
        <is>
          <t>Banco egreso no Flexxus</t>
        </is>
      </c>
      <c r="B49" s="8" t="inlineStr"/>
      <c r="C49" s="8" t="inlineStr">
        <is>
          <t>Débito pago directo</t>
        </is>
      </c>
      <c r="D49" s="8" t="n">
        <v>1</v>
      </c>
      <c r="E49" s="9" t="n">
        <v>1734593.38</v>
      </c>
      <c r="F49" s="8" t="inlineStr">
        <is>
          <t>Copiar en Flexxus: Tipo=MB-EXT | Movimiento=DEBITO PAGO DIRECTO | Monto=1.734.593,38</t>
        </is>
      </c>
    </row>
    <row r="50">
      <c r="A50" s="8" t="inlineStr">
        <is>
          <t>Banco egreso no Flexxus</t>
        </is>
      </c>
      <c r="B50" s="8" t="inlineStr"/>
      <c r="C50" s="8" t="inlineStr">
        <is>
          <t>Gasto bancario / comisión</t>
        </is>
      </c>
      <c r="D50" s="8" t="n">
        <v>3</v>
      </c>
      <c r="E50" s="9" t="n">
        <v>2868</v>
      </c>
      <c r="F50" s="8" t="inlineStr">
        <is>
          <t>Copiar en Flexxus: Tipo=MB-EXT | Movimiento=COM TRANSFE ELECTRONICA | Monto=2.868,00</t>
        </is>
      </c>
    </row>
    <row r="51">
      <c r="A51" s="8" t="inlineStr">
        <is>
          <t>Banco egreso no Flexxus</t>
        </is>
      </c>
      <c r="B51" s="8" t="inlineStr"/>
      <c r="C51" s="8" t="inlineStr">
        <is>
          <t>Anticipo Ganancias Ley 25.413 créditos</t>
        </is>
      </c>
      <c r="D51" s="8" t="n">
        <v>347</v>
      </c>
      <c r="E51" s="9" t="n">
        <v>244454.46</v>
      </c>
      <c r="F51" s="8" t="inlineStr">
        <is>
          <t>Copiar en Flexxus: Tipo=MB-EXT | Movimiento=GRAVAMEN LEY 25.413 S/CRED | Monto=244.454,46</t>
        </is>
      </c>
    </row>
    <row r="52">
      <c r="A52" s="8" t="inlineStr">
        <is>
          <t>Banco egreso no Flexxus</t>
        </is>
      </c>
      <c r="B52" s="8" t="inlineStr"/>
      <c r="C52" s="8" t="inlineStr">
        <is>
          <t>Anticipo Ganancias Ley 25.413 débitos</t>
        </is>
      </c>
      <c r="D52" s="8" t="n">
        <v>359</v>
      </c>
      <c r="E52" s="9" t="n">
        <v>106472.89</v>
      </c>
      <c r="F52" s="8" t="inlineStr">
        <is>
          <t>Copiar en Flexxus: Tipo=MB-EXT | Movimiento=GRAVAMEN LEY 25.413 S/DEB | Monto=106.472,89</t>
        </is>
      </c>
    </row>
    <row r="53">
      <c r="A53" s="8" t="inlineStr">
        <is>
          <t>Banco egreso no Flexxus</t>
        </is>
      </c>
      <c r="B53" s="8" t="inlineStr"/>
      <c r="C53" s="8" t="inlineStr">
        <is>
          <t>IVA base / IVA sobre gastos</t>
        </is>
      </c>
      <c r="D53" s="8" t="n">
        <v>3</v>
      </c>
      <c r="E53" s="9" t="n">
        <v>602.28</v>
      </c>
      <c r="F53" s="8" t="inlineStr">
        <is>
          <t>Copiar en Flexxus: Tipo=MB-EXT | Movimiento=I.V.A. BASE | Monto=602,28</t>
        </is>
      </c>
    </row>
    <row r="54">
      <c r="A54" s="8" t="inlineStr">
        <is>
          <t>Banco egreso no Flexxus</t>
        </is>
      </c>
      <c r="B54" s="8" t="inlineStr"/>
      <c r="C54" s="8" t="inlineStr">
        <is>
          <t>Retención Ingresos Brutos Mendoza</t>
        </is>
      </c>
      <c r="D54" s="8" t="n">
        <v>347</v>
      </c>
      <c r="E54" s="9" t="n">
        <v>407424.17</v>
      </c>
      <c r="F54" s="8" t="inlineStr">
        <is>
          <t>Copiar en Flexxus: Tipo=MB-EXT | Movimiento=INGRESOS BRUTOS MENDOZA | Monto=407.424,17</t>
        </is>
      </c>
    </row>
    <row r="55">
      <c r="A55" s="3" t="inlineStr">
        <is>
          <t>Pendientes anteriores</t>
        </is>
      </c>
      <c r="E55" s="4">
        <f>B14</f>
        <v/>
      </c>
    </row>
    <row r="56">
      <c r="A56" s="8" t="inlineStr">
        <is>
          <t>Info</t>
        </is>
      </c>
      <c r="B56" s="8" t="inlineStr"/>
      <c r="C56" s="8" t="inlineStr">
        <is>
          <t>Los pendientes anteriores abiertos están dentro de Flexxus no Banco, Banco ingresos no Flexxus o Banco egresos no Flexxus. No se usa residual.</t>
        </is>
      </c>
      <c r="D56" s="8" t="inlineStr"/>
      <c r="E56" s="9" t="n">
        <v>0</v>
      </c>
      <c r="F56" s="8" t="inlineStr">
        <is>
          <t>No impacta el cierre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1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DEB LIQ MASTERCARD 24H</t>
        </is>
      </c>
      <c r="B3" s="8" t="inlineStr">
        <is>
          <t>Débito liquidación tarjeta</t>
        </is>
      </c>
      <c r="C3" s="8" t="inlineStr">
        <is>
          <t>Copiar en Flexxus: Tipo=MB-EXT | Movimiento=DEB LIQ MASTERCARD 24H | Monto=1.508,13</t>
        </is>
      </c>
      <c r="D3" s="8" t="n">
        <v>9</v>
      </c>
      <c r="E3" s="9" t="n">
        <v>1508.13</v>
      </c>
      <c r="F3" s="8" t="inlineStr">
        <is>
          <t>Banco egreso no Flexxus</t>
        </is>
      </c>
    </row>
    <row r="4">
      <c r="A4" s="8" t="inlineStr">
        <is>
          <t>DEBITO PAGO DIRECTO</t>
        </is>
      </c>
      <c r="B4" s="8" t="inlineStr">
        <is>
          <t>Débito pago directo</t>
        </is>
      </c>
      <c r="C4" s="8" t="inlineStr">
        <is>
          <t>Copiar en Flexxus: Tipo=MB-EXT | Movimiento=DEBITO PAGO DIRECTO | Monto=1.734.593,38</t>
        </is>
      </c>
      <c r="D4" s="8" t="n">
        <v>1</v>
      </c>
      <c r="E4" s="9" t="n">
        <v>1734593.38</v>
      </c>
      <c r="F4" s="8" t="inlineStr">
        <is>
          <t>Banco egreso no Flexxus</t>
        </is>
      </c>
    </row>
    <row r="5">
      <c r="A5" s="8" t="inlineStr">
        <is>
          <t>COM TRANSFE ELECTRONICA</t>
        </is>
      </c>
      <c r="B5" s="8" t="inlineStr">
        <is>
          <t>Gasto bancario / comisión</t>
        </is>
      </c>
      <c r="C5" s="8" t="inlineStr">
        <is>
          <t>Copiar en Flexxus: Tipo=MB-EXT | Movimiento=COM TRANSFE ELECTRONICA | Monto=2.868,00</t>
        </is>
      </c>
      <c r="D5" s="8" t="n">
        <v>3</v>
      </c>
      <c r="E5" s="9" t="n">
        <v>2868</v>
      </c>
      <c r="F5" s="8" t="inlineStr">
        <is>
          <t>Banco egreso no Flexxus</t>
        </is>
      </c>
    </row>
    <row r="6">
      <c r="A6" s="8" t="inlineStr">
        <is>
          <t>GRAVAMEN LEY 25413 S/CRED</t>
        </is>
      </c>
      <c r="B6" s="8" t="inlineStr">
        <is>
          <t>Anticipo Ganancias Ley 25.413 créditos</t>
        </is>
      </c>
      <c r="C6" s="8" t="inlineStr">
        <is>
          <t>Copiar en Flexxus: Tipo=MB-EXT | Movimiento=GRAVAMEN LEY 25.413 S/CRED | Monto=244.454,46</t>
        </is>
      </c>
      <c r="D6" s="8" t="n">
        <v>347</v>
      </c>
      <c r="E6" s="9" t="n">
        <v>244454.46</v>
      </c>
      <c r="F6" s="8" t="inlineStr">
        <is>
          <t>Banco egreso no Flexxus</t>
        </is>
      </c>
    </row>
    <row r="7">
      <c r="A7" s="8" t="inlineStr">
        <is>
          <t>GRAVAMEN LEY 25413 S/DEB</t>
        </is>
      </c>
      <c r="B7" s="8" t="inlineStr">
        <is>
          <t>Anticipo Ganancias Ley 25.413 débitos</t>
        </is>
      </c>
      <c r="C7" s="8" t="inlineStr">
        <is>
          <t>Copiar en Flexxus: Tipo=MB-EXT | Movimiento=GRAVAMEN LEY 25.413 S/DEB | Monto=106.472,89</t>
        </is>
      </c>
      <c r="D7" s="8" t="n">
        <v>359</v>
      </c>
      <c r="E7" s="9" t="n">
        <v>106472.89</v>
      </c>
      <c r="F7" s="8" t="inlineStr">
        <is>
          <t>Banco egreso no Flexxus</t>
        </is>
      </c>
    </row>
    <row r="8">
      <c r="A8" s="8" t="inlineStr">
        <is>
          <t>I.V.A. BASE</t>
        </is>
      </c>
      <c r="B8" s="8" t="inlineStr">
        <is>
          <t>IVA base / IVA sobre gastos</t>
        </is>
      </c>
      <c r="C8" s="8" t="inlineStr">
        <is>
          <t>Copiar en Flexxus: Tipo=MB-EXT | Movimiento=I.V.A. BASE | Monto=602,28</t>
        </is>
      </c>
      <c r="D8" s="8" t="n">
        <v>3</v>
      </c>
      <c r="E8" s="9" t="n">
        <v>602.28</v>
      </c>
      <c r="F8" s="8" t="inlineStr">
        <is>
          <t>Banco egreso no Flexxus</t>
        </is>
      </c>
    </row>
    <row r="9">
      <c r="A9" s="8" t="inlineStr">
        <is>
          <t>INGRESOS BRUTOS MENDOZA</t>
        </is>
      </c>
      <c r="B9" s="8" t="inlineStr">
        <is>
          <t>Retención Ingresos Brutos Mendoza</t>
        </is>
      </c>
      <c r="C9" s="8" t="inlineStr">
        <is>
          <t>Copiar en Flexxus: Tipo=MB-EXT | Movimiento=INGRESOS BRUTOS MENDOZA | Monto=407.424,17</t>
        </is>
      </c>
      <c r="D9" s="8" t="n">
        <v>347</v>
      </c>
      <c r="E9" s="9" t="n">
        <v>407424.17</v>
      </c>
      <c r="F9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0" customWidth="1" min="4" max="4"/>
    <col width="13" customWidth="1" min="5" max="5"/>
    <col width="23" customWidth="1" min="6" max="6"/>
    <col width="12" customWidth="1" min="7" max="7"/>
    <col width="10" customWidth="1" min="8" max="8"/>
    <col width="11" customWidth="1" min="9" max="9"/>
    <col width="35" customWidth="1" min="10" max="10"/>
    <col width="18" customWidth="1" min="11" max="11"/>
    <col width="13" customWidth="1" min="12" max="12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Monto</t>
        </is>
      </c>
      <c r="H2" s="7" t="inlineStr">
        <is>
          <t>Local</t>
        </is>
      </c>
      <c r="I2" s="7" t="inlineStr">
        <is>
          <t>Cupón QR</t>
        </is>
      </c>
      <c r="J2" s="7" t="inlineStr">
        <is>
          <t>Número de Liquidación de Tarjeta</t>
        </is>
      </c>
      <c r="K2" s="7" t="inlineStr">
        <is>
          <t>Monto comparado</t>
        </is>
      </c>
      <c r="L2" s="7" t="inlineStr">
        <is>
          <t>Diferencia</t>
        </is>
      </c>
    </row>
    <row r="3">
      <c r="A3" s="8" t="inlineStr">
        <is>
          <t>PEND-D3BF838B474C-A001</t>
        </is>
      </c>
      <c r="B3" s="8" t="inlineStr">
        <is>
          <t>ABIERTO_NUEVO</t>
        </is>
      </c>
      <c r="C3" s="8" t="inlineStr">
        <is>
          <t>21/04/2026</t>
        </is>
      </c>
      <c r="D3" s="8" t="inlineStr">
        <is>
          <t>PAV</t>
        </is>
      </c>
      <c r="E3" s="8" t="inlineStr">
        <is>
          <t>1800042763</t>
        </is>
      </c>
      <c r="F3" s="8" t="inlineStr">
        <is>
          <t>PAGO TARJETA CREDITO</t>
        </is>
      </c>
      <c r="G3" s="9" t="n">
        <v>38886.97</v>
      </c>
      <c r="H3" s="8" t="inlineStr">
        <is>
          <t>Local 5</t>
        </is>
      </c>
      <c r="I3" s="8" t="inlineStr">
        <is>
          <t>1677</t>
        </is>
      </c>
      <c r="J3" s="8" t="inlineStr"/>
      <c r="K3" s="9" t="n">
        <v>38820.54</v>
      </c>
      <c r="L3" s="9" t="n">
        <v>66.43000000000001</v>
      </c>
    </row>
    <row r="4">
      <c r="A4" s="8" t="inlineStr">
        <is>
          <t>PEND-261C0F4C8AB8-A001</t>
        </is>
      </c>
      <c r="B4" s="8" t="inlineStr">
        <is>
          <t>ABIERTO_NUEVO</t>
        </is>
      </c>
      <c r="C4" s="8" t="inlineStr">
        <is>
          <t>21/04/2026</t>
        </is>
      </c>
      <c r="D4" s="8" t="inlineStr">
        <is>
          <t>PAV</t>
        </is>
      </c>
      <c r="E4" s="8" t="inlineStr">
        <is>
          <t>2300013968</t>
        </is>
      </c>
      <c r="F4" s="8" t="inlineStr">
        <is>
          <t>PAGO TARJETA CREDITO</t>
        </is>
      </c>
      <c r="G4" s="9" t="n">
        <v>68461.47</v>
      </c>
      <c r="H4" s="8" t="inlineStr">
        <is>
          <t>Local 5</t>
        </is>
      </c>
      <c r="I4" s="8" t="inlineStr"/>
      <c r="J4" s="8" t="inlineStr">
        <is>
          <t>341913</t>
        </is>
      </c>
      <c r="K4" s="9" t="n">
        <v>69062.33</v>
      </c>
      <c r="L4" s="9" t="n">
        <v>-600.86</v>
      </c>
    </row>
    <row r="5">
      <c r="A5" s="8" t="inlineStr">
        <is>
          <t>PEND-E0CE654F05FF-A001</t>
        </is>
      </c>
      <c r="B5" s="8" t="inlineStr">
        <is>
          <t>ABIERTO_NUEVO</t>
        </is>
      </c>
      <c r="C5" s="8" t="inlineStr">
        <is>
          <t>24/04/2026</t>
        </is>
      </c>
      <c r="D5" s="8" t="inlineStr">
        <is>
          <t>PAV</t>
        </is>
      </c>
      <c r="E5" s="8" t="inlineStr">
        <is>
          <t>2300014058</t>
        </is>
      </c>
      <c r="F5" s="8" t="inlineStr">
        <is>
          <t>PAGO TARJETA CREDITO</t>
        </is>
      </c>
      <c r="G5" s="9" t="n">
        <v>32086.61</v>
      </c>
      <c r="H5" s="8" t="inlineStr">
        <is>
          <t>Local 1</t>
        </is>
      </c>
      <c r="I5" s="8" t="inlineStr"/>
      <c r="J5" s="8" t="inlineStr">
        <is>
          <t>342462</t>
        </is>
      </c>
      <c r="K5" s="9" t="n">
        <v>32183.44</v>
      </c>
      <c r="L5" s="9" t="n">
        <v>-96.83</v>
      </c>
    </row>
    <row r="6">
      <c r="A6" s="8" t="inlineStr">
        <is>
          <t>PEND-6F07B64EC69E-A001</t>
        </is>
      </c>
      <c r="B6" s="8" t="inlineStr">
        <is>
          <t>ABIERTO_NUEVO</t>
        </is>
      </c>
      <c r="C6" s="8" t="inlineStr">
        <is>
          <t>24/04/2026</t>
        </is>
      </c>
      <c r="D6" s="8" t="inlineStr">
        <is>
          <t>PAV</t>
        </is>
      </c>
      <c r="E6" s="8" t="inlineStr">
        <is>
          <t>1800042817</t>
        </is>
      </c>
      <c r="F6" s="8" t="inlineStr">
        <is>
          <t>PEDIDOS YA</t>
        </is>
      </c>
      <c r="G6" s="9" t="n">
        <v>2835183.6</v>
      </c>
      <c r="H6" s="8" t="inlineStr"/>
      <c r="I6" s="8" t="inlineStr"/>
      <c r="J6" s="8" t="inlineStr"/>
      <c r="K6" s="9" t="inlineStr"/>
      <c r="L6" s="9" t="inlineStr"/>
    </row>
    <row r="7">
      <c r="A7" s="8" t="inlineStr">
        <is>
          <t>PEND-9E77A99A275C-A001</t>
        </is>
      </c>
      <c r="B7" s="8" t="inlineStr">
        <is>
          <t>ABIERTO_NUEVO</t>
        </is>
      </c>
      <c r="C7" s="8" t="inlineStr">
        <is>
          <t>24/04/2026</t>
        </is>
      </c>
      <c r="D7" s="8" t="inlineStr">
        <is>
          <t>PAV</t>
        </is>
      </c>
      <c r="E7" s="8" t="inlineStr">
        <is>
          <t>2200022628</t>
        </is>
      </c>
      <c r="F7" s="8" t="inlineStr">
        <is>
          <t>PAGO TARJETA CREDITO</t>
        </is>
      </c>
      <c r="G7" s="9" t="n">
        <v>113688.74</v>
      </c>
      <c r="H7" s="8" t="inlineStr">
        <is>
          <t>Local 8</t>
        </is>
      </c>
      <c r="I7" s="8" t="inlineStr"/>
      <c r="J7" s="8" t="inlineStr">
        <is>
          <t>342048</t>
        </is>
      </c>
      <c r="K7" s="9" t="n">
        <v>114290.79</v>
      </c>
      <c r="L7" s="9" t="n">
        <v>-602.05</v>
      </c>
    </row>
    <row r="8">
      <c r="A8" s="8" t="inlineStr">
        <is>
          <t>PEND-33F0F7058379-A001</t>
        </is>
      </c>
      <c r="B8" s="8" t="inlineStr">
        <is>
          <t>ABIERTO_NUEVO</t>
        </is>
      </c>
      <c r="C8" s="8" t="inlineStr">
        <is>
          <t>25/04/2026</t>
        </is>
      </c>
      <c r="D8" s="8" t="inlineStr">
        <is>
          <t>PAV</t>
        </is>
      </c>
      <c r="E8" s="8" t="inlineStr">
        <is>
          <t>2200022634</t>
        </is>
      </c>
      <c r="F8" s="8" t="inlineStr">
        <is>
          <t>PAGO TARJETA CREDITO</t>
        </is>
      </c>
      <c r="G8" s="9" t="n">
        <v>149439.29</v>
      </c>
      <c r="H8" s="8" t="inlineStr">
        <is>
          <t>Local 7</t>
        </is>
      </c>
      <c r="I8" s="8" t="inlineStr">
        <is>
          <t>704</t>
        </is>
      </c>
      <c r="J8" s="8" t="inlineStr"/>
      <c r="K8" s="9" t="n">
        <v>149439.29</v>
      </c>
      <c r="L8" s="9" t="n">
        <v>0</v>
      </c>
    </row>
    <row r="9">
      <c r="A9" s="8" t="inlineStr">
        <is>
          <t>PEND-1249FE691999-A001</t>
        </is>
      </c>
      <c r="B9" s="8" t="inlineStr">
        <is>
          <t>ABIERTO_NUEVO</t>
        </is>
      </c>
      <c r="C9" s="8" t="inlineStr">
        <is>
          <t>25/04/2026</t>
        </is>
      </c>
      <c r="D9" s="8" t="inlineStr">
        <is>
          <t>PAV</t>
        </is>
      </c>
      <c r="E9" s="8" t="inlineStr">
        <is>
          <t>2100058091</t>
        </is>
      </c>
      <c r="F9" s="8" t="inlineStr">
        <is>
          <t>PAGO TARJETA CREDITO</t>
        </is>
      </c>
      <c r="G9" s="9" t="n">
        <v>50605.35</v>
      </c>
      <c r="H9" s="8" t="inlineStr">
        <is>
          <t>Local 3</t>
        </is>
      </c>
      <c r="I9" s="8" t="inlineStr"/>
      <c r="J9" s="8" t="inlineStr">
        <is>
          <t>341914</t>
        </is>
      </c>
      <c r="K9" s="9" t="n">
        <v>49889.22</v>
      </c>
      <c r="L9" s="9" t="n">
        <v>716.13</v>
      </c>
    </row>
    <row r="10">
      <c r="A10" s="8" t="inlineStr">
        <is>
          <t>PEND-0694795B54BD-A001</t>
        </is>
      </c>
      <c r="B10" s="8" t="inlineStr">
        <is>
          <t>ABIERTO_NUEVO</t>
        </is>
      </c>
      <c r="C10" s="8" t="inlineStr">
        <is>
          <t>25/04/2026</t>
        </is>
      </c>
      <c r="D10" s="8" t="inlineStr">
        <is>
          <t>PAV</t>
        </is>
      </c>
      <c r="E10" s="8" t="inlineStr">
        <is>
          <t>1700036959</t>
        </is>
      </c>
      <c r="F10" s="8" t="inlineStr">
        <is>
          <t>PAGO TARJETA CREDITO</t>
        </is>
      </c>
      <c r="G10" s="9" t="n">
        <v>109330.83</v>
      </c>
      <c r="H10" s="8" t="inlineStr">
        <is>
          <t>Local 8</t>
        </is>
      </c>
      <c r="I10" s="8" t="inlineStr"/>
      <c r="J10" s="8" t="inlineStr">
        <is>
          <t>340735</t>
        </is>
      </c>
      <c r="K10" s="9" t="n">
        <v>111455.52</v>
      </c>
      <c r="L10" s="9" t="n">
        <v>-2124.69</v>
      </c>
    </row>
    <row r="11">
      <c r="A11" s="8" t="inlineStr">
        <is>
          <t>PEND-9748194786D3-A001</t>
        </is>
      </c>
      <c r="B11" s="8" t="inlineStr">
        <is>
          <t>ABIERTO_NUEVO</t>
        </is>
      </c>
      <c r="C11" s="8" t="inlineStr">
        <is>
          <t>25/04/2026</t>
        </is>
      </c>
      <c r="D11" s="8" t="inlineStr">
        <is>
          <t>PAV</t>
        </is>
      </c>
      <c r="E11" s="8" t="inlineStr">
        <is>
          <t>1700036960</t>
        </is>
      </c>
      <c r="F11" s="8" t="inlineStr">
        <is>
          <t>PAGO TARJETA CREDITO</t>
        </is>
      </c>
      <c r="G11" s="9" t="n">
        <v>33670.88</v>
      </c>
      <c r="H11" s="8" t="inlineStr">
        <is>
          <t>Local 7</t>
        </is>
      </c>
      <c r="I11" s="8" t="inlineStr"/>
      <c r="J11" s="8" t="inlineStr">
        <is>
          <t>342028</t>
        </is>
      </c>
      <c r="K11" s="9" t="n">
        <v>33650.77</v>
      </c>
      <c r="L11" s="9" t="n">
        <v>20.11</v>
      </c>
    </row>
    <row r="12">
      <c r="A12" s="8" t="inlineStr">
        <is>
          <t>PEND-858043280EA1-A001</t>
        </is>
      </c>
      <c r="B12" s="8" t="inlineStr">
        <is>
          <t>ABIERTO_NUEVO</t>
        </is>
      </c>
      <c r="C12" s="8" t="inlineStr">
        <is>
          <t>25/04/2026</t>
        </is>
      </c>
      <c r="D12" s="8" t="inlineStr">
        <is>
          <t>PAV</t>
        </is>
      </c>
      <c r="E12" s="8" t="inlineStr">
        <is>
          <t>1900042953</t>
        </is>
      </c>
      <c r="F12" s="8" t="inlineStr">
        <is>
          <t>PAGO TARJETA CREDITO</t>
        </is>
      </c>
      <c r="G12" s="9" t="n">
        <v>45950.85</v>
      </c>
      <c r="H12" s="8" t="inlineStr">
        <is>
          <t>Local 2</t>
        </is>
      </c>
      <c r="I12" s="8" t="inlineStr"/>
      <c r="J12" s="8" t="inlineStr">
        <is>
          <t>342701</t>
        </is>
      </c>
      <c r="K12" s="9" t="n">
        <v>45443.4</v>
      </c>
      <c r="L12" s="9" t="n">
        <v>507.45</v>
      </c>
    </row>
    <row r="13">
      <c r="A13" s="8" t="inlineStr">
        <is>
          <t>PEND-13D09F33D05A-A001</t>
        </is>
      </c>
      <c r="B13" s="8" t="inlineStr">
        <is>
          <t>ABIERTO_NUEVO</t>
        </is>
      </c>
      <c r="C13" s="8" t="inlineStr">
        <is>
          <t>25/04/2026</t>
        </is>
      </c>
      <c r="D13" s="8" t="inlineStr">
        <is>
          <t>PAV</t>
        </is>
      </c>
      <c r="E13" s="8" t="inlineStr">
        <is>
          <t>2200022644</t>
        </is>
      </c>
      <c r="F13" s="8" t="inlineStr">
        <is>
          <t>PAGO TARJETA CREDITO</t>
        </is>
      </c>
      <c r="G13" s="9" t="n">
        <v>33175.72</v>
      </c>
      <c r="H13" s="8" t="inlineStr">
        <is>
          <t>Local 3</t>
        </is>
      </c>
      <c r="I13" s="8" t="inlineStr"/>
      <c r="J13" s="8" t="inlineStr">
        <is>
          <t>341759</t>
        </is>
      </c>
      <c r="K13" s="9" t="n">
        <v>32868.19</v>
      </c>
      <c r="L13" s="9" t="n">
        <v>307.53</v>
      </c>
    </row>
    <row r="14">
      <c r="A14" s="8" t="inlineStr">
        <is>
          <t>PEND-6058F1D1FE28-A001</t>
        </is>
      </c>
      <c r="B14" s="8" t="inlineStr">
        <is>
          <t>ABIERTO_NUEVO</t>
        </is>
      </c>
      <c r="C14" s="8" t="inlineStr">
        <is>
          <t>25/04/2026</t>
        </is>
      </c>
      <c r="D14" s="8" t="inlineStr">
        <is>
          <t>PAV</t>
        </is>
      </c>
      <c r="E14" s="8" t="inlineStr">
        <is>
          <t>2300014128</t>
        </is>
      </c>
      <c r="F14" s="8" t="inlineStr">
        <is>
          <t>PAGO TARJETA CREDITO</t>
        </is>
      </c>
      <c r="G14" s="9" t="n">
        <v>52486.96</v>
      </c>
      <c r="H14" s="8" t="inlineStr">
        <is>
          <t>Local 7</t>
        </is>
      </c>
      <c r="I14" s="8" t="inlineStr"/>
      <c r="J14" s="8" t="inlineStr">
        <is>
          <t>341765</t>
        </is>
      </c>
      <c r="K14" s="9" t="n">
        <v>52184.78</v>
      </c>
      <c r="L14" s="9" t="n">
        <v>302.18</v>
      </c>
    </row>
    <row r="15">
      <c r="A15" s="8" t="inlineStr">
        <is>
          <t>PEND-71234A3ADAE8-A001</t>
        </is>
      </c>
      <c r="B15" s="8" t="inlineStr">
        <is>
          <t>ABIERTO_NUEVO</t>
        </is>
      </c>
      <c r="C15" s="8" t="inlineStr">
        <is>
          <t>25/04/2026</t>
        </is>
      </c>
      <c r="D15" s="8" t="inlineStr">
        <is>
          <t>PAV</t>
        </is>
      </c>
      <c r="E15" s="8" t="inlineStr">
        <is>
          <t>3400068554</t>
        </is>
      </c>
      <c r="F15" s="8" t="inlineStr">
        <is>
          <t>PAGO TARJETA CREDITO</t>
        </is>
      </c>
      <c r="G15" s="9" t="n">
        <v>12279.97</v>
      </c>
      <c r="H15" s="8" t="inlineStr">
        <is>
          <t>Local 6</t>
        </is>
      </c>
      <c r="I15" s="8" t="inlineStr"/>
      <c r="J15" s="8" t="inlineStr">
        <is>
          <t>342497</t>
        </is>
      </c>
      <c r="K15" s="9" t="n">
        <v>12227.75</v>
      </c>
      <c r="L15" s="9" t="n">
        <v>52.22</v>
      </c>
    </row>
    <row r="16">
      <c r="A16" s="8" t="inlineStr">
        <is>
          <t>PEND-B73B971493F1-A001</t>
        </is>
      </c>
      <c r="B16" s="8" t="inlineStr">
        <is>
          <t>ABIERTO_NUEVO</t>
        </is>
      </c>
      <c r="C16" s="8" t="inlineStr">
        <is>
          <t>25/04/2026</t>
        </is>
      </c>
      <c r="D16" s="8" t="inlineStr">
        <is>
          <t>PAV</t>
        </is>
      </c>
      <c r="E16" s="8" t="inlineStr">
        <is>
          <t>3400068555</t>
        </is>
      </c>
      <c r="F16" s="8" t="inlineStr">
        <is>
          <t>PAGO TARJETA CREDITO</t>
        </is>
      </c>
      <c r="G16" s="9" t="n">
        <v>13171.26</v>
      </c>
      <c r="H16" s="8" t="inlineStr">
        <is>
          <t>Local 2</t>
        </is>
      </c>
      <c r="I16" s="8" t="inlineStr"/>
      <c r="J16" s="8" t="inlineStr">
        <is>
          <t>342038</t>
        </is>
      </c>
      <c r="K16" s="9" t="n">
        <v>13205.97</v>
      </c>
      <c r="L16" s="9" t="n">
        <v>-34.71</v>
      </c>
    </row>
    <row r="17">
      <c r="A17" s="8" t="inlineStr">
        <is>
          <t>PEND-6B486ECC4B99-A001</t>
        </is>
      </c>
      <c r="B17" s="8" t="inlineStr">
        <is>
          <t>ABIERTO_NUEVO</t>
        </is>
      </c>
      <c r="C17" s="8" t="inlineStr">
        <is>
          <t>25/04/2026</t>
        </is>
      </c>
      <c r="D17" s="8" t="inlineStr">
        <is>
          <t>PAV</t>
        </is>
      </c>
      <c r="E17" s="8" t="inlineStr">
        <is>
          <t>3400068556</t>
        </is>
      </c>
      <c r="F17" s="8" t="inlineStr">
        <is>
          <t>PAGO TARJETA CREDITO</t>
        </is>
      </c>
      <c r="G17" s="9" t="n">
        <v>62687.26</v>
      </c>
      <c r="H17" s="8" t="inlineStr">
        <is>
          <t>Local 6</t>
        </is>
      </c>
      <c r="I17" s="8" t="inlineStr">
        <is>
          <t>3703</t>
        </is>
      </c>
      <c r="J17" s="8" t="inlineStr"/>
      <c r="K17" s="9" t="n">
        <v>62687.26</v>
      </c>
      <c r="L17" s="9" t="n">
        <v>0</v>
      </c>
    </row>
    <row r="18">
      <c r="A18" s="8" t="inlineStr">
        <is>
          <t>PEND-9DD41DA1C692-A001</t>
        </is>
      </c>
      <c r="B18" s="8" t="inlineStr">
        <is>
          <t>ABIERTO_NUEVO</t>
        </is>
      </c>
      <c r="C18" s="8" t="inlineStr">
        <is>
          <t>25/04/2026</t>
        </is>
      </c>
      <c r="D18" s="8" t="inlineStr">
        <is>
          <t>PAV</t>
        </is>
      </c>
      <c r="E18" s="8" t="inlineStr">
        <is>
          <t>2300014138</t>
        </is>
      </c>
      <c r="F18" s="8" t="inlineStr">
        <is>
          <t>PAGO TARJETA CREDITO</t>
        </is>
      </c>
      <c r="G18" s="9" t="n">
        <v>75561.42</v>
      </c>
      <c r="H18" s="8" t="inlineStr">
        <is>
          <t>Local 8</t>
        </is>
      </c>
      <c r="I18" s="8" t="inlineStr">
        <is>
          <t>1330</t>
        </is>
      </c>
      <c r="J18" s="8" t="inlineStr"/>
      <c r="K18" s="9" t="n">
        <v>75561.42</v>
      </c>
      <c r="L18" s="9" t="n">
        <v>0</v>
      </c>
    </row>
    <row r="19">
      <c r="A19" s="8" t="inlineStr">
        <is>
          <t>PEND-AE5BB3AB0523-A001</t>
        </is>
      </c>
      <c r="B19" s="8" t="inlineStr">
        <is>
          <t>ABIERTO_NUEVO</t>
        </is>
      </c>
      <c r="C19" s="8" t="inlineStr">
        <is>
          <t>25/04/2026</t>
        </is>
      </c>
      <c r="D19" s="8" t="inlineStr">
        <is>
          <t>PAV</t>
        </is>
      </c>
      <c r="E19" s="8" t="inlineStr">
        <is>
          <t>2300014139</t>
        </is>
      </c>
      <c r="F19" s="8" t="inlineStr">
        <is>
          <t>PAGO TARJETA CREDITO</t>
        </is>
      </c>
      <c r="G19" s="9" t="n">
        <v>65955.31</v>
      </c>
      <c r="H19" s="8" t="inlineStr">
        <is>
          <t>Local 2</t>
        </is>
      </c>
      <c r="I19" s="8" t="inlineStr"/>
      <c r="J19" s="8" t="inlineStr">
        <is>
          <t>341912</t>
        </is>
      </c>
      <c r="K19" s="9" t="n">
        <v>65540.74000000001</v>
      </c>
      <c r="L19" s="9" t="n">
        <v>414.57</v>
      </c>
    </row>
    <row r="20">
      <c r="A20" s="8" t="inlineStr">
        <is>
          <t>PEND-FFA1C4B74821-A001</t>
        </is>
      </c>
      <c r="B20" s="8" t="inlineStr">
        <is>
          <t>ABIERTO_NUEVO</t>
        </is>
      </c>
      <c r="C20" s="8" t="inlineStr">
        <is>
          <t>25/04/2026</t>
        </is>
      </c>
      <c r="D20" s="8" t="inlineStr">
        <is>
          <t>PAV</t>
        </is>
      </c>
      <c r="E20" s="8" t="inlineStr">
        <is>
          <t>2300014140</t>
        </is>
      </c>
      <c r="F20" s="8" t="inlineStr">
        <is>
          <t>PAGO TARJETA CREDITO</t>
        </is>
      </c>
      <c r="G20" s="9" t="n">
        <v>57834.69</v>
      </c>
      <c r="H20" s="8" t="inlineStr">
        <is>
          <t>Local 3</t>
        </is>
      </c>
      <c r="I20" s="8" t="inlineStr"/>
      <c r="J20" s="8" t="inlineStr">
        <is>
          <t>342827</t>
        </is>
      </c>
      <c r="K20" s="9" t="n">
        <v>58384.89</v>
      </c>
      <c r="L20" s="9" t="n">
        <v>-550.2</v>
      </c>
    </row>
    <row r="21">
      <c r="A21" s="8" t="inlineStr">
        <is>
          <t>PEND-8886F49FCAB5-A001</t>
        </is>
      </c>
      <c r="B21" s="8" t="inlineStr">
        <is>
          <t>ABIERTO_NUEVO</t>
        </is>
      </c>
      <c r="C21" s="8" t="inlineStr">
        <is>
          <t>25/04/2026</t>
        </is>
      </c>
      <c r="D21" s="8" t="inlineStr">
        <is>
          <t>PAV</t>
        </is>
      </c>
      <c r="E21" s="8" t="inlineStr">
        <is>
          <t>2300014141</t>
        </is>
      </c>
      <c r="F21" s="8" t="inlineStr">
        <is>
          <t>PAGO TARJETA CREDITO</t>
        </is>
      </c>
      <c r="G21" s="9" t="n">
        <v>31541.69</v>
      </c>
      <c r="H21" s="8" t="inlineStr">
        <is>
          <t>Local 3</t>
        </is>
      </c>
      <c r="I21" s="8" t="inlineStr"/>
      <c r="J21" s="8" t="inlineStr">
        <is>
          <t>341775</t>
        </is>
      </c>
      <c r="K21" s="9" t="n">
        <v>31694.33</v>
      </c>
      <c r="L21" s="9" t="n">
        <v>-152.64</v>
      </c>
    </row>
    <row r="22">
      <c r="A22" s="8" t="inlineStr">
        <is>
          <t>PEND-86348EE2ACE2-A001</t>
        </is>
      </c>
      <c r="B22" s="8" t="inlineStr">
        <is>
          <t>ABIERTO_NUEVO</t>
        </is>
      </c>
      <c r="C22" s="8" t="inlineStr">
        <is>
          <t>25/04/2026</t>
        </is>
      </c>
      <c r="D22" s="8" t="inlineStr">
        <is>
          <t>PAV</t>
        </is>
      </c>
      <c r="E22" s="8" t="inlineStr">
        <is>
          <t>2300014142</t>
        </is>
      </c>
      <c r="F22" s="8" t="inlineStr">
        <is>
          <t>PAGO TARJETA CREDITO</t>
        </is>
      </c>
      <c r="G22" s="9" t="n">
        <v>63083.38</v>
      </c>
      <c r="H22" s="8" t="inlineStr">
        <is>
          <t>Local 2</t>
        </is>
      </c>
      <c r="I22" s="8" t="inlineStr"/>
      <c r="J22" s="8" t="inlineStr">
        <is>
          <t>342119</t>
        </is>
      </c>
      <c r="K22" s="9" t="n">
        <v>64073.41</v>
      </c>
      <c r="L22" s="9" t="n">
        <v>-990.03</v>
      </c>
    </row>
    <row r="23">
      <c r="A23" s="8" t="inlineStr">
        <is>
          <t>PEND-BB100ACD8AD2-A001</t>
        </is>
      </c>
      <c r="B23" s="8" t="inlineStr">
        <is>
          <t>ABIERTO_NUEVO</t>
        </is>
      </c>
      <c r="C23" s="8" t="inlineStr">
        <is>
          <t>25/04/2026</t>
        </is>
      </c>
      <c r="D23" s="8" t="inlineStr">
        <is>
          <t>PAV</t>
        </is>
      </c>
      <c r="E23" s="8" t="inlineStr">
        <is>
          <t>1700036970</t>
        </is>
      </c>
      <c r="F23" s="8" t="inlineStr">
        <is>
          <t>PAGO TARJETA CREDITO</t>
        </is>
      </c>
      <c r="G23" s="9" t="n">
        <v>9804.17</v>
      </c>
      <c r="H23" s="8" t="inlineStr">
        <is>
          <t>Local 5</t>
        </is>
      </c>
      <c r="I23" s="8" t="inlineStr">
        <is>
          <t>1419</t>
        </is>
      </c>
      <c r="J23" s="8" t="inlineStr"/>
      <c r="K23" s="9" t="n">
        <v>9804.17</v>
      </c>
      <c r="L23" s="9" t="n">
        <v>0</v>
      </c>
    </row>
    <row r="24">
      <c r="A24" s="8" t="inlineStr">
        <is>
          <t>PEND-E481D4F49189-A001</t>
        </is>
      </c>
      <c r="B24" s="8" t="inlineStr">
        <is>
          <t>ABIERTO_NUEVO</t>
        </is>
      </c>
      <c r="C24" s="8" t="inlineStr">
        <is>
          <t>25/04/2026</t>
        </is>
      </c>
      <c r="D24" s="8" t="inlineStr">
        <is>
          <t>PAV</t>
        </is>
      </c>
      <c r="E24" s="8" t="inlineStr">
        <is>
          <t>1800042859</t>
        </is>
      </c>
      <c r="F24" s="8" t="inlineStr">
        <is>
          <t>PAGO TARJETA CREDITO</t>
        </is>
      </c>
      <c r="G24" s="9" t="n">
        <v>9408.040000000001</v>
      </c>
      <c r="H24" s="8" t="inlineStr">
        <is>
          <t>Local 5</t>
        </is>
      </c>
      <c r="I24" s="8" t="inlineStr">
        <is>
          <t>1668</t>
        </is>
      </c>
      <c r="J24" s="8" t="inlineStr"/>
      <c r="K24" s="9" t="n">
        <v>9408.040000000001</v>
      </c>
      <c r="L24" s="9" t="n">
        <v>0</v>
      </c>
    </row>
    <row r="25">
      <c r="A25" s="8" t="inlineStr">
        <is>
          <t>PEND-054422237AA2-A001</t>
        </is>
      </c>
      <c r="B25" s="8" t="inlineStr">
        <is>
          <t>ABIERTO_NUEVO</t>
        </is>
      </c>
      <c r="C25" s="8" t="inlineStr">
        <is>
          <t>25/04/2026</t>
        </is>
      </c>
      <c r="D25" s="8" t="inlineStr">
        <is>
          <t>PAV</t>
        </is>
      </c>
      <c r="E25" s="8" t="inlineStr">
        <is>
          <t>3400068572</t>
        </is>
      </c>
      <c r="F25" s="8" t="inlineStr">
        <is>
          <t>PAGO TARJETA CREDITO</t>
        </is>
      </c>
      <c r="G25" s="9" t="n">
        <v>10497.39</v>
      </c>
      <c r="H25" s="8" t="inlineStr">
        <is>
          <t>Local 6</t>
        </is>
      </c>
      <c r="I25" s="8" t="inlineStr">
        <is>
          <t>3710</t>
        </is>
      </c>
      <c r="J25" s="8" t="inlineStr"/>
      <c r="K25" s="9" t="n">
        <v>10497.39</v>
      </c>
      <c r="L25" s="9" t="n">
        <v>0</v>
      </c>
    </row>
    <row r="26">
      <c r="A26" s="8" t="inlineStr">
        <is>
          <t>PEND-E3352EB2DA7C-A001</t>
        </is>
      </c>
      <c r="B26" s="8" t="inlineStr">
        <is>
          <t>ABIERTO_NUEVO</t>
        </is>
      </c>
      <c r="C26" s="8" t="inlineStr">
        <is>
          <t>25/04/2026</t>
        </is>
      </c>
      <c r="D26" s="8" t="inlineStr">
        <is>
          <t>PAV</t>
        </is>
      </c>
      <c r="E26" s="8" t="inlineStr">
        <is>
          <t>2300014155</t>
        </is>
      </c>
      <c r="F26" s="8" t="inlineStr">
        <is>
          <t>PAGO TARJETA CREDITO</t>
        </is>
      </c>
      <c r="G26" s="9" t="n">
        <v>121413.23</v>
      </c>
      <c r="H26" s="8" t="inlineStr">
        <is>
          <t>Local 8</t>
        </is>
      </c>
      <c r="I26" s="8" t="inlineStr"/>
      <c r="J26" s="8" t="inlineStr">
        <is>
          <t>342839</t>
        </is>
      </c>
      <c r="K26" s="9" t="n">
        <v>121314.12</v>
      </c>
      <c r="L26" s="9" t="n">
        <v>99.11</v>
      </c>
    </row>
    <row r="27">
      <c r="A27" s="8" t="inlineStr">
        <is>
          <t>PEND-8B96A8F68434-A001</t>
        </is>
      </c>
      <c r="B27" s="8" t="inlineStr">
        <is>
          <t>ABIERTO_NUEVO</t>
        </is>
      </c>
      <c r="C27" s="8" t="inlineStr">
        <is>
          <t>25/04/2026</t>
        </is>
      </c>
      <c r="D27" s="8" t="inlineStr">
        <is>
          <t>PAV</t>
        </is>
      </c>
      <c r="E27" s="8" t="inlineStr">
        <is>
          <t>3400068582</t>
        </is>
      </c>
      <c r="F27" s="8" t="inlineStr">
        <is>
          <t>PAGO TARJETA CREDITO</t>
        </is>
      </c>
      <c r="G27" s="9" t="n">
        <v>12577.06</v>
      </c>
      <c r="H27" s="8" t="inlineStr">
        <is>
          <t>Local 2</t>
        </is>
      </c>
      <c r="I27" s="8" t="inlineStr"/>
      <c r="J27" s="8" t="inlineStr">
        <is>
          <t>342289</t>
        </is>
      </c>
      <c r="K27" s="9" t="n">
        <v>12348.75</v>
      </c>
      <c r="L27" s="9" t="n">
        <v>228.31</v>
      </c>
    </row>
    <row r="28">
      <c r="A28" s="8" t="inlineStr">
        <is>
          <t>PEND-36EF0AB72CF4-A001</t>
        </is>
      </c>
      <c r="B28" s="8" t="inlineStr">
        <is>
          <t>ABIERTO_NUEVO</t>
        </is>
      </c>
      <c r="C28" s="8" t="inlineStr">
        <is>
          <t>25/04/2026</t>
        </is>
      </c>
      <c r="D28" s="8" t="inlineStr">
        <is>
          <t>PAV</t>
        </is>
      </c>
      <c r="E28" s="8" t="inlineStr">
        <is>
          <t>2200022650</t>
        </is>
      </c>
      <c r="F28" s="8" t="inlineStr">
        <is>
          <t>PAGO TARJETA CREDITO</t>
        </is>
      </c>
      <c r="G28" s="9" t="n">
        <v>106607.95</v>
      </c>
      <c r="H28" s="8" t="inlineStr">
        <is>
          <t>Local 2</t>
        </is>
      </c>
      <c r="I28" s="8" t="inlineStr"/>
      <c r="J28" s="8" t="inlineStr">
        <is>
          <t>342413</t>
        </is>
      </c>
      <c r="K28" s="9" t="n">
        <v>104519.82</v>
      </c>
      <c r="L28" s="9" t="n">
        <v>2088.13</v>
      </c>
    </row>
    <row r="29">
      <c r="A29" s="8" t="inlineStr">
        <is>
          <t>PEND-D12018A4F0FA-A001</t>
        </is>
      </c>
      <c r="B29" s="8" t="inlineStr">
        <is>
          <t>ABIERTO_NUEVO</t>
        </is>
      </c>
      <c r="C29" s="8" t="inlineStr">
        <is>
          <t>26/04/2026</t>
        </is>
      </c>
      <c r="D29" s="8" t="inlineStr">
        <is>
          <t>PAV</t>
        </is>
      </c>
      <c r="E29" s="8" t="inlineStr">
        <is>
          <t>2100058108</t>
        </is>
      </c>
      <c r="F29" s="8" t="inlineStr">
        <is>
          <t>PAGO TARJETA CREDITO</t>
        </is>
      </c>
      <c r="G29" s="9" t="n">
        <v>78037.32000000001</v>
      </c>
      <c r="H29" s="8" t="inlineStr">
        <is>
          <t>Local 5</t>
        </is>
      </c>
      <c r="I29" s="8" t="inlineStr">
        <is>
          <t>383</t>
        </is>
      </c>
      <c r="J29" s="8" t="inlineStr"/>
      <c r="K29" s="9" t="n">
        <v>78037.22</v>
      </c>
      <c r="L29" s="9" t="n">
        <v>0.1</v>
      </c>
    </row>
    <row r="30">
      <c r="A30" s="8" t="inlineStr">
        <is>
          <t>PEND-05F4B02153A9-A001</t>
        </is>
      </c>
      <c r="B30" s="8" t="inlineStr">
        <is>
          <t>ABIERTO_NUEVO</t>
        </is>
      </c>
      <c r="C30" s="8" t="inlineStr">
        <is>
          <t>26/04/2026</t>
        </is>
      </c>
      <c r="D30" s="8" t="inlineStr">
        <is>
          <t>PAV</t>
        </is>
      </c>
      <c r="E30" s="8" t="inlineStr">
        <is>
          <t>2200022661</t>
        </is>
      </c>
      <c r="F30" s="8" t="inlineStr">
        <is>
          <t>PAGO TARJETA CREDITO</t>
        </is>
      </c>
      <c r="G30" s="9" t="n">
        <v>72887.55</v>
      </c>
      <c r="H30" s="8" t="inlineStr">
        <is>
          <t>Local 7</t>
        </is>
      </c>
      <c r="I30" s="8" t="inlineStr"/>
      <c r="J30" s="8" t="inlineStr">
        <is>
          <t>340880</t>
        </is>
      </c>
      <c r="K30" s="9" t="n">
        <v>71899.17</v>
      </c>
      <c r="L30" s="9" t="n">
        <v>988.38</v>
      </c>
    </row>
    <row r="31">
      <c r="A31" s="8" t="inlineStr">
        <is>
          <t>PEND-F7930F01B58E-A001</t>
        </is>
      </c>
      <c r="B31" s="8" t="inlineStr">
        <is>
          <t>ABIERTO_NUEVO</t>
        </is>
      </c>
      <c r="C31" s="8" t="inlineStr">
        <is>
          <t>26/04/2026</t>
        </is>
      </c>
      <c r="D31" s="8" t="inlineStr">
        <is>
          <t>PAV</t>
        </is>
      </c>
      <c r="E31" s="8" t="inlineStr">
        <is>
          <t>2200022660</t>
        </is>
      </c>
      <c r="F31" s="8" t="inlineStr">
        <is>
          <t>PAGO TARJETA CREDITO</t>
        </is>
      </c>
      <c r="G31" s="9" t="n">
        <v>84375.25999999999</v>
      </c>
      <c r="H31" s="8" t="inlineStr">
        <is>
          <t>Local 7</t>
        </is>
      </c>
      <c r="I31" s="8" t="inlineStr"/>
      <c r="J31" s="8" t="inlineStr">
        <is>
          <t>342278</t>
        </is>
      </c>
      <c r="K31" s="9" t="n">
        <v>83624.69</v>
      </c>
      <c r="L31" s="9" t="n">
        <v>750.5700000000001</v>
      </c>
    </row>
    <row r="32">
      <c r="A32" s="8" t="inlineStr">
        <is>
          <t>PEND-55E1645872E5-A001</t>
        </is>
      </c>
      <c r="B32" s="8" t="inlineStr">
        <is>
          <t>ABIERTO_NUEVO</t>
        </is>
      </c>
      <c r="C32" s="8" t="inlineStr">
        <is>
          <t>26/04/2026</t>
        </is>
      </c>
      <c r="D32" s="8" t="inlineStr">
        <is>
          <t>PAV</t>
        </is>
      </c>
      <c r="E32" s="8" t="inlineStr">
        <is>
          <t>2100058111</t>
        </is>
      </c>
      <c r="F32" s="8" t="inlineStr">
        <is>
          <t>PAGO TARJETA CREDITO</t>
        </is>
      </c>
      <c r="G32" s="9" t="n">
        <v>25550.26</v>
      </c>
      <c r="H32" s="8" t="inlineStr">
        <is>
          <t>Local 5</t>
        </is>
      </c>
      <c r="I32" s="8" t="inlineStr">
        <is>
          <t>384</t>
        </is>
      </c>
      <c r="J32" s="8" t="inlineStr"/>
      <c r="K32" s="9" t="n">
        <v>25550.26</v>
      </c>
      <c r="L32" s="9" t="n">
        <v>0</v>
      </c>
    </row>
    <row r="33">
      <c r="A33" s="8" t="inlineStr">
        <is>
          <t>PEND-AB01F26DE461-A001</t>
        </is>
      </c>
      <c r="B33" s="8" t="inlineStr">
        <is>
          <t>ABIERTO_NUEVO</t>
        </is>
      </c>
      <c r="C33" s="8" t="inlineStr">
        <is>
          <t>26/04/2026</t>
        </is>
      </c>
      <c r="D33" s="8" t="inlineStr">
        <is>
          <t>PAV</t>
        </is>
      </c>
      <c r="E33" s="8" t="inlineStr">
        <is>
          <t>2100058122</t>
        </is>
      </c>
      <c r="F33" s="8" t="inlineStr">
        <is>
          <t>PAGO TARJETA CREDITO</t>
        </is>
      </c>
      <c r="G33" s="9" t="n">
        <v>4456.44</v>
      </c>
      <c r="H33" s="8" t="inlineStr">
        <is>
          <t>Local 5</t>
        </is>
      </c>
      <c r="I33" s="8" t="inlineStr">
        <is>
          <t>386</t>
        </is>
      </c>
      <c r="J33" s="8" t="inlineStr"/>
      <c r="K33" s="9" t="n">
        <v>4456.44</v>
      </c>
      <c r="L33" s="9" t="n">
        <v>0</v>
      </c>
    </row>
    <row r="34">
      <c r="A34" s="8" t="inlineStr">
        <is>
          <t>PEND-13C2884393FE-A001</t>
        </is>
      </c>
      <c r="B34" s="8" t="inlineStr">
        <is>
          <t>ABIERTO_NUEVO</t>
        </is>
      </c>
      <c r="C34" s="8" t="inlineStr">
        <is>
          <t>26/04/2026</t>
        </is>
      </c>
      <c r="D34" s="8" t="inlineStr">
        <is>
          <t>PAV</t>
        </is>
      </c>
      <c r="E34" s="8" t="inlineStr">
        <is>
          <t>2100058129</t>
        </is>
      </c>
      <c r="F34" s="8" t="inlineStr">
        <is>
          <t>PAGO TARJETA CREDITO</t>
        </is>
      </c>
      <c r="G34" s="9" t="n">
        <v>51298.58</v>
      </c>
      <c r="H34" s="8" t="inlineStr">
        <is>
          <t>Local 7</t>
        </is>
      </c>
      <c r="I34" s="8" t="inlineStr"/>
      <c r="J34" s="8" t="inlineStr">
        <is>
          <t>341765</t>
        </is>
      </c>
      <c r="K34" s="9" t="n">
        <v>52184.78</v>
      </c>
      <c r="L34" s="9" t="n">
        <v>-886.2</v>
      </c>
    </row>
    <row r="35">
      <c r="A35" s="8" t="inlineStr">
        <is>
          <t>PEND-9764DD199D27-A001</t>
        </is>
      </c>
      <c r="B35" s="8" t="inlineStr">
        <is>
          <t>ABIERTO_NUEVO</t>
        </is>
      </c>
      <c r="C35" s="8" t="inlineStr">
        <is>
          <t>26/04/2026</t>
        </is>
      </c>
      <c r="D35" s="8" t="inlineStr">
        <is>
          <t>PAV</t>
        </is>
      </c>
      <c r="E35" s="8" t="inlineStr">
        <is>
          <t>2300014179</t>
        </is>
      </c>
      <c r="F35" s="8" t="inlineStr">
        <is>
          <t>PAGO TARJETA CREDITO</t>
        </is>
      </c>
      <c r="G35" s="9" t="n">
        <v>94080.39999999999</v>
      </c>
      <c r="H35" s="8" t="inlineStr">
        <is>
          <t>Local 8</t>
        </is>
      </c>
      <c r="I35" s="8" t="inlineStr"/>
      <c r="J35" s="8" t="inlineStr">
        <is>
          <t>341766</t>
        </is>
      </c>
      <c r="K35" s="9" t="n">
        <v>95474.32000000001</v>
      </c>
      <c r="L35" s="9" t="n">
        <v>-1393.92</v>
      </c>
    </row>
    <row r="36">
      <c r="A36" s="8" t="inlineStr">
        <is>
          <t>PEND-F9DF13E1D9E0-A001</t>
        </is>
      </c>
      <c r="B36" s="8" t="inlineStr">
        <is>
          <t>ABIERTO_NUEVO</t>
        </is>
      </c>
      <c r="C36" s="8" t="inlineStr">
        <is>
          <t>26/04/2026</t>
        </is>
      </c>
      <c r="D36" s="8" t="inlineStr">
        <is>
          <t>PAV</t>
        </is>
      </c>
      <c r="E36" s="8" t="inlineStr">
        <is>
          <t>1700036996</t>
        </is>
      </c>
      <c r="F36" s="8" t="inlineStr">
        <is>
          <t>PAGO TARJETA CREDITO</t>
        </is>
      </c>
      <c r="G36" s="9" t="n">
        <v>16637.38</v>
      </c>
      <c r="H36" s="8" t="inlineStr">
        <is>
          <t>Local 5</t>
        </is>
      </c>
      <c r="I36" s="8" t="inlineStr">
        <is>
          <t>1422</t>
        </is>
      </c>
      <c r="J36" s="8" t="inlineStr"/>
      <c r="K36" s="9" t="n">
        <v>16637.38</v>
      </c>
      <c r="L36" s="9" t="n">
        <v>0</v>
      </c>
    </row>
    <row r="37">
      <c r="A37" s="8" t="inlineStr">
        <is>
          <t>PEND-2073512ACB55-A001</t>
        </is>
      </c>
      <c r="B37" s="8" t="inlineStr">
        <is>
          <t>ABIERTO_NUEVO</t>
        </is>
      </c>
      <c r="C37" s="8" t="inlineStr">
        <is>
          <t>26/04/2026</t>
        </is>
      </c>
      <c r="D37" s="8" t="inlineStr">
        <is>
          <t>PAV</t>
        </is>
      </c>
      <c r="E37" s="8" t="inlineStr">
        <is>
          <t>1700036997</t>
        </is>
      </c>
      <c r="F37" s="8" t="inlineStr">
        <is>
          <t>PAGO TARJETA CREDITO</t>
        </is>
      </c>
      <c r="G37" s="9" t="n">
        <v>13368.35</v>
      </c>
      <c r="H37" s="8" t="inlineStr">
        <is>
          <t>Local 2</t>
        </is>
      </c>
      <c r="I37" s="8" t="inlineStr"/>
      <c r="J37" s="8" t="inlineStr">
        <is>
          <t>342038</t>
        </is>
      </c>
      <c r="K37" s="9" t="n">
        <v>13205.97</v>
      </c>
      <c r="L37" s="9" t="n">
        <v>162.38</v>
      </c>
    </row>
    <row r="38">
      <c r="A38" s="8" t="inlineStr">
        <is>
          <t>PEND-381263096B06-A001</t>
        </is>
      </c>
      <c r="B38" s="8" t="inlineStr">
        <is>
          <t>ABIERTO_NUEVO</t>
        </is>
      </c>
      <c r="C38" s="8" t="inlineStr">
        <is>
          <t>26/04/2026</t>
        </is>
      </c>
      <c r="D38" s="8" t="inlineStr">
        <is>
          <t>PAV</t>
        </is>
      </c>
      <c r="E38" s="8" t="inlineStr">
        <is>
          <t>1700036998</t>
        </is>
      </c>
      <c r="F38" s="8" t="inlineStr">
        <is>
          <t>PAGO TARJETA CREDITO</t>
        </is>
      </c>
      <c r="G38" s="9" t="n">
        <v>24559.94</v>
      </c>
      <c r="H38" s="8" t="inlineStr">
        <is>
          <t>Local 5</t>
        </is>
      </c>
      <c r="I38" s="8" t="inlineStr"/>
      <c r="J38" s="8" t="inlineStr">
        <is>
          <t>342703</t>
        </is>
      </c>
      <c r="K38" s="9" t="n">
        <v>24697.5</v>
      </c>
      <c r="L38" s="9" t="n">
        <v>-137.56</v>
      </c>
    </row>
    <row r="39">
      <c r="A39" s="8" t="inlineStr">
        <is>
          <t>PEND-51E4FE9CCA4D-A001</t>
        </is>
      </c>
      <c r="B39" s="8" t="inlineStr">
        <is>
          <t>ABIERTO_NUEVO</t>
        </is>
      </c>
      <c r="C39" s="8" t="inlineStr">
        <is>
          <t>26/04/2026</t>
        </is>
      </c>
      <c r="D39" s="8" t="inlineStr">
        <is>
          <t>PAV</t>
        </is>
      </c>
      <c r="E39" s="8" t="inlineStr">
        <is>
          <t>2100058148</t>
        </is>
      </c>
      <c r="F39" s="8" t="inlineStr">
        <is>
          <t>PAGO TARJETA CREDITO</t>
        </is>
      </c>
      <c r="G39" s="9" t="n">
        <v>54962.76</v>
      </c>
      <c r="H39" s="8" t="inlineStr">
        <is>
          <t>Local 5</t>
        </is>
      </c>
      <c r="I39" s="8" t="inlineStr">
        <is>
          <t>393</t>
        </is>
      </c>
      <c r="J39" s="8" t="inlineStr"/>
      <c r="K39" s="9" t="n">
        <v>54962.76</v>
      </c>
      <c r="L39" s="9" t="n">
        <v>0</v>
      </c>
    </row>
    <row r="40">
      <c r="A40" s="8" t="inlineStr">
        <is>
          <t>PEND-4C001F8A1279-A001</t>
        </is>
      </c>
      <c r="B40" s="8" t="inlineStr">
        <is>
          <t>ABIERTO_NUEVO</t>
        </is>
      </c>
      <c r="C40" s="8" t="inlineStr">
        <is>
          <t>26/04/2026</t>
        </is>
      </c>
      <c r="D40" s="8" t="inlineStr">
        <is>
          <t>PAV</t>
        </is>
      </c>
      <c r="E40" s="8" t="inlineStr">
        <is>
          <t>2100058151</t>
        </is>
      </c>
      <c r="F40" s="8" t="inlineStr">
        <is>
          <t>PAGO TARJETA CREDITO</t>
        </is>
      </c>
      <c r="G40" s="9" t="n">
        <v>12379</v>
      </c>
      <c r="H40" s="8" t="inlineStr">
        <is>
          <t>Local 2</t>
        </is>
      </c>
      <c r="I40" s="8" t="inlineStr"/>
      <c r="J40" s="8" t="inlineStr">
        <is>
          <t>342289</t>
        </is>
      </c>
      <c r="K40" s="9" t="n">
        <v>12348.75</v>
      </c>
      <c r="L40" s="9" t="n">
        <v>30.25</v>
      </c>
    </row>
    <row r="41">
      <c r="A41" s="8" t="inlineStr">
        <is>
          <t>PEND-49F71C428ABD-A001</t>
        </is>
      </c>
      <c r="B41" s="8" t="inlineStr">
        <is>
          <t>ABIERTO_NUEVO</t>
        </is>
      </c>
      <c r="C41" s="8" t="inlineStr">
        <is>
          <t>26/04/2026</t>
        </is>
      </c>
      <c r="D41" s="8" t="inlineStr">
        <is>
          <t>PAV</t>
        </is>
      </c>
      <c r="E41" s="8" t="inlineStr">
        <is>
          <t>1800042909</t>
        </is>
      </c>
      <c r="F41" s="8" t="inlineStr">
        <is>
          <t>PAGO TARJETA CREDITO</t>
        </is>
      </c>
      <c r="G41" s="9" t="n">
        <v>42979.89</v>
      </c>
      <c r="H41" s="8" t="inlineStr">
        <is>
          <t>Local 6</t>
        </is>
      </c>
      <c r="I41" s="8" t="inlineStr"/>
      <c r="J41" s="8" t="inlineStr">
        <is>
          <t>340731</t>
        </is>
      </c>
      <c r="K41" s="9" t="n">
        <v>42846.04</v>
      </c>
      <c r="L41" s="9" t="n">
        <v>133.85</v>
      </c>
    </row>
    <row r="42">
      <c r="A42" s="8" t="inlineStr">
        <is>
          <t>PEND-49691F506556-A001</t>
        </is>
      </c>
      <c r="B42" s="8" t="inlineStr">
        <is>
          <t>ABIERTO_NUEVO</t>
        </is>
      </c>
      <c r="C42" s="8" t="inlineStr">
        <is>
          <t>26/04/2026</t>
        </is>
      </c>
      <c r="D42" s="8" t="inlineStr">
        <is>
          <t>PAV</t>
        </is>
      </c>
      <c r="E42" s="8" t="inlineStr">
        <is>
          <t>1800042910</t>
        </is>
      </c>
      <c r="F42" s="8" t="inlineStr">
        <is>
          <t>PAGO TARJETA CREDITO</t>
        </is>
      </c>
      <c r="G42" s="9" t="n">
        <v>38820.54</v>
      </c>
      <c r="H42" s="8" t="inlineStr">
        <is>
          <t>Local 5</t>
        </is>
      </c>
      <c r="I42" s="8" t="inlineStr">
        <is>
          <t>1677</t>
        </is>
      </c>
      <c r="J42" s="8" t="inlineStr"/>
      <c r="K42" s="9" t="n">
        <v>38820.54</v>
      </c>
      <c r="L42" s="9" t="n">
        <v>0</v>
      </c>
    </row>
    <row r="43">
      <c r="A43" s="8" t="inlineStr">
        <is>
          <t>PEND-72D9C41F98FA-A001</t>
        </is>
      </c>
      <c r="B43" s="8" t="inlineStr">
        <is>
          <t>ABIERTO_NUEVO</t>
        </is>
      </c>
      <c r="C43" s="8" t="inlineStr">
        <is>
          <t>26/04/2026</t>
        </is>
      </c>
      <c r="D43" s="8" t="inlineStr">
        <is>
          <t>PAV</t>
        </is>
      </c>
      <c r="E43" s="8" t="inlineStr">
        <is>
          <t>1800042911</t>
        </is>
      </c>
      <c r="F43" s="8" t="inlineStr">
        <is>
          <t>PAGO TARJETA CREDITO</t>
        </is>
      </c>
      <c r="G43" s="9" t="n">
        <v>28026.06</v>
      </c>
      <c r="H43" s="8" t="inlineStr">
        <is>
          <t>Local 5</t>
        </is>
      </c>
      <c r="I43" s="8" t="inlineStr">
        <is>
          <t>1678</t>
        </is>
      </c>
      <c r="J43" s="8" t="inlineStr"/>
      <c r="K43" s="9" t="n">
        <v>28026.06</v>
      </c>
      <c r="L43" s="9" t="n">
        <v>0</v>
      </c>
    </row>
    <row r="44">
      <c r="A44" s="8" t="inlineStr">
        <is>
          <t>PEND-211ADC7AF4AE-A001</t>
        </is>
      </c>
      <c r="B44" s="8" t="inlineStr">
        <is>
          <t>ABIERTO_NUEVO</t>
        </is>
      </c>
      <c r="C44" s="8" t="inlineStr">
        <is>
          <t>26/04/2026</t>
        </is>
      </c>
      <c r="D44" s="8" t="inlineStr">
        <is>
          <t>PAV</t>
        </is>
      </c>
      <c r="E44" s="8" t="inlineStr">
        <is>
          <t>1800042912</t>
        </is>
      </c>
      <c r="F44" s="8" t="inlineStr">
        <is>
          <t>PAGO TARJETA CREDITO</t>
        </is>
      </c>
      <c r="G44" s="9" t="n">
        <v>75759.48</v>
      </c>
      <c r="H44" s="8" t="inlineStr">
        <is>
          <t>Local 5</t>
        </is>
      </c>
      <c r="I44" s="8" t="inlineStr">
        <is>
          <t>1679</t>
        </is>
      </c>
      <c r="J44" s="8" t="inlineStr"/>
      <c r="K44" s="9" t="n">
        <v>75759.48</v>
      </c>
      <c r="L44" s="9" t="n">
        <v>0</v>
      </c>
    </row>
    <row r="45">
      <c r="A45" s="8" t="inlineStr">
        <is>
          <t>PEND-86EF1DC4B0E8-A001</t>
        </is>
      </c>
      <c r="B45" s="8" t="inlineStr">
        <is>
          <t>ABIERTO_NUEVO</t>
        </is>
      </c>
      <c r="C45" s="8" t="inlineStr">
        <is>
          <t>26/04/2026</t>
        </is>
      </c>
      <c r="D45" s="8" t="inlineStr">
        <is>
          <t>PAV</t>
        </is>
      </c>
      <c r="E45" s="8" t="inlineStr">
        <is>
          <t>1800042913</t>
        </is>
      </c>
      <c r="F45" s="8" t="inlineStr">
        <is>
          <t>PAGO TARJETA CREDITO</t>
        </is>
      </c>
      <c r="G45" s="9" t="n">
        <v>49516</v>
      </c>
      <c r="H45" s="8" t="inlineStr">
        <is>
          <t>Local 1</t>
        </is>
      </c>
      <c r="I45" s="8" t="inlineStr"/>
      <c r="J45" s="8" t="inlineStr">
        <is>
          <t>342313</t>
        </is>
      </c>
      <c r="K45" s="9" t="n">
        <v>49681.49</v>
      </c>
      <c r="L45" s="9" t="n">
        <v>-165.49</v>
      </c>
    </row>
    <row r="46">
      <c r="A46" s="8" t="inlineStr">
        <is>
          <t>PEND-2816E97A2DFB-A001</t>
        </is>
      </c>
      <c r="B46" s="8" t="inlineStr">
        <is>
          <t>ABIERTO_NUEVO</t>
        </is>
      </c>
      <c r="C46" s="8" t="inlineStr">
        <is>
          <t>26/04/2026</t>
        </is>
      </c>
      <c r="D46" s="8" t="inlineStr">
        <is>
          <t>PAV</t>
        </is>
      </c>
      <c r="E46" s="8" t="inlineStr">
        <is>
          <t>1800042915</t>
        </is>
      </c>
      <c r="F46" s="8" t="inlineStr">
        <is>
          <t>PAGO TARJETA CREDITO</t>
        </is>
      </c>
      <c r="G46" s="9" t="n">
        <v>14656.74</v>
      </c>
      <c r="H46" s="8" t="inlineStr">
        <is>
          <t>Local 5</t>
        </is>
      </c>
      <c r="I46" s="8" t="inlineStr">
        <is>
          <t>1685</t>
        </is>
      </c>
      <c r="J46" s="8" t="inlineStr"/>
      <c r="K46" s="9" t="n">
        <v>14656.74</v>
      </c>
      <c r="L46" s="9" t="n">
        <v>0</v>
      </c>
    </row>
    <row r="47">
      <c r="A47" s="8" t="inlineStr">
        <is>
          <t>PEND-6F717CC2E3F4-A001</t>
        </is>
      </c>
      <c r="B47" s="8" t="inlineStr">
        <is>
          <t>ABIERTO_NUEVO</t>
        </is>
      </c>
      <c r="C47" s="8" t="inlineStr">
        <is>
          <t>26/04/2026</t>
        </is>
      </c>
      <c r="D47" s="8" t="inlineStr">
        <is>
          <t>PAV</t>
        </is>
      </c>
      <c r="E47" s="8" t="inlineStr">
        <is>
          <t>1800042916</t>
        </is>
      </c>
      <c r="F47" s="8" t="inlineStr">
        <is>
          <t>PAGO TARJETA CREDITO</t>
        </is>
      </c>
      <c r="G47" s="9" t="n">
        <v>43376.02</v>
      </c>
      <c r="H47" s="8" t="inlineStr">
        <is>
          <t>Local 6</t>
        </is>
      </c>
      <c r="I47" s="8" t="inlineStr"/>
      <c r="J47" s="8" t="inlineStr">
        <is>
          <t>342123</t>
        </is>
      </c>
      <c r="K47" s="9" t="n">
        <v>43237.32</v>
      </c>
      <c r="L47" s="9" t="n">
        <v>138.7</v>
      </c>
    </row>
    <row r="48">
      <c r="A48" s="8" t="inlineStr">
        <is>
          <t>PEND-ECEABC94F02D-A001</t>
        </is>
      </c>
      <c r="B48" s="8" t="inlineStr">
        <is>
          <t>ABIERTO_NUEVO</t>
        </is>
      </c>
      <c r="C48" s="8" t="inlineStr">
        <is>
          <t>26/04/2026</t>
        </is>
      </c>
      <c r="D48" s="8" t="inlineStr">
        <is>
          <t>PAV</t>
        </is>
      </c>
      <c r="E48" s="8" t="inlineStr">
        <is>
          <t>1800042919</t>
        </is>
      </c>
      <c r="F48" s="8" t="inlineStr">
        <is>
          <t>PAGO TARJETA CREDITO</t>
        </is>
      </c>
      <c r="G48" s="9" t="n">
        <v>11685.78</v>
      </c>
      <c r="H48" s="8" t="inlineStr">
        <is>
          <t>Local 5</t>
        </is>
      </c>
      <c r="I48" s="8" t="inlineStr">
        <is>
          <t>1690</t>
        </is>
      </c>
      <c r="J48" s="8" t="inlineStr"/>
      <c r="K48" s="9" t="n">
        <v>11685.78</v>
      </c>
      <c r="L48" s="9" t="n">
        <v>0</v>
      </c>
    </row>
    <row r="49">
      <c r="A49" s="8" t="inlineStr">
        <is>
          <t>PEND-BD706BA09F7F-A001</t>
        </is>
      </c>
      <c r="B49" s="8" t="inlineStr">
        <is>
          <t>ABIERTO_NUEVO</t>
        </is>
      </c>
      <c r="C49" s="8" t="inlineStr">
        <is>
          <t>26/04/2026</t>
        </is>
      </c>
      <c r="D49" s="8" t="inlineStr">
        <is>
          <t>PAV</t>
        </is>
      </c>
      <c r="E49" s="8" t="inlineStr">
        <is>
          <t>1800042920</t>
        </is>
      </c>
      <c r="F49" s="8" t="inlineStr">
        <is>
          <t>PAGO TARJETA CREDITO</t>
        </is>
      </c>
      <c r="G49" s="9" t="n">
        <v>34463.14</v>
      </c>
      <c r="H49" s="8" t="inlineStr">
        <is>
          <t>Local 6</t>
        </is>
      </c>
      <c r="I49" s="8" t="inlineStr"/>
      <c r="J49" s="8" t="inlineStr">
        <is>
          <t>341898</t>
        </is>
      </c>
      <c r="K49" s="9" t="n">
        <v>34726.81</v>
      </c>
      <c r="L49" s="9" t="n">
        <v>-263.67</v>
      </c>
    </row>
    <row r="50">
      <c r="A50" s="8" t="inlineStr">
        <is>
          <t>PEND-07E74145F0AF-A001</t>
        </is>
      </c>
      <c r="B50" s="8" t="inlineStr">
        <is>
          <t>ABIERTO_NUEVO</t>
        </is>
      </c>
      <c r="C50" s="8" t="inlineStr">
        <is>
          <t>26/04/2026</t>
        </is>
      </c>
      <c r="D50" s="8" t="inlineStr">
        <is>
          <t>PAV</t>
        </is>
      </c>
      <c r="E50" s="8" t="inlineStr">
        <is>
          <t>1800042921</t>
        </is>
      </c>
      <c r="F50" s="8" t="inlineStr">
        <is>
          <t>PAGO TARJETA CREDITO</t>
        </is>
      </c>
      <c r="G50" s="9" t="n">
        <v>64568.86</v>
      </c>
      <c r="H50" s="8" t="inlineStr">
        <is>
          <t>Local 2</t>
        </is>
      </c>
      <c r="I50" s="8" t="inlineStr"/>
      <c r="J50" s="8" t="inlineStr">
        <is>
          <t>342119</t>
        </is>
      </c>
      <c r="K50" s="9" t="n">
        <v>64073.41</v>
      </c>
      <c r="L50" s="9" t="n">
        <v>495.45</v>
      </c>
    </row>
    <row r="51">
      <c r="A51" s="8" t="inlineStr">
        <is>
          <t>PEND-3B96BDF7A8DF-A001</t>
        </is>
      </c>
      <c r="B51" s="8" t="inlineStr">
        <is>
          <t>ABIERTO_NUEVO</t>
        </is>
      </c>
      <c r="C51" s="8" t="inlineStr">
        <is>
          <t>26/04/2026</t>
        </is>
      </c>
      <c r="D51" s="8" t="inlineStr">
        <is>
          <t>PAV</t>
        </is>
      </c>
      <c r="E51" s="8" t="inlineStr">
        <is>
          <t>1800042924</t>
        </is>
      </c>
      <c r="F51" s="8" t="inlineStr">
        <is>
          <t>PAGO TARJETA CREDITO</t>
        </is>
      </c>
      <c r="G51" s="9" t="n">
        <v>7625.58</v>
      </c>
      <c r="H51" s="8" t="inlineStr">
        <is>
          <t>Local 6</t>
        </is>
      </c>
      <c r="I51" s="8" t="inlineStr"/>
      <c r="J51" s="8" t="inlineStr">
        <is>
          <t>342262</t>
        </is>
      </c>
      <c r="K51" s="9" t="n">
        <v>7532.29</v>
      </c>
      <c r="L51" s="9" t="n">
        <v>93.29000000000001</v>
      </c>
    </row>
    <row r="52">
      <c r="A52" s="8" t="inlineStr">
        <is>
          <t>PEND-F4B36288C786-A001</t>
        </is>
      </c>
      <c r="B52" s="8" t="inlineStr">
        <is>
          <t>ABIERTO_NUEVO</t>
        </is>
      </c>
      <c r="C52" s="8" t="inlineStr">
        <is>
          <t>26/04/2026</t>
        </is>
      </c>
      <c r="D52" s="8" t="inlineStr">
        <is>
          <t>PAV</t>
        </is>
      </c>
      <c r="E52" s="8" t="inlineStr">
        <is>
          <t>2300014204</t>
        </is>
      </c>
      <c r="F52" s="8" t="inlineStr">
        <is>
          <t>PAGO TARJETA CREDITO</t>
        </is>
      </c>
      <c r="G52" s="9" t="n">
        <v>57636.62</v>
      </c>
      <c r="H52" s="8" t="inlineStr">
        <is>
          <t>Local 3</t>
        </is>
      </c>
      <c r="I52" s="8" t="inlineStr"/>
      <c r="J52" s="8" t="inlineStr">
        <is>
          <t>342827</t>
        </is>
      </c>
      <c r="K52" s="9" t="n">
        <v>58384.89</v>
      </c>
      <c r="L52" s="9" t="n">
        <v>-748.27</v>
      </c>
    </row>
    <row r="53">
      <c r="A53" s="8" t="inlineStr">
        <is>
          <t>PEND-2688AE8326B2-A001</t>
        </is>
      </c>
      <c r="B53" s="8" t="inlineStr">
        <is>
          <t>ABIERTO_NUEVO</t>
        </is>
      </c>
      <c r="C53" s="8" t="inlineStr">
        <is>
          <t>26/04/2026</t>
        </is>
      </c>
      <c r="D53" s="8" t="inlineStr">
        <is>
          <t>PAV</t>
        </is>
      </c>
      <c r="E53" s="8" t="inlineStr">
        <is>
          <t>2300014211</t>
        </is>
      </c>
      <c r="F53" s="8" t="inlineStr">
        <is>
          <t>PAGO TARJETA CREDITO</t>
        </is>
      </c>
      <c r="G53" s="9" t="n">
        <v>60013.39</v>
      </c>
      <c r="H53" s="8" t="inlineStr">
        <is>
          <t>Local 3</t>
        </is>
      </c>
      <c r="I53" s="8" t="inlineStr"/>
      <c r="J53" s="8" t="inlineStr">
        <is>
          <t>342247</t>
        </is>
      </c>
      <c r="K53" s="9" t="n">
        <v>60747.46</v>
      </c>
      <c r="L53" s="9" t="n">
        <v>-734.0700000000001</v>
      </c>
    </row>
    <row r="54">
      <c r="A54" s="8" t="inlineStr">
        <is>
          <t>PEND-5B4124AACBC6-A001</t>
        </is>
      </c>
      <c r="B54" s="8" t="inlineStr">
        <is>
          <t>ABIERTO_NUEVO</t>
        </is>
      </c>
      <c r="C54" s="8" t="inlineStr">
        <is>
          <t>26/04/2026</t>
        </is>
      </c>
      <c r="D54" s="8" t="inlineStr">
        <is>
          <t>PAV</t>
        </is>
      </c>
      <c r="E54" s="8" t="inlineStr">
        <is>
          <t>3400068640</t>
        </is>
      </c>
      <c r="F54" s="8" t="inlineStr">
        <is>
          <t>PAGO TARJETA CREDITO</t>
        </is>
      </c>
      <c r="G54" s="9" t="n">
        <v>67044.66</v>
      </c>
      <c r="H54" s="8" t="inlineStr">
        <is>
          <t>Local 1</t>
        </is>
      </c>
      <c r="I54" s="8" t="inlineStr"/>
      <c r="J54" s="8" t="inlineStr">
        <is>
          <t>342039</t>
        </is>
      </c>
      <c r="K54" s="9" t="n">
        <v>66616.78</v>
      </c>
      <c r="L54" s="9" t="n">
        <v>427.88</v>
      </c>
    </row>
    <row r="55">
      <c r="A55" s="8" t="inlineStr">
        <is>
          <t>PEND-2075C4605E07-A001</t>
        </is>
      </c>
      <c r="B55" s="8" t="inlineStr">
        <is>
          <t>ABIERTO_NUEVO</t>
        </is>
      </c>
      <c r="C55" s="8" t="inlineStr">
        <is>
          <t>26/04/2026</t>
        </is>
      </c>
      <c r="D55" s="8" t="inlineStr">
        <is>
          <t>PAV</t>
        </is>
      </c>
      <c r="E55" s="8" t="inlineStr">
        <is>
          <t>3400068641</t>
        </is>
      </c>
      <c r="F55" s="8" t="inlineStr">
        <is>
          <t>PAGO TARJETA CREDITO</t>
        </is>
      </c>
      <c r="G55" s="9" t="n">
        <v>8912.879999999999</v>
      </c>
      <c r="H55" s="8" t="inlineStr">
        <is>
          <t>Local 6</t>
        </is>
      </c>
      <c r="I55" s="8" t="inlineStr">
        <is>
          <t>3719</t>
        </is>
      </c>
      <c r="J55" s="8" t="inlineStr"/>
      <c r="K55" s="9" t="n">
        <v>8912.879999999999</v>
      </c>
      <c r="L55" s="9" t="n">
        <v>0</v>
      </c>
    </row>
    <row r="56">
      <c r="A56" s="8" t="inlineStr">
        <is>
          <t>PEND-11BBDDC1F32E-A001</t>
        </is>
      </c>
      <c r="B56" s="8" t="inlineStr">
        <is>
          <t>ABIERTO_NUEVO</t>
        </is>
      </c>
      <c r="C56" s="8" t="inlineStr">
        <is>
          <t>26/04/2026</t>
        </is>
      </c>
      <c r="D56" s="8" t="inlineStr">
        <is>
          <t>PAV</t>
        </is>
      </c>
      <c r="E56" s="8" t="inlineStr">
        <is>
          <t>3400068642</t>
        </is>
      </c>
      <c r="F56" s="8" t="inlineStr">
        <is>
          <t>PAGO TARJETA CREDITO</t>
        </is>
      </c>
      <c r="G56" s="9" t="n">
        <v>24262.84</v>
      </c>
      <c r="H56" s="8" t="inlineStr">
        <is>
          <t>Local 5</t>
        </is>
      </c>
      <c r="I56" s="8" t="inlineStr"/>
      <c r="J56" s="8" t="inlineStr">
        <is>
          <t>342703</t>
        </is>
      </c>
      <c r="K56" s="9" t="n">
        <v>24697.5</v>
      </c>
      <c r="L56" s="9" t="n">
        <v>-434.66</v>
      </c>
    </row>
    <row r="57">
      <c r="A57" s="8" t="inlineStr">
        <is>
          <t>PEND-2317B9BF0D3C-A001</t>
        </is>
      </c>
      <c r="B57" s="8" t="inlineStr">
        <is>
          <t>ABIERTO_NUEVO</t>
        </is>
      </c>
      <c r="C57" s="8" t="inlineStr">
        <is>
          <t>26/04/2026</t>
        </is>
      </c>
      <c r="D57" s="8" t="inlineStr">
        <is>
          <t>PAV</t>
        </is>
      </c>
      <c r="E57" s="8" t="inlineStr">
        <is>
          <t>3400068643</t>
        </is>
      </c>
      <c r="F57" s="8" t="inlineStr">
        <is>
          <t>PAGO TARJETA CREDITO</t>
        </is>
      </c>
      <c r="G57" s="9" t="n">
        <v>60904.68</v>
      </c>
      <c r="H57" s="8" t="inlineStr">
        <is>
          <t>Local 5</t>
        </is>
      </c>
      <c r="I57" s="8" t="inlineStr"/>
      <c r="J57" s="8" t="inlineStr">
        <is>
          <t>342826</t>
        </is>
      </c>
      <c r="K57" s="9" t="n">
        <v>60854.64</v>
      </c>
      <c r="L57" s="9" t="n">
        <v>50.04</v>
      </c>
    </row>
    <row r="58">
      <c r="A58" s="8" t="inlineStr">
        <is>
          <t>PEND-D438BCE2A11F-A001</t>
        </is>
      </c>
      <c r="B58" s="8" t="inlineStr">
        <is>
          <t>ABIERTO_NUEVO</t>
        </is>
      </c>
      <c r="C58" s="8" t="inlineStr">
        <is>
          <t>26/04/2026</t>
        </is>
      </c>
      <c r="D58" s="8" t="inlineStr">
        <is>
          <t>PAV</t>
        </is>
      </c>
      <c r="E58" s="8" t="inlineStr">
        <is>
          <t>3400068644</t>
        </is>
      </c>
      <c r="F58" s="8" t="inlineStr">
        <is>
          <t>PAGO TARJETA CREDITO</t>
        </is>
      </c>
      <c r="G58" s="9" t="n">
        <v>79720.75999999999</v>
      </c>
      <c r="H58" s="8" t="inlineStr">
        <is>
          <t>Local 6</t>
        </is>
      </c>
      <c r="I58" s="8" t="inlineStr">
        <is>
          <t>3724</t>
        </is>
      </c>
      <c r="J58" s="8" t="inlineStr"/>
      <c r="K58" s="9" t="n">
        <v>79720.75999999999</v>
      </c>
      <c r="L58" s="9" t="n">
        <v>0</v>
      </c>
    </row>
    <row r="59">
      <c r="A59" s="8" t="inlineStr">
        <is>
          <t>PEND-65448BA94996-A001</t>
        </is>
      </c>
      <c r="B59" s="8" t="inlineStr">
        <is>
          <t>ABIERTO_NUEVO</t>
        </is>
      </c>
      <c r="C59" s="8" t="inlineStr">
        <is>
          <t>26/04/2026</t>
        </is>
      </c>
      <c r="D59" s="8" t="inlineStr">
        <is>
          <t>PAV</t>
        </is>
      </c>
      <c r="E59" s="8" t="inlineStr">
        <is>
          <t>3400068646</t>
        </is>
      </c>
      <c r="F59" s="8" t="inlineStr">
        <is>
          <t>PAGO TARJETA CREDITO</t>
        </is>
      </c>
      <c r="G59" s="9" t="n">
        <v>69916.59</v>
      </c>
      <c r="H59" s="8" t="inlineStr">
        <is>
          <t>Local 7</t>
        </is>
      </c>
      <c r="I59" s="8" t="inlineStr"/>
      <c r="J59" s="8" t="inlineStr">
        <is>
          <t>342583</t>
        </is>
      </c>
      <c r="K59" s="9" t="n">
        <v>70239.69</v>
      </c>
      <c r="L59" s="9" t="n">
        <v>-323.1</v>
      </c>
    </row>
    <row r="60">
      <c r="A60" s="8" t="inlineStr">
        <is>
          <t>PEND-405CD7283D24-A001</t>
        </is>
      </c>
      <c r="B60" s="8" t="inlineStr">
        <is>
          <t>ABIERTO_NUEVO</t>
        </is>
      </c>
      <c r="C60" s="8" t="inlineStr">
        <is>
          <t>26/04/2026</t>
        </is>
      </c>
      <c r="D60" s="8" t="inlineStr">
        <is>
          <t>PAV</t>
        </is>
      </c>
      <c r="E60" s="8" t="inlineStr">
        <is>
          <t>3400068647</t>
        </is>
      </c>
      <c r="F60" s="8" t="inlineStr">
        <is>
          <t>PAGO TARJETA CREDITO</t>
        </is>
      </c>
      <c r="G60" s="9" t="n">
        <v>23767.68</v>
      </c>
      <c r="H60" s="8" t="inlineStr">
        <is>
          <t>Local 1</t>
        </is>
      </c>
      <c r="I60" s="8" t="inlineStr"/>
      <c r="J60" s="8" t="inlineStr">
        <is>
          <t>342825</t>
        </is>
      </c>
      <c r="K60" s="9" t="n">
        <v>23709.6</v>
      </c>
      <c r="L60" s="9" t="n">
        <v>58.08</v>
      </c>
    </row>
    <row r="61">
      <c r="A61" s="8" t="inlineStr">
        <is>
          <t>PEND-2C73EC80C239-A001</t>
        </is>
      </c>
      <c r="B61" s="8" t="inlineStr">
        <is>
          <t>ABIERTO_NUEVO</t>
        </is>
      </c>
      <c r="C61" s="8" t="inlineStr">
        <is>
          <t>26/04/2026</t>
        </is>
      </c>
      <c r="D61" s="8" t="inlineStr">
        <is>
          <t>PAV</t>
        </is>
      </c>
      <c r="E61" s="8" t="inlineStr">
        <is>
          <t>3400068648</t>
        </is>
      </c>
      <c r="F61" s="8" t="inlineStr">
        <is>
          <t>PAGO TARJETA CREDITO</t>
        </is>
      </c>
      <c r="G61" s="9" t="n">
        <v>38721.51</v>
      </c>
      <c r="H61" s="8" t="inlineStr">
        <is>
          <t>Local 6</t>
        </is>
      </c>
      <c r="I61" s="8" t="inlineStr">
        <is>
          <t>3732</t>
        </is>
      </c>
      <c r="J61" s="8" t="inlineStr"/>
      <c r="K61" s="9" t="n">
        <v>38721.51</v>
      </c>
      <c r="L61" s="9" t="n">
        <v>0</v>
      </c>
    </row>
    <row r="62">
      <c r="A62" s="8" t="inlineStr">
        <is>
          <t>PEND-0B06AD44C588-A001</t>
        </is>
      </c>
      <c r="B62" s="8" t="inlineStr">
        <is>
          <t>ABIERTO_NUEVO</t>
        </is>
      </c>
      <c r="C62" s="8" t="inlineStr">
        <is>
          <t>26/04/2026</t>
        </is>
      </c>
      <c r="D62" s="8" t="inlineStr">
        <is>
          <t>PAV</t>
        </is>
      </c>
      <c r="E62" s="8" t="inlineStr">
        <is>
          <t>3400068649</t>
        </is>
      </c>
      <c r="F62" s="8" t="inlineStr">
        <is>
          <t>PAGO TARJETA CREDITO</t>
        </is>
      </c>
      <c r="G62" s="9" t="n">
        <v>26837.67</v>
      </c>
      <c r="H62" s="8" t="inlineStr">
        <is>
          <t>Local 2</t>
        </is>
      </c>
      <c r="I62" s="8" t="inlineStr"/>
      <c r="J62" s="8" t="inlineStr">
        <is>
          <t>342824</t>
        </is>
      </c>
      <c r="K62" s="9" t="n">
        <v>26673.3</v>
      </c>
      <c r="L62" s="9" t="n">
        <v>164.37</v>
      </c>
    </row>
    <row r="63">
      <c r="A63" s="8" t="inlineStr">
        <is>
          <t>PEND-EDF70962BE64-A001</t>
        </is>
      </c>
      <c r="B63" s="8" t="inlineStr">
        <is>
          <t>ABIERTO_NUEVO</t>
        </is>
      </c>
      <c r="C63" s="8" t="inlineStr">
        <is>
          <t>26/04/2026</t>
        </is>
      </c>
      <c r="D63" s="8" t="inlineStr">
        <is>
          <t>PAV</t>
        </is>
      </c>
      <c r="E63" s="8" t="inlineStr">
        <is>
          <t>3400068650</t>
        </is>
      </c>
      <c r="F63" s="8" t="inlineStr">
        <is>
          <t>PAGO TARJETA CREDITO</t>
        </is>
      </c>
      <c r="G63" s="9" t="n">
        <v>69520.46000000001</v>
      </c>
      <c r="H63" s="8" t="inlineStr">
        <is>
          <t>Local 5</t>
        </is>
      </c>
      <c r="I63" s="8" t="inlineStr"/>
      <c r="J63" s="8" t="inlineStr">
        <is>
          <t>341913</t>
        </is>
      </c>
      <c r="K63" s="9" t="n">
        <v>69062.33</v>
      </c>
      <c r="L63" s="9" t="n">
        <v>458.13</v>
      </c>
    </row>
    <row r="64">
      <c r="A64" s="8" t="inlineStr">
        <is>
          <t>PEND-DB0C927B5812-A001</t>
        </is>
      </c>
      <c r="B64" s="8" t="inlineStr">
        <is>
          <t>ABIERTO_NUEVO</t>
        </is>
      </c>
      <c r="C64" s="8" t="inlineStr">
        <is>
          <t>26/04/2026</t>
        </is>
      </c>
      <c r="D64" s="8" t="inlineStr">
        <is>
          <t>PAV</t>
        </is>
      </c>
      <c r="E64" s="8" t="inlineStr">
        <is>
          <t>3400068657</t>
        </is>
      </c>
      <c r="F64" s="8" t="inlineStr">
        <is>
          <t>PAGO TARJETA CREDITO</t>
        </is>
      </c>
      <c r="G64" s="9" t="n">
        <v>24361.87</v>
      </c>
      <c r="H64" s="8" t="inlineStr">
        <is>
          <t>Local 5</t>
        </is>
      </c>
      <c r="I64" s="8" t="inlineStr"/>
      <c r="J64" s="8" t="inlineStr">
        <is>
          <t>342703</t>
        </is>
      </c>
      <c r="K64" s="9" t="n">
        <v>24697.5</v>
      </c>
      <c r="L64" s="9" t="n">
        <v>-335.63</v>
      </c>
    </row>
  </sheetData>
  <autoFilter ref="A1:L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7" customWidth="1" min="3" max="3"/>
    <col width="14" customWidth="1" min="4" max="4"/>
    <col width="20" customWidth="1" min="5" max="5"/>
    <col width="45" customWidth="1" min="6" max="6"/>
    <col width="33" customWidth="1" min="7" max="7"/>
    <col width="11" customWidth="1" min="8" max="8"/>
    <col width="14" customWidth="1" min="9" max="9"/>
    <col width="33" customWidth="1" min="10" max="10"/>
    <col width="31" customWidth="1" min="11" max="11"/>
    <col width="18" customWidth="1" min="12" max="12"/>
    <col width="22" customWidth="1" min="13" max="13"/>
    <col width="35" customWidth="1" min="14" max="14"/>
    <col width="18" customWidth="1" min="15" max="15"/>
    <col width="13" customWidth="1" min="16" max="16"/>
    <col width="45" customWidth="1" min="17" max="17"/>
    <col width="45" customWidth="1" min="18" max="18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Categoría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Origen detectado</t>
        </is>
      </c>
      <c r="K2" s="7" t="inlineStr">
        <is>
          <t>Archivo donde aparece</t>
        </is>
      </c>
      <c r="L2" s="7" t="inlineStr">
        <is>
          <t>Local</t>
        </is>
      </c>
      <c r="M2" s="7" t="inlineStr">
        <is>
          <t>Cupón QR</t>
        </is>
      </c>
      <c r="N2" s="7" t="inlineStr">
        <is>
          <t>Número de Liquidación de Tarjeta</t>
        </is>
      </c>
      <c r="O2" s="7" t="inlineStr">
        <is>
          <t>Monto comparado</t>
        </is>
      </c>
      <c r="P2" s="7" t="inlineStr">
        <is>
          <t>Diferencia</t>
        </is>
      </c>
      <c r="Q2" s="7" t="inlineStr">
        <is>
          <t>Diagnóstico</t>
        </is>
      </c>
      <c r="R2" s="7" t="inlineStr">
        <is>
          <t>Acción sugerida</t>
        </is>
      </c>
    </row>
    <row r="3">
      <c r="A3" s="8" t="inlineStr">
        <is>
          <t>PEND-C083FE6825F3-A001</t>
        </is>
      </c>
      <c r="B3" s="8" t="inlineStr">
        <is>
          <t>ABIERTO_NUEVO</t>
        </is>
      </c>
      <c r="C3" s="8" t="inlineStr">
        <is>
          <t>Banco ingreso no Flexxus</t>
        </is>
      </c>
      <c r="D3" s="8" t="inlineStr">
        <is>
          <t>24/04/2026</t>
        </is>
      </c>
      <c r="E3" s="8" t="inlineStr">
        <is>
          <t>3027923</t>
        </is>
      </c>
      <c r="F3" s="8" t="inlineStr">
        <is>
          <t>C BE TR O/BCO-DIS TIT IBK - CUIT/CUIL: 30685376349</t>
        </is>
      </c>
      <c r="G3" s="8" t="inlineStr">
        <is>
          <t>Transferencia entrante</t>
        </is>
      </c>
      <c r="H3" s="9" t="n">
        <v>33180.87</v>
      </c>
      <c r="I3" s="9" t="inlineStr"/>
      <c r="J3" s="8" t="inlineStr">
        <is>
          <t>Transferencia entrante</t>
        </is>
      </c>
      <c r="K3" s="8" t="inlineStr">
        <is>
          <t>Corriente actual | Banco</t>
        </is>
      </c>
      <c r="L3" s="8" t="inlineStr">
        <is>
          <t>No identificado</t>
        </is>
      </c>
      <c r="M3" s="8" t="inlineStr"/>
      <c r="N3" s="8" t="inlineStr"/>
      <c r="O3" s="9" t="inlineStr">
        <is>
          <t>—</t>
        </is>
      </c>
      <c r="P3" s="9" t="inlineStr"/>
      <c r="Q3" s="8" t="inlineStr">
        <is>
          <t>Transferencia entrante sin local detectado</t>
        </is>
      </c>
      <c r="R3" s="8" t="inlineStr">
        <is>
          <t>URGENTE: identificar local/origen antes de cerrar rutina administrativa</t>
        </is>
      </c>
    </row>
    <row r="4">
      <c r="A4" s="8" t="inlineStr">
        <is>
          <t>PEND-73ABCD597425-A001</t>
        </is>
      </c>
      <c r="B4" s="8" t="inlineStr">
        <is>
          <t>ABIERTO_NUEVO</t>
        </is>
      </c>
      <c r="C4" s="8" t="inlineStr">
        <is>
          <t>Banco ingreso no Flexxus</t>
        </is>
      </c>
      <c r="D4" s="8" t="inlineStr">
        <is>
          <t>24/04/2026</t>
        </is>
      </c>
      <c r="E4" s="8" t="inlineStr">
        <is>
          <t>108559</t>
        </is>
      </c>
      <c r="F4" s="8" t="inlineStr">
        <is>
          <t>CR DEBIN SPOT - CUIT/CUIL: 30711424179</t>
        </is>
      </c>
      <c r="G4" s="8" t="inlineStr">
        <is>
          <t>QR / CR DEBIN SPOT</t>
        </is>
      </c>
      <c r="H4" s="9" t="n">
        <v>32086.37</v>
      </c>
      <c r="I4" s="9" t="inlineStr"/>
      <c r="J4" s="8" t="inlineStr">
        <is>
          <t>QR / CR DEBIN SPOT</t>
        </is>
      </c>
      <c r="K4" s="8" t="inlineStr">
        <is>
          <t>Corriente actual | Banco</t>
        </is>
      </c>
      <c r="L4" s="8" t="inlineStr">
        <is>
          <t>No identificado</t>
        </is>
      </c>
      <c r="M4" s="8" t="inlineStr">
        <is>
          <t>No encontrado en QR</t>
        </is>
      </c>
      <c r="N4" s="8" t="inlineStr"/>
      <c r="O4" s="9" t="inlineStr">
        <is>
          <t>—</t>
        </is>
      </c>
      <c r="P4" s="9" t="inlineStr"/>
      <c r="Q4" s="8" t="inlineStr">
        <is>
          <t>QR bancario sin match QR PCT/local</t>
        </is>
      </c>
      <c r="R4" s="8" t="inlineStr">
        <is>
          <t>URGENTE: identificar local/origen antes de cerrar rutina administrativa</t>
        </is>
      </c>
    </row>
    <row r="5">
      <c r="A5" s="8" t="inlineStr">
        <is>
          <t>PEND-F6CE22F10A4E-A001</t>
        </is>
      </c>
      <c r="B5" s="8" t="inlineStr">
        <is>
          <t>CONTROL_CONTINUIDAD_MENOR</t>
        </is>
      </c>
      <c r="C5" s="8" t="inlineStr">
        <is>
          <t>Banco ingreso no Flexxus</t>
        </is>
      </c>
      <c r="D5" s="8" t="inlineStr">
        <is>
          <t>24/04/2026</t>
        </is>
      </c>
      <c r="E5" s="8" t="inlineStr">
        <is>
          <t>CTRL-CONTINUIDAD</t>
        </is>
      </c>
      <c r="F5" s="8" t="inlineStr">
        <is>
          <t>Diferencia técnica menor de continuidad/extracto bancario</t>
        </is>
      </c>
      <c r="G5" s="8" t="inlineStr">
        <is>
          <t>Ajuste menor redondeo/extracto</t>
        </is>
      </c>
      <c r="H5" s="9" t="n">
        <v>3.62</v>
      </c>
      <c r="I5" s="9" t="inlineStr"/>
      <c r="J5" s="8" t="inlineStr">
        <is>
          <t>Ajuste menor redondeo/extracto</t>
        </is>
      </c>
      <c r="K5" s="8" t="inlineStr">
        <is>
          <t>Control de cobertura | Banco</t>
        </is>
      </c>
      <c r="L5" s="8" t="inlineStr">
        <is>
          <t>No identificado</t>
        </is>
      </c>
      <c r="M5" s="8" t="inlineStr"/>
      <c r="N5" s="8" t="inlineStr"/>
      <c r="O5" s="9" t="inlineStr">
        <is>
          <t>—</t>
        </is>
      </c>
      <c r="P5" s="9" t="inlineStr"/>
      <c r="Q5" s="8" t="inlineStr">
        <is>
          <t>Origen/local no identificado</t>
        </is>
      </c>
      <c r="R5" s="8" t="inlineStr">
        <is>
          <t>URGENTE: identificar local/origen antes de cerrar rutina administrativa</t>
        </is>
      </c>
    </row>
  </sheetData>
  <autoFilter ref="A1:R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6" customWidth="1" min="3" max="3"/>
    <col width="14" customWidth="1" min="4" max="4"/>
    <col width="20" customWidth="1" min="5" max="5"/>
    <col width="28" customWidth="1" min="6" max="6"/>
    <col width="41" customWidth="1" min="7" max="7"/>
    <col width="36" customWidth="1" min="8" max="8"/>
    <col width="13" customWidth="1" min="9" max="9"/>
    <col width="14" customWidth="1" min="10" max="10"/>
    <col width="45" customWidth="1" min="11" max="11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Cuenta / apertura sugerida</t>
        </is>
      </c>
      <c r="H2" s="7" t="inlineStr">
        <is>
          <t>Tratamiento</t>
        </is>
      </c>
      <c r="I2" s="7" t="inlineStr">
        <is>
          <t>Importe</t>
        </is>
      </c>
      <c r="J2" s="7" t="inlineStr">
        <is>
          <t>Saldo banco</t>
        </is>
      </c>
      <c r="K2" s="7" t="inlineStr">
        <is>
          <t>Acción</t>
        </is>
      </c>
    </row>
    <row r="3">
      <c r="A3" s="8" t="inlineStr">
        <is>
          <t>PEND-93F12A4C2D02-A001</t>
        </is>
      </c>
      <c r="B3" s="8" t="inlineStr">
        <is>
          <t>ABIERTO_NUEVO</t>
        </is>
      </c>
      <c r="C3" s="8" t="inlineStr">
        <is>
          <t>Banco egreso no Flexxus</t>
        </is>
      </c>
      <c r="D3" s="8" t="inlineStr">
        <is>
          <t>24/04/2026</t>
        </is>
      </c>
      <c r="E3" s="8" t="inlineStr">
        <is>
          <t>108605</t>
        </is>
      </c>
      <c r="F3" s="8" t="inlineStr">
        <is>
          <t>GRAVAMEN LEY 25413 S/DEB</t>
        </is>
      </c>
      <c r="G3" s="8" t="inlineStr">
        <is>
          <t>Anticipo Ganancias Ley 25.413 débitos</t>
        </is>
      </c>
      <c r="H3" s="8" t="inlineStr">
        <is>
          <t>Anticipo Impuesto a las Ganancias</t>
        </is>
      </c>
      <c r="I3" s="9" t="n">
        <v>4.3</v>
      </c>
      <c r="J3" s="9" t="inlineStr"/>
      <c r="K3" s="8" t="inlineStr">
        <is>
          <t>Copiar en Flexxus: Tipo=MB-EXT | Movimiento=GRAVAMEN LEY 25.413 S/DEB | Monto=4,30 | Fecha: 24/04/2026</t>
        </is>
      </c>
    </row>
    <row r="4">
      <c r="A4" s="8" t="inlineStr">
        <is>
          <t>PEND-6375F27720C1-A001</t>
        </is>
      </c>
      <c r="B4" s="8" t="inlineStr">
        <is>
          <t>ABIERTO_NUEVO</t>
        </is>
      </c>
      <c r="C4" s="8" t="inlineStr">
        <is>
          <t>Banco egreso no Flexxus</t>
        </is>
      </c>
      <c r="D4" s="8" t="inlineStr">
        <is>
          <t>24/04/2026</t>
        </is>
      </c>
      <c r="E4" s="8" t="inlineStr">
        <is>
          <t>108604</t>
        </is>
      </c>
      <c r="F4" s="8" t="inlineStr">
        <is>
          <t>GRAVAMEN LEY 25413 S/DEB</t>
        </is>
      </c>
      <c r="G4" s="8" t="inlineStr">
        <is>
          <t>Anticipo Ganancias Ley 25.413 débitos</t>
        </is>
      </c>
      <c r="H4" s="8" t="inlineStr">
        <is>
          <t>Anticipo Impuesto a las Ganancias</t>
        </is>
      </c>
      <c r="I4" s="9" t="n">
        <v>0.63</v>
      </c>
      <c r="J4" s="9" t="inlineStr"/>
      <c r="K4" s="8" t="inlineStr">
        <is>
          <t>Copiar en Flexxus: Tipo=MB-EXT | Movimiento=GRAVAMEN LEY 25.413 S/DEB | Monto=0,63 | Fecha: 24/04/2026</t>
        </is>
      </c>
    </row>
    <row r="5">
      <c r="A5" s="8" t="inlineStr">
        <is>
          <t>PEND-829CA441D2C1-A001</t>
        </is>
      </c>
      <c r="B5" s="8" t="inlineStr">
        <is>
          <t>ABIERTO_NUEVO</t>
        </is>
      </c>
      <c r="C5" s="8" t="inlineStr">
        <is>
          <t>Banco egreso no Flexxus</t>
        </is>
      </c>
      <c r="D5" s="8" t="inlineStr">
        <is>
          <t>24/04/2026</t>
        </is>
      </c>
      <c r="E5" s="8" t="inlineStr">
        <is>
          <t>108603</t>
        </is>
      </c>
      <c r="F5" s="8" t="inlineStr">
        <is>
          <t>GRAVAMEN LEY 25413 S/DEB</t>
        </is>
      </c>
      <c r="G5" s="8" t="inlineStr">
        <is>
          <t>Anticipo Ganancias Ley 25.413 débitos</t>
        </is>
      </c>
      <c r="H5" s="8" t="inlineStr">
        <is>
          <t>Anticipo Impuesto a las Ganancias</t>
        </is>
      </c>
      <c r="I5" s="9" t="n">
        <v>4.05</v>
      </c>
      <c r="J5" s="9" t="inlineStr"/>
      <c r="K5" s="8" t="inlineStr">
        <is>
          <t>Copiar en Flexxus: Tipo=MB-EXT | Movimiento=GRAVAMEN LEY 25.413 S/DEB | Monto=4,05 | Fecha: 24/04/2026</t>
        </is>
      </c>
    </row>
    <row r="6">
      <c r="A6" s="8" t="inlineStr">
        <is>
          <t>PEND-A03480487866-A001</t>
        </is>
      </c>
      <c r="B6" s="8" t="inlineStr">
        <is>
          <t>ABIERTO_NUEVO</t>
        </is>
      </c>
      <c r="C6" s="8" t="inlineStr">
        <is>
          <t>Banco egreso no Flexxus</t>
        </is>
      </c>
      <c r="D6" s="8" t="inlineStr">
        <is>
          <t>24/04/2026</t>
        </is>
      </c>
      <c r="E6" s="8" t="inlineStr">
        <is>
          <t>108602</t>
        </is>
      </c>
      <c r="F6" s="8" t="inlineStr">
        <is>
          <t>GRAVAMEN LEY 25413 S/DEB</t>
        </is>
      </c>
      <c r="G6" s="8" t="inlineStr">
        <is>
          <t>Anticipo Ganancias Ley 25.413 débitos</t>
        </is>
      </c>
      <c r="H6" s="8" t="inlineStr">
        <is>
          <t>Anticipo Impuesto a las Ganancias</t>
        </is>
      </c>
      <c r="I6" s="9" t="n">
        <v>0.46</v>
      </c>
      <c r="J6" s="9" t="inlineStr"/>
      <c r="K6" s="8" t="inlineStr">
        <is>
          <t>Copiar en Flexxus: Tipo=MB-EXT | Movimiento=GRAVAMEN LEY 25.413 S/DEB | Monto=0,46 | Fecha: 24/04/2026</t>
        </is>
      </c>
    </row>
    <row r="7">
      <c r="A7" s="8" t="inlineStr">
        <is>
          <t>PEND-73A5D3E4D0C3-A001</t>
        </is>
      </c>
      <c r="B7" s="8" t="inlineStr">
        <is>
          <t>ABIERTO_NUEVO</t>
        </is>
      </c>
      <c r="C7" s="8" t="inlineStr">
        <is>
          <t>Banco egreso no Flexxus</t>
        </is>
      </c>
      <c r="D7" s="8" t="inlineStr">
        <is>
          <t>24/04/2026</t>
        </is>
      </c>
      <c r="E7" s="8" t="inlineStr">
        <is>
          <t>108601</t>
        </is>
      </c>
      <c r="F7" s="8" t="inlineStr">
        <is>
          <t>GRAVAMEN LEY 25413 S/DEB</t>
        </is>
      </c>
      <c r="G7" s="8" t="inlineStr">
        <is>
          <t>Anticipo Ganancias Ley 25.413 débitos</t>
        </is>
      </c>
      <c r="H7" s="8" t="inlineStr">
        <is>
          <t>Anticipo Impuesto a las Ganancias</t>
        </is>
      </c>
      <c r="I7" s="9" t="n">
        <v>0.27</v>
      </c>
      <c r="J7" s="9" t="inlineStr"/>
      <c r="K7" s="8" t="inlineStr">
        <is>
          <t>Copiar en Flexxus: Tipo=MB-EXT | Movimiento=GRAVAMEN LEY 25.413 S/DEB | Monto=0,27 | Fecha: 24/04/2026</t>
        </is>
      </c>
    </row>
    <row r="8">
      <c r="A8" s="8" t="inlineStr">
        <is>
          <t>PEND-9E3B1F59512D-A001</t>
        </is>
      </c>
      <c r="B8" s="8" t="inlineStr">
        <is>
          <t>ABIERTO_NUEVO</t>
        </is>
      </c>
      <c r="C8" s="8" t="inlineStr">
        <is>
          <t>Banco egreso no Flexxus</t>
        </is>
      </c>
      <c r="D8" s="8" t="inlineStr">
        <is>
          <t>24/04/2026</t>
        </is>
      </c>
      <c r="E8" s="8" t="inlineStr">
        <is>
          <t>108600</t>
        </is>
      </c>
      <c r="F8" s="8" t="inlineStr">
        <is>
          <t>GRAVAMEN LEY 25413 S/DEB</t>
        </is>
      </c>
      <c r="G8" s="8" t="inlineStr">
        <is>
          <t>Anticipo Ganancias Ley 25.413 débitos</t>
        </is>
      </c>
      <c r="H8" s="8" t="inlineStr">
        <is>
          <t>Anticipo Impuesto a las Ganancias</t>
        </is>
      </c>
      <c r="I8" s="9" t="n">
        <v>0.46</v>
      </c>
      <c r="J8" s="9" t="inlineStr"/>
      <c r="K8" s="8" t="inlineStr">
        <is>
          <t>Copiar en Flexxus: Tipo=MB-EXT | Movimiento=GRAVAMEN LEY 25.413 S/DEB | Monto=0,46 | Fecha: 24/04/2026</t>
        </is>
      </c>
    </row>
    <row r="9">
      <c r="A9" s="8" t="inlineStr">
        <is>
          <t>PEND-C862E82C3FFF-A001</t>
        </is>
      </c>
      <c r="B9" s="8" t="inlineStr">
        <is>
          <t>ABIERTO_NUEVO</t>
        </is>
      </c>
      <c r="C9" s="8" t="inlineStr">
        <is>
          <t>Banco egreso no Flexxus</t>
        </is>
      </c>
      <c r="D9" s="8" t="inlineStr">
        <is>
          <t>24/04/2026</t>
        </is>
      </c>
      <c r="E9" s="8" t="inlineStr">
        <is>
          <t>108599</t>
        </is>
      </c>
      <c r="F9" s="8" t="inlineStr">
        <is>
          <t>GRAVAMEN LEY 25413 S/DEB</t>
        </is>
      </c>
      <c r="G9" s="8" t="inlineStr">
        <is>
          <t>Anticipo Ganancias Ley 25.413 débitos</t>
        </is>
      </c>
      <c r="H9" s="8" t="inlineStr">
        <is>
          <t>Anticipo Impuesto a las Ganancias</t>
        </is>
      </c>
      <c r="I9" s="9" t="n">
        <v>1.33</v>
      </c>
      <c r="J9" s="9" t="inlineStr"/>
      <c r="K9" s="8" t="inlineStr">
        <is>
          <t>Copiar en Flexxus: Tipo=MB-EXT | Movimiento=GRAVAMEN LEY 25.413 S/DEB | Monto=1,33 | Fecha: 24/04/2026</t>
        </is>
      </c>
    </row>
    <row r="10">
      <c r="A10" s="8" t="inlineStr">
        <is>
          <t>PEND-B9BAABFC9A1D-A001</t>
        </is>
      </c>
      <c r="B10" s="8" t="inlineStr">
        <is>
          <t>ABIERTO_NUEVO</t>
        </is>
      </c>
      <c r="C10" s="8" t="inlineStr">
        <is>
          <t>Banco egreso no Flexxus</t>
        </is>
      </c>
      <c r="D10" s="8" t="inlineStr">
        <is>
          <t>24/04/2026</t>
        </is>
      </c>
      <c r="E10" s="8" t="inlineStr">
        <is>
          <t>108598</t>
        </is>
      </c>
      <c r="F10" s="8" t="inlineStr">
        <is>
          <t>GRAVAMEN LEY 25413 S/DEB</t>
        </is>
      </c>
      <c r="G10" s="8" t="inlineStr">
        <is>
          <t>Anticipo Ganancias Ley 25.413 débitos</t>
        </is>
      </c>
      <c r="H10" s="8" t="inlineStr">
        <is>
          <t>Anticipo Impuesto a las Ganancias</t>
        </is>
      </c>
      <c r="I10" s="9" t="n">
        <v>2.85</v>
      </c>
      <c r="J10" s="9" t="inlineStr"/>
      <c r="K10" s="8" t="inlineStr">
        <is>
          <t>Copiar en Flexxus: Tipo=MB-EXT | Movimiento=GRAVAMEN LEY 25.413 S/DEB | Monto=2,85 | Fecha: 24/04/2026</t>
        </is>
      </c>
    </row>
    <row r="11">
      <c r="A11" s="8" t="inlineStr">
        <is>
          <t>PEND-F58EC419CBE7-A001</t>
        </is>
      </c>
      <c r="B11" s="8" t="inlineStr">
        <is>
          <t>ABIERTO_NUEVO</t>
        </is>
      </c>
      <c r="C11" s="8" t="inlineStr">
        <is>
          <t>Banco egreso no Flexxus</t>
        </is>
      </c>
      <c r="D11" s="8" t="inlineStr">
        <is>
          <t>24/04/2026</t>
        </is>
      </c>
      <c r="E11" s="8" t="inlineStr">
        <is>
          <t>108597</t>
        </is>
      </c>
      <c r="F11" s="8" t="inlineStr">
        <is>
          <t>GRAVAMEN LEY 25413 S/DEB</t>
        </is>
      </c>
      <c r="G11" s="8" t="inlineStr">
        <is>
          <t>Anticipo Ganancias Ley 25.413 débitos</t>
        </is>
      </c>
      <c r="H11" s="8" t="inlineStr">
        <is>
          <t>Anticipo Impuesto a las Ganancias</t>
        </is>
      </c>
      <c r="I11" s="9" t="n">
        <v>9</v>
      </c>
      <c r="J11" s="9" t="inlineStr"/>
      <c r="K11" s="8" t="inlineStr">
        <is>
          <t>Copiar en Flexxus: Tipo=MB-EXT | Movimiento=GRAVAMEN LEY 25.413 S/DEB | Monto=9,00 | Fecha: 24/04/2026</t>
        </is>
      </c>
    </row>
    <row r="12">
      <c r="A12" s="8" t="inlineStr">
        <is>
          <t>PEND-B67316409DEB-A001</t>
        </is>
      </c>
      <c r="B12" s="8" t="inlineStr">
        <is>
          <t>ABIERTO_NUEVO</t>
        </is>
      </c>
      <c r="C12" s="8" t="inlineStr">
        <is>
          <t>Banco egreso no Flexxus</t>
        </is>
      </c>
      <c r="D12" s="8" t="inlineStr">
        <is>
          <t>24/04/2026</t>
        </is>
      </c>
      <c r="E12" s="8" t="inlineStr">
        <is>
          <t>108596</t>
        </is>
      </c>
      <c r="F12" s="8" t="inlineStr">
        <is>
          <t>GRAVAMEN LEY 25413 S/DEB</t>
        </is>
      </c>
      <c r="G12" s="8" t="inlineStr">
        <is>
          <t>Anticipo Ganancias Ley 25.413 débitos</t>
        </is>
      </c>
      <c r="H12" s="8" t="inlineStr">
        <is>
          <t>Anticipo Impuesto a las Ganancias</t>
        </is>
      </c>
      <c r="I12" s="9" t="n">
        <v>0.68</v>
      </c>
      <c r="J12" s="9" t="inlineStr"/>
      <c r="K12" s="8" t="inlineStr">
        <is>
          <t>Copiar en Flexxus: Tipo=MB-EXT | Movimiento=GRAVAMEN LEY 25.413 S/DEB | Monto=0,68 | Fecha: 24/04/2026</t>
        </is>
      </c>
    </row>
    <row r="13">
      <c r="A13" s="8" t="inlineStr">
        <is>
          <t>PEND-4D2FC872E3F5-A001</t>
        </is>
      </c>
      <c r="B13" s="8" t="inlineStr">
        <is>
          <t>ABIERTO_NUEVO</t>
        </is>
      </c>
      <c r="C13" s="8" t="inlineStr">
        <is>
          <t>Banco egreso no Flexxus</t>
        </is>
      </c>
      <c r="D13" s="8" t="inlineStr">
        <is>
          <t>24/04/2026</t>
        </is>
      </c>
      <c r="E13" s="8" t="inlineStr">
        <is>
          <t>108595</t>
        </is>
      </c>
      <c r="F13" s="8" t="inlineStr">
        <is>
          <t>GRAVAMEN LEY 25413 S/DEB</t>
        </is>
      </c>
      <c r="G13" s="8" t="inlineStr">
        <is>
          <t>Anticipo Ganancias Ley 25.413 débitos</t>
        </is>
      </c>
      <c r="H13" s="8" t="inlineStr">
        <is>
          <t>Anticipo Impuesto a las Ganancias</t>
        </is>
      </c>
      <c r="I13" s="9" t="n">
        <v>0.9399999999999999</v>
      </c>
      <c r="J13" s="9" t="inlineStr"/>
      <c r="K13" s="8" t="inlineStr">
        <is>
          <t>Copiar en Flexxus: Tipo=MB-EXT | Movimiento=GRAVAMEN LEY 25.413 S/DEB | Monto=0,94 | Fecha: 24/04/2026</t>
        </is>
      </c>
    </row>
    <row r="14">
      <c r="A14" s="8" t="inlineStr">
        <is>
          <t>PEND-E06B81872B01-A001</t>
        </is>
      </c>
      <c r="B14" s="8" t="inlineStr">
        <is>
          <t>ABIERTO_NUEVO</t>
        </is>
      </c>
      <c r="C14" s="8" t="inlineStr">
        <is>
          <t>Banco egreso no Flexxus</t>
        </is>
      </c>
      <c r="D14" s="8" t="inlineStr">
        <is>
          <t>24/04/2026</t>
        </is>
      </c>
      <c r="E14" s="8" t="inlineStr">
        <is>
          <t>108594</t>
        </is>
      </c>
      <c r="F14" s="8" t="inlineStr">
        <is>
          <t>GRAVAMEN LEY 25413 S/DEB</t>
        </is>
      </c>
      <c r="G14" s="8" t="inlineStr">
        <is>
          <t>Anticipo Ganancias Ley 25.413 débitos</t>
        </is>
      </c>
      <c r="H14" s="8" t="inlineStr">
        <is>
          <t>Anticipo Impuesto a las Ganancias</t>
        </is>
      </c>
      <c r="I14" s="9" t="n">
        <v>0.77</v>
      </c>
      <c r="J14" s="9" t="inlineStr"/>
      <c r="K14" s="8" t="inlineStr">
        <is>
          <t>Copiar en Flexxus: Tipo=MB-EXT | Movimiento=GRAVAMEN LEY 25.413 S/DEB | Monto=0,77 | Fecha: 24/04/2026</t>
        </is>
      </c>
    </row>
    <row r="15">
      <c r="A15" s="8" t="inlineStr">
        <is>
          <t>PEND-2DFE5DCB1C91-A001</t>
        </is>
      </c>
      <c r="B15" s="8" t="inlineStr">
        <is>
          <t>ABIERTO_NUEVO</t>
        </is>
      </c>
      <c r="C15" s="8" t="inlineStr">
        <is>
          <t>Banco egreso no Flexxus</t>
        </is>
      </c>
      <c r="D15" s="8" t="inlineStr">
        <is>
          <t>24/04/2026</t>
        </is>
      </c>
      <c r="E15" s="8" t="inlineStr">
        <is>
          <t>108593</t>
        </is>
      </c>
      <c r="F15" s="8" t="inlineStr">
        <is>
          <t>GRAVAMEN LEY 25413 S/DEB</t>
        </is>
      </c>
      <c r="G15" s="8" t="inlineStr">
        <is>
          <t>Anticipo Ganancias Ley 25.413 débitos</t>
        </is>
      </c>
      <c r="H15" s="8" t="inlineStr">
        <is>
          <t>Anticipo Impuesto a las Ganancias</t>
        </is>
      </c>
      <c r="I15" s="9" t="n">
        <v>0.27</v>
      </c>
      <c r="J15" s="9" t="inlineStr"/>
      <c r="K15" s="8" t="inlineStr">
        <is>
          <t>Copiar en Flexxus: Tipo=MB-EXT | Movimiento=GRAVAMEN LEY 25.413 S/DEB | Monto=0,27 | Fecha: 24/04/2026</t>
        </is>
      </c>
    </row>
    <row r="16">
      <c r="A16" s="8" t="inlineStr">
        <is>
          <t>PEND-CC80A8DC8E06-A001</t>
        </is>
      </c>
      <c r="B16" s="8" t="inlineStr">
        <is>
          <t>ABIERTO_NUEVO</t>
        </is>
      </c>
      <c r="C16" s="8" t="inlineStr">
        <is>
          <t>Banco egreso no Flexxus</t>
        </is>
      </c>
      <c r="D16" s="8" t="inlineStr">
        <is>
          <t>24/04/2026</t>
        </is>
      </c>
      <c r="E16" s="8" t="inlineStr">
        <is>
          <t>108592</t>
        </is>
      </c>
      <c r="F16" s="8" t="inlineStr">
        <is>
          <t>GRAVAMEN LEY 25413 S/DEB</t>
        </is>
      </c>
      <c r="G16" s="8" t="inlineStr">
        <is>
          <t>Anticipo Ganancias Ley 25.413 débitos</t>
        </is>
      </c>
      <c r="H16" s="8" t="inlineStr">
        <is>
          <t>Anticipo Impuesto a las Ganancias</t>
        </is>
      </c>
      <c r="I16" s="9" t="n">
        <v>0.21</v>
      </c>
      <c r="J16" s="9" t="inlineStr"/>
      <c r="K16" s="8" t="inlineStr">
        <is>
          <t>Copiar en Flexxus: Tipo=MB-EXT | Movimiento=GRAVAMEN LEY 25.413 S/DEB | Monto=0,21 | Fecha: 24/04/2026</t>
        </is>
      </c>
    </row>
    <row r="17">
      <c r="A17" s="8" t="inlineStr">
        <is>
          <t>PEND-F7E559794D58-A001</t>
        </is>
      </c>
      <c r="B17" s="8" t="inlineStr">
        <is>
          <t>ABIERTO_NUEVO</t>
        </is>
      </c>
      <c r="C17" s="8" t="inlineStr">
        <is>
          <t>Banco egreso no Flexxus</t>
        </is>
      </c>
      <c r="D17" s="8" t="inlineStr">
        <is>
          <t>24/04/2026</t>
        </is>
      </c>
      <c r="E17" s="8" t="inlineStr">
        <is>
          <t>108591</t>
        </is>
      </c>
      <c r="F17" s="8" t="inlineStr">
        <is>
          <t>GRAVAMEN LEY 25413 S/DEB</t>
        </is>
      </c>
      <c r="G17" s="8" t="inlineStr">
        <is>
          <t>Anticipo Ganancias Ley 25.413 débitos</t>
        </is>
      </c>
      <c r="H17" s="8" t="inlineStr">
        <is>
          <t>Anticipo Impuesto a las Ganancias</t>
        </is>
      </c>
      <c r="I17" s="9" t="n">
        <v>4.04</v>
      </c>
      <c r="J17" s="9" t="inlineStr"/>
      <c r="K17" s="8" t="inlineStr">
        <is>
          <t>Copiar en Flexxus: Tipo=MB-EXT | Movimiento=GRAVAMEN LEY 25.413 S/DEB | Monto=4,04 | Fecha: 24/04/2026</t>
        </is>
      </c>
    </row>
    <row r="18">
      <c r="A18" s="8" t="inlineStr">
        <is>
          <t>PEND-BCC3E6E6D015-A001</t>
        </is>
      </c>
      <c r="B18" s="8" t="inlineStr">
        <is>
          <t>ABIERTO_NUEVO</t>
        </is>
      </c>
      <c r="C18" s="8" t="inlineStr">
        <is>
          <t>Banco egreso no Flexxus</t>
        </is>
      </c>
      <c r="D18" s="8" t="inlineStr">
        <is>
          <t>24/04/2026</t>
        </is>
      </c>
      <c r="E18" s="8" t="inlineStr">
        <is>
          <t>108590</t>
        </is>
      </c>
      <c r="F18" s="8" t="inlineStr">
        <is>
          <t>GRAVAMEN LEY 25413 S/DEB</t>
        </is>
      </c>
      <c r="G18" s="8" t="inlineStr">
        <is>
          <t>Anticipo Ganancias Ley 25.413 débitos</t>
        </is>
      </c>
      <c r="H18" s="8" t="inlineStr">
        <is>
          <t>Anticipo Impuesto a las Ganancias</t>
        </is>
      </c>
      <c r="I18" s="9" t="n">
        <v>11.93</v>
      </c>
      <c r="J18" s="9" t="inlineStr"/>
      <c r="K18" s="8" t="inlineStr">
        <is>
          <t>Copiar en Flexxus: Tipo=MB-EXT | Movimiento=GRAVAMEN LEY 25.413 S/DEB | Monto=11,93 | Fecha: 24/04/2026</t>
        </is>
      </c>
    </row>
    <row r="19">
      <c r="A19" s="8" t="inlineStr">
        <is>
          <t>PEND-18CA2C17AF31-A001</t>
        </is>
      </c>
      <c r="B19" s="8" t="inlineStr">
        <is>
          <t>ABIERTO_NUEVO</t>
        </is>
      </c>
      <c r="C19" s="8" t="inlineStr">
        <is>
          <t>Banco egreso no Flexxus</t>
        </is>
      </c>
      <c r="D19" s="8" t="inlineStr">
        <is>
          <t>24/04/2026</t>
        </is>
      </c>
      <c r="E19" s="8" t="inlineStr">
        <is>
          <t>108589</t>
        </is>
      </c>
      <c r="F19" s="8" t="inlineStr">
        <is>
          <t>GRAVAMEN LEY 25413 S/DEB</t>
        </is>
      </c>
      <c r="G19" s="8" t="inlineStr">
        <is>
          <t>Anticipo Ganancias Ley 25.413 débitos</t>
        </is>
      </c>
      <c r="H19" s="8" t="inlineStr">
        <is>
          <t>Anticipo Impuesto a las Ganancias</t>
        </is>
      </c>
      <c r="I19" s="9" t="n">
        <v>1.6</v>
      </c>
      <c r="J19" s="9" t="inlineStr"/>
      <c r="K19" s="8" t="inlineStr">
        <is>
          <t>Copiar en Flexxus: Tipo=MB-EXT | Movimiento=GRAVAMEN LEY 25.413 S/DEB | Monto=1,60 | Fecha: 24/04/2026</t>
        </is>
      </c>
    </row>
    <row r="20">
      <c r="A20" s="8" t="inlineStr">
        <is>
          <t>PEND-EE4DD0D4A7EE-A001</t>
        </is>
      </c>
      <c r="B20" s="8" t="inlineStr">
        <is>
          <t>ABIERTO_NUEVO</t>
        </is>
      </c>
      <c r="C20" s="8" t="inlineStr">
        <is>
          <t>Banco egreso no Flexxus</t>
        </is>
      </c>
      <c r="D20" s="8" t="inlineStr">
        <is>
          <t>24/04/2026</t>
        </is>
      </c>
      <c r="E20" s="8" t="inlineStr">
        <is>
          <t>108588</t>
        </is>
      </c>
      <c r="F20" s="8" t="inlineStr">
        <is>
          <t>GRAVAMEN LEY 25413 S/DEB</t>
        </is>
      </c>
      <c r="G20" s="8" t="inlineStr">
        <is>
          <t>Anticipo Ganancias Ley 25.413 débitos</t>
        </is>
      </c>
      <c r="H20" s="8" t="inlineStr">
        <is>
          <t>Anticipo Impuesto a las Ganancias</t>
        </is>
      </c>
      <c r="I20" s="9" t="n">
        <v>2.13</v>
      </c>
      <c r="J20" s="9" t="inlineStr"/>
      <c r="K20" s="8" t="inlineStr">
        <is>
          <t>Copiar en Flexxus: Tipo=MB-EXT | Movimiento=GRAVAMEN LEY 25.413 S/DEB | Monto=2,13 | Fecha: 24/04/2026</t>
        </is>
      </c>
    </row>
    <row r="21">
      <c r="A21" s="8" t="inlineStr">
        <is>
          <t>PEND-2712EDC48D67-A001</t>
        </is>
      </c>
      <c r="B21" s="8" t="inlineStr">
        <is>
          <t>ABIERTO_NUEVO</t>
        </is>
      </c>
      <c r="C21" s="8" t="inlineStr">
        <is>
          <t>Banco egreso no Flexxus</t>
        </is>
      </c>
      <c r="D21" s="8" t="inlineStr">
        <is>
          <t>24/04/2026</t>
        </is>
      </c>
      <c r="E21" s="8" t="inlineStr">
        <is>
          <t>32032899</t>
        </is>
      </c>
      <c r="F21" s="8" t="inlineStr">
        <is>
          <t>GRAVAMEN LEY 25413 S/DEB</t>
        </is>
      </c>
      <c r="G21" s="8" t="inlineStr">
        <is>
          <t>Anticipo Ganancias Ley 25.413 débitos</t>
        </is>
      </c>
      <c r="H21" s="8" t="inlineStr">
        <is>
          <t>Anticipo Impuesto a las Ganancias</t>
        </is>
      </c>
      <c r="I21" s="9" t="n">
        <v>7.28</v>
      </c>
      <c r="J21" s="9" t="inlineStr"/>
      <c r="K21" s="8" t="inlineStr">
        <is>
          <t>Copiar en Flexxus: Tipo=MB-EXT | Movimiento=GRAVAMEN LEY 25.413 S/DEB | Monto=7,28 | Fecha: 24/04/2026</t>
        </is>
      </c>
    </row>
    <row r="22">
      <c r="A22" s="8" t="inlineStr">
        <is>
          <t>PEND-2FFFFEDC5F4F-A001</t>
        </is>
      </c>
      <c r="B22" s="8" t="inlineStr">
        <is>
          <t>ABIERTO_NUEVO</t>
        </is>
      </c>
      <c r="C22" s="8" t="inlineStr">
        <is>
          <t>Banco egreso no Flexxus</t>
        </is>
      </c>
      <c r="D22" s="8" t="inlineStr">
        <is>
          <t>24/04/2026</t>
        </is>
      </c>
      <c r="E22" s="8" t="inlineStr">
        <is>
          <t>31995644</t>
        </is>
      </c>
      <c r="F22" s="8" t="inlineStr">
        <is>
          <t>GRAVAMEN LEY 25413 S/DEB</t>
        </is>
      </c>
      <c r="G22" s="8" t="inlineStr">
        <is>
          <t>Anticipo Ganancias Ley 25.413 débitos</t>
        </is>
      </c>
      <c r="H22" s="8" t="inlineStr">
        <is>
          <t>Anticipo Impuesto a las Ganancias</t>
        </is>
      </c>
      <c r="I22" s="9" t="n">
        <v>17.48</v>
      </c>
      <c r="J22" s="9" t="inlineStr"/>
      <c r="K22" s="8" t="inlineStr">
        <is>
          <t>Copiar en Flexxus: Tipo=MB-EXT | Movimiento=GRAVAMEN LEY 25.413 S/DEB | Monto=17,48 | Fecha: 24/04/2026</t>
        </is>
      </c>
    </row>
    <row r="23">
      <c r="A23" s="8" t="inlineStr">
        <is>
          <t>PEND-DCCE5C4ABA73-A001</t>
        </is>
      </c>
      <c r="B23" s="8" t="inlineStr">
        <is>
          <t>ABIERTO_NUEVO</t>
        </is>
      </c>
      <c r="C23" s="8" t="inlineStr">
        <is>
          <t>Banco egreso no Flexxus</t>
        </is>
      </c>
      <c r="D23" s="8" t="inlineStr">
        <is>
          <t>24/04/2026</t>
        </is>
      </c>
      <c r="E23" s="8" t="inlineStr">
        <is>
          <t>29841705</t>
        </is>
      </c>
      <c r="F23" s="8" t="inlineStr">
        <is>
          <t>GRAVAMEN LEY 25413 S/DEB</t>
        </is>
      </c>
      <c r="G23" s="8" t="inlineStr">
        <is>
          <t>Anticipo Ganancias Ley 25.413 débitos</t>
        </is>
      </c>
      <c r="H23" s="8" t="inlineStr">
        <is>
          <t>Anticipo Impuesto a las Ganancias</t>
        </is>
      </c>
      <c r="I23" s="9" t="n">
        <v>0.68</v>
      </c>
      <c r="J23" s="9" t="inlineStr"/>
      <c r="K23" s="8" t="inlineStr">
        <is>
          <t>Copiar en Flexxus: Tipo=MB-EXT | Movimiento=GRAVAMEN LEY 25.413 S/DEB | Monto=0,68 | Fecha: 24/04/2026</t>
        </is>
      </c>
    </row>
    <row r="24">
      <c r="A24" s="8" t="inlineStr">
        <is>
          <t>PEND-B950CA41A87D-A001</t>
        </is>
      </c>
      <c r="B24" s="8" t="inlineStr">
        <is>
          <t>ABIERTO_NUEVO</t>
        </is>
      </c>
      <c r="C24" s="8" t="inlineStr">
        <is>
          <t>Banco egreso no Flexxus</t>
        </is>
      </c>
      <c r="D24" s="8" t="inlineStr">
        <is>
          <t>24/04/2026</t>
        </is>
      </c>
      <c r="E24" s="8" t="inlineStr">
        <is>
          <t>29841683</t>
        </is>
      </c>
      <c r="F24" s="8" t="inlineStr">
        <is>
          <t>GRAVAMEN LEY 25413 S/DEB</t>
        </is>
      </c>
      <c r="G24" s="8" t="inlineStr">
        <is>
          <t>Anticipo Ganancias Ley 25.413 débitos</t>
        </is>
      </c>
      <c r="H24" s="8" t="inlineStr">
        <is>
          <t>Anticipo Impuesto a las Ganancias</t>
        </is>
      </c>
      <c r="I24" s="9" t="n">
        <v>3.5</v>
      </c>
      <c r="J24" s="9" t="inlineStr"/>
      <c r="K24" s="8" t="inlineStr">
        <is>
          <t>Copiar en Flexxus: Tipo=MB-EXT | Movimiento=GRAVAMEN LEY 25.413 S/DEB | Monto=3,50 | Fecha: 24/04/2026</t>
        </is>
      </c>
    </row>
    <row r="25">
      <c r="A25" s="8" t="inlineStr">
        <is>
          <t>PEND-ACF5012EA190-A001</t>
        </is>
      </c>
      <c r="B25" s="8" t="inlineStr">
        <is>
          <t>ABIERTO_NUEVO</t>
        </is>
      </c>
      <c r="C25" s="8" t="inlineStr">
        <is>
          <t>Banco egreso no Flexxus</t>
        </is>
      </c>
      <c r="D25" s="8" t="inlineStr">
        <is>
          <t>24/04/2026</t>
        </is>
      </c>
      <c r="E25" s="8" t="inlineStr">
        <is>
          <t>29841670</t>
        </is>
      </c>
      <c r="F25" s="8" t="inlineStr">
        <is>
          <t>GRAVAMEN LEY 25413 S/DEB</t>
        </is>
      </c>
      <c r="G25" s="8" t="inlineStr">
        <is>
          <t>Anticipo Ganancias Ley 25.413 débitos</t>
        </is>
      </c>
      <c r="H25" s="8" t="inlineStr">
        <is>
          <t>Anticipo Impuesto a las Ganancias</t>
        </is>
      </c>
      <c r="I25" s="9" t="n">
        <v>3.65</v>
      </c>
      <c r="J25" s="9" t="inlineStr"/>
      <c r="K25" s="8" t="inlineStr">
        <is>
          <t>Copiar en Flexxus: Tipo=MB-EXT | Movimiento=GRAVAMEN LEY 25.413 S/DEB | Monto=3,65 | Fecha: 24/04/2026</t>
        </is>
      </c>
    </row>
    <row r="26">
      <c r="A26" s="8" t="inlineStr">
        <is>
          <t>PEND-CD56CFEAB51B-A001</t>
        </is>
      </c>
      <c r="B26" s="8" t="inlineStr">
        <is>
          <t>ABIERTO_NUEVO</t>
        </is>
      </c>
      <c r="C26" s="8" t="inlineStr">
        <is>
          <t>Banco egreso no Flexxus</t>
        </is>
      </c>
      <c r="D26" s="8" t="inlineStr">
        <is>
          <t>24/04/2026</t>
        </is>
      </c>
      <c r="E26" s="8" t="inlineStr">
        <is>
          <t>29841642</t>
        </is>
      </c>
      <c r="F26" s="8" t="inlineStr">
        <is>
          <t>GRAVAMEN LEY 25413 S/DEB</t>
        </is>
      </c>
      <c r="G26" s="8" t="inlineStr">
        <is>
          <t>Anticipo Ganancias Ley 25.413 débitos</t>
        </is>
      </c>
      <c r="H26" s="8" t="inlineStr">
        <is>
          <t>Anticipo Impuesto a las Ganancias</t>
        </is>
      </c>
      <c r="I26" s="9" t="n">
        <v>1.42</v>
      </c>
      <c r="J26" s="9" t="inlineStr"/>
      <c r="K26" s="8" t="inlineStr">
        <is>
          <t>Copiar en Flexxus: Tipo=MB-EXT | Movimiento=GRAVAMEN LEY 25.413 S/DEB | Monto=1,42 | Fecha: 24/04/2026</t>
        </is>
      </c>
    </row>
    <row r="27">
      <c r="A27" s="8" t="inlineStr">
        <is>
          <t>PEND-1B4DCF1E6250-A001</t>
        </is>
      </c>
      <c r="B27" s="8" t="inlineStr">
        <is>
          <t>ABIERTO_NUEVO</t>
        </is>
      </c>
      <c r="C27" s="8" t="inlineStr">
        <is>
          <t>Banco egreso no Flexxus</t>
        </is>
      </c>
      <c r="D27" s="8" t="inlineStr">
        <is>
          <t>24/04/2026</t>
        </is>
      </c>
      <c r="E27" s="8" t="inlineStr">
        <is>
          <t>29841627</t>
        </is>
      </c>
      <c r="F27" s="8" t="inlineStr">
        <is>
          <t>GRAVAMEN LEY 25413 S/DEB</t>
        </is>
      </c>
      <c r="G27" s="8" t="inlineStr">
        <is>
          <t>Anticipo Ganancias Ley 25.413 débitos</t>
        </is>
      </c>
      <c r="H27" s="8" t="inlineStr">
        <is>
          <t>Anticipo Impuesto a las Ganancias</t>
        </is>
      </c>
      <c r="I27" s="9" t="n">
        <v>1.6</v>
      </c>
      <c r="J27" s="9" t="inlineStr"/>
      <c r="K27" s="8" t="inlineStr">
        <is>
          <t>Copiar en Flexxus: Tipo=MB-EXT | Movimiento=GRAVAMEN LEY 25.413 S/DEB | Monto=1,60 | Fecha: 24/04/2026</t>
        </is>
      </c>
    </row>
    <row r="28">
      <c r="A28" s="8" t="inlineStr">
        <is>
          <t>PEND-ECD19B3EC733-A001</t>
        </is>
      </c>
      <c r="B28" s="8" t="inlineStr">
        <is>
          <t>ABIERTO_NUEVO</t>
        </is>
      </c>
      <c r="C28" s="8" t="inlineStr">
        <is>
          <t>Banco egreso no Flexxus</t>
        </is>
      </c>
      <c r="D28" s="8" t="inlineStr">
        <is>
          <t>24/04/2026</t>
        </is>
      </c>
      <c r="E28" s="8" t="inlineStr">
        <is>
          <t>32032899</t>
        </is>
      </c>
      <c r="F28" s="8" t="inlineStr">
        <is>
          <t>GRAVAMEN LEY 25413 S/DEB</t>
        </is>
      </c>
      <c r="G28" s="8" t="inlineStr">
        <is>
          <t>Anticipo Ganancias Ley 25.413 débitos</t>
        </is>
      </c>
      <c r="H28" s="8" t="inlineStr">
        <is>
          <t>Anticipo Impuesto a las Ganancias</t>
        </is>
      </c>
      <c r="I28" s="9" t="n">
        <v>17.49</v>
      </c>
      <c r="J28" s="9" t="inlineStr"/>
      <c r="K28" s="8" t="inlineStr">
        <is>
          <t>Copiar en Flexxus: Tipo=MB-EXT | Movimiento=GRAVAMEN LEY 25.413 S/DEB | Monto=17,49 | Fecha: 24/04/2026</t>
        </is>
      </c>
    </row>
    <row r="29">
      <c r="A29" s="8" t="inlineStr">
        <is>
          <t>PEND-60E237DFE092-A001</t>
        </is>
      </c>
      <c r="B29" s="8" t="inlineStr">
        <is>
          <t>ABIERTO_NUEVO</t>
        </is>
      </c>
      <c r="C29" s="8" t="inlineStr">
        <is>
          <t>Banco egreso no Flexxus</t>
        </is>
      </c>
      <c r="D29" s="8" t="inlineStr">
        <is>
          <t>24/04/2026</t>
        </is>
      </c>
      <c r="E29" s="8" t="inlineStr">
        <is>
          <t>32032899</t>
        </is>
      </c>
      <c r="F29" s="8" t="inlineStr">
        <is>
          <t>GRAVAMEN LEY 25413 S/DEB</t>
        </is>
      </c>
      <c r="G29" s="8" t="inlineStr">
        <is>
          <t>Anticipo Ganancias Ley 25.413 débitos</t>
        </is>
      </c>
      <c r="H29" s="8" t="inlineStr">
        <is>
          <t>Anticipo Impuesto a las Ganancias</t>
        </is>
      </c>
      <c r="I29" s="9" t="n">
        <v>2.5</v>
      </c>
      <c r="J29" s="9" t="inlineStr"/>
      <c r="K29" s="8" t="inlineStr">
        <is>
          <t>Copiar en Flexxus: Tipo=MB-EXT | Movimiento=GRAVAMEN LEY 25.413 S/DEB | Monto=2,50 | Fecha: 24/04/2026</t>
        </is>
      </c>
    </row>
    <row r="30">
      <c r="A30" s="8" t="inlineStr">
        <is>
          <t>PEND-21E55E15D2D9-A001</t>
        </is>
      </c>
      <c r="B30" s="8" t="inlineStr">
        <is>
          <t>ABIERTO_NUEVO</t>
        </is>
      </c>
      <c r="C30" s="8" t="inlineStr">
        <is>
          <t>Banco egreso no Flexxus</t>
        </is>
      </c>
      <c r="D30" s="8" t="inlineStr">
        <is>
          <t>24/04/2026</t>
        </is>
      </c>
      <c r="E30" s="8" t="inlineStr">
        <is>
          <t>32032899</t>
        </is>
      </c>
      <c r="F30" s="8" t="inlineStr">
        <is>
          <t>GRAVAMEN LEY 25413 S/DEB</t>
        </is>
      </c>
      <c r="G30" s="8" t="inlineStr">
        <is>
          <t>Anticipo Ganancias Ley 25.413 débitos</t>
        </is>
      </c>
      <c r="H30" s="8" t="inlineStr">
        <is>
          <t>Anticipo Impuesto a las Ganancias</t>
        </is>
      </c>
      <c r="I30" s="9" t="n">
        <v>6.95</v>
      </c>
      <c r="J30" s="9" t="inlineStr"/>
      <c r="K30" s="8" t="inlineStr">
        <is>
          <t>Copiar en Flexxus: Tipo=MB-EXT | Movimiento=GRAVAMEN LEY 25.413 S/DEB | Monto=6,95 | Fecha: 24/04/2026</t>
        </is>
      </c>
    </row>
    <row r="31">
      <c r="A31" s="8" t="inlineStr">
        <is>
          <t>PEND-63D6EE7B4C22-A001</t>
        </is>
      </c>
      <c r="B31" s="8" t="inlineStr">
        <is>
          <t>ABIERTO_NUEVO</t>
        </is>
      </c>
      <c r="C31" s="8" t="inlineStr">
        <is>
          <t>Banco egreso no Flexxus</t>
        </is>
      </c>
      <c r="D31" s="8" t="inlineStr">
        <is>
          <t>24/04/2026</t>
        </is>
      </c>
      <c r="E31" s="8" t="inlineStr">
        <is>
          <t>31995644</t>
        </is>
      </c>
      <c r="F31" s="8" t="inlineStr">
        <is>
          <t>GRAVAMEN LEY 25413 S/DEB</t>
        </is>
      </c>
      <c r="G31" s="8" t="inlineStr">
        <is>
          <t>Anticipo Ganancias Ley 25.413 débitos</t>
        </is>
      </c>
      <c r="H31" s="8" t="inlineStr">
        <is>
          <t>Anticipo Impuesto a las Ganancias</t>
        </is>
      </c>
      <c r="I31" s="9" t="n">
        <v>5.02</v>
      </c>
      <c r="J31" s="9" t="inlineStr"/>
      <c r="K31" s="8" t="inlineStr">
        <is>
          <t>Copiar en Flexxus: Tipo=MB-EXT | Movimiento=GRAVAMEN LEY 25.413 S/DEB | Monto=5,02 | Fecha: 24/04/2026</t>
        </is>
      </c>
    </row>
    <row r="32">
      <c r="A32" s="8" t="inlineStr">
        <is>
          <t>PEND-B29B66F54E30-A001</t>
        </is>
      </c>
      <c r="B32" s="8" t="inlineStr">
        <is>
          <t>ABIERTO_NUEVO</t>
        </is>
      </c>
      <c r="C32" s="8" t="inlineStr">
        <is>
          <t>Banco egreso no Flexxus</t>
        </is>
      </c>
      <c r="D32" s="8" t="inlineStr">
        <is>
          <t>24/04/2026</t>
        </is>
      </c>
      <c r="E32" s="8" t="inlineStr">
        <is>
          <t>29841683</t>
        </is>
      </c>
      <c r="F32" s="8" t="inlineStr">
        <is>
          <t>GRAVAMEN LEY 25413 S/DEB</t>
        </is>
      </c>
      <c r="G32" s="8" t="inlineStr">
        <is>
          <t>Anticipo Ganancias Ley 25.413 débitos</t>
        </is>
      </c>
      <c r="H32" s="8" t="inlineStr">
        <is>
          <t>Anticipo Impuesto a las Ganancias</t>
        </is>
      </c>
      <c r="I32" s="9" t="n">
        <v>2.85</v>
      </c>
      <c r="J32" s="9" t="inlineStr"/>
      <c r="K32" s="8" t="inlineStr">
        <is>
          <t>Copiar en Flexxus: Tipo=MB-EXT | Movimiento=GRAVAMEN LEY 25.413 S/DEB | Monto=2,85 | Fecha: 24/04/2026</t>
        </is>
      </c>
    </row>
    <row r="33">
      <c r="A33" s="8" t="inlineStr">
        <is>
          <t>PEND-136C918A8D9A-A001</t>
        </is>
      </c>
      <c r="B33" s="8" t="inlineStr">
        <is>
          <t>ABIERTO_NUEVO</t>
        </is>
      </c>
      <c r="C33" s="8" t="inlineStr">
        <is>
          <t>Banco egreso no Flexxus</t>
        </is>
      </c>
      <c r="D33" s="8" t="inlineStr">
        <is>
          <t>24/04/2026</t>
        </is>
      </c>
      <c r="E33" s="8" t="inlineStr">
        <is>
          <t>32032899</t>
        </is>
      </c>
      <c r="F33" s="8" t="inlineStr">
        <is>
          <t>GRAVAMEN LEY 25413 S/DEB</t>
        </is>
      </c>
      <c r="G33" s="8" t="inlineStr">
        <is>
          <t>Anticipo Ganancias Ley 25.413 débitos</t>
        </is>
      </c>
      <c r="H33" s="8" t="inlineStr">
        <is>
          <t>Anticipo Impuesto a las Ganancias</t>
        </is>
      </c>
      <c r="I33" s="9" t="n">
        <v>38.82</v>
      </c>
      <c r="J33" s="9" t="inlineStr"/>
      <c r="K33" s="8" t="inlineStr">
        <is>
          <t>Copiar en Flexxus: Tipo=MB-EXT | Movimiento=GRAVAMEN LEY 25.413 S/DEB | Monto=38,82 | Fecha: 24/04/2026</t>
        </is>
      </c>
    </row>
    <row r="34">
      <c r="A34" s="8" t="inlineStr">
        <is>
          <t>PEND-2BF9CA4393AD-A001</t>
        </is>
      </c>
      <c r="B34" s="8" t="inlineStr">
        <is>
          <t>ABIERTO_NUEVO</t>
        </is>
      </c>
      <c r="C34" s="8" t="inlineStr">
        <is>
          <t>Banco egreso no Flexxus</t>
        </is>
      </c>
      <c r="D34" s="8" t="inlineStr">
        <is>
          <t>24/04/2026</t>
        </is>
      </c>
      <c r="E34" s="8" t="inlineStr">
        <is>
          <t>32032899</t>
        </is>
      </c>
      <c r="F34" s="8" t="inlineStr">
        <is>
          <t>GRAVAMEN LEY 25413 S/DEB</t>
        </is>
      </c>
      <c r="G34" s="8" t="inlineStr">
        <is>
          <t>Anticipo Ganancias Ley 25.413 débitos</t>
        </is>
      </c>
      <c r="H34" s="8" t="inlineStr">
        <is>
          <t>Anticipo Impuesto a las Ganancias</t>
        </is>
      </c>
      <c r="I34" s="9" t="n">
        <v>7.2</v>
      </c>
      <c r="J34" s="9" t="inlineStr"/>
      <c r="K34" s="8" t="inlineStr">
        <is>
          <t>Copiar en Flexxus: Tipo=MB-EXT | Movimiento=GRAVAMEN LEY 25.413 S/DEB | Monto=7,20 | Fecha: 24/04/2026</t>
        </is>
      </c>
    </row>
    <row r="35">
      <c r="A35" s="8" t="inlineStr">
        <is>
          <t>PEND-ED4D97E6E1A1-A001</t>
        </is>
      </c>
      <c r="B35" s="8" t="inlineStr">
        <is>
          <t>ABIERTO_NUEVO</t>
        </is>
      </c>
      <c r="C35" s="8" t="inlineStr">
        <is>
          <t>Banco egreso no Flexxus</t>
        </is>
      </c>
      <c r="D35" s="8" t="inlineStr">
        <is>
          <t>24/04/2026</t>
        </is>
      </c>
      <c r="E35" s="8" t="inlineStr">
        <is>
          <t>31995644</t>
        </is>
      </c>
      <c r="F35" s="8" t="inlineStr">
        <is>
          <t>GRAVAMEN LEY 25413 S/DEB</t>
        </is>
      </c>
      <c r="G35" s="8" t="inlineStr">
        <is>
          <t>Anticipo Ganancias Ley 25.413 débitos</t>
        </is>
      </c>
      <c r="H35" s="8" t="inlineStr">
        <is>
          <t>Anticipo Impuesto a las Ganancias</t>
        </is>
      </c>
      <c r="I35" s="9" t="n">
        <v>18.18</v>
      </c>
      <c r="J35" s="9" t="inlineStr"/>
      <c r="K35" s="8" t="inlineStr">
        <is>
          <t>Copiar en Flexxus: Tipo=MB-EXT | Movimiento=GRAVAMEN LEY 25.413 S/DEB | Monto=18,18 | Fecha: 24/04/2026</t>
        </is>
      </c>
    </row>
    <row r="36">
      <c r="A36" s="8" t="inlineStr">
        <is>
          <t>PEND-FC1022BF24AE-A001</t>
        </is>
      </c>
      <c r="B36" s="8" t="inlineStr">
        <is>
          <t>ABIERTO_NUEVO</t>
        </is>
      </c>
      <c r="C36" s="8" t="inlineStr">
        <is>
          <t>Banco egreso no Flexxus</t>
        </is>
      </c>
      <c r="D36" s="8" t="inlineStr">
        <is>
          <t>24/04/2026</t>
        </is>
      </c>
      <c r="E36" s="8" t="inlineStr">
        <is>
          <t>31995644</t>
        </is>
      </c>
      <c r="F36" s="8" t="inlineStr">
        <is>
          <t>GRAVAMEN LEY 25413 S/DEB</t>
        </is>
      </c>
      <c r="G36" s="8" t="inlineStr">
        <is>
          <t>Anticipo Ganancias Ley 25.413 débitos</t>
        </is>
      </c>
      <c r="H36" s="8" t="inlineStr">
        <is>
          <t>Anticipo Impuesto a las Ganancias</t>
        </is>
      </c>
      <c r="I36" s="9" t="n">
        <v>26.11</v>
      </c>
      <c r="J36" s="9" t="inlineStr"/>
      <c r="K36" s="8" t="inlineStr">
        <is>
          <t>Copiar en Flexxus: Tipo=MB-EXT | Movimiento=GRAVAMEN LEY 25.413 S/DEB | Monto=26,11 | Fecha: 24/04/2026</t>
        </is>
      </c>
    </row>
    <row r="37">
      <c r="A37" s="8" t="inlineStr">
        <is>
          <t>PEND-D88B2992AB83-A001</t>
        </is>
      </c>
      <c r="B37" s="8" t="inlineStr">
        <is>
          <t>ABIERTO_NUEVO</t>
        </is>
      </c>
      <c r="C37" s="8" t="inlineStr">
        <is>
          <t>Banco egreso no Flexxus</t>
        </is>
      </c>
      <c r="D37" s="8" t="inlineStr">
        <is>
          <t>24/04/2026</t>
        </is>
      </c>
      <c r="E37" s="8" t="inlineStr">
        <is>
          <t>29841705</t>
        </is>
      </c>
      <c r="F37" s="8" t="inlineStr">
        <is>
          <t>GRAVAMEN LEY 25413 S/DEB</t>
        </is>
      </c>
      <c r="G37" s="8" t="inlineStr">
        <is>
          <t>Anticipo Ganancias Ley 25.413 débitos</t>
        </is>
      </c>
      <c r="H37" s="8" t="inlineStr">
        <is>
          <t>Anticipo Impuesto a las Ganancias</t>
        </is>
      </c>
      <c r="I37" s="9" t="n">
        <v>0.45</v>
      </c>
      <c r="J37" s="9" t="inlineStr"/>
      <c r="K37" s="8" t="inlineStr">
        <is>
          <t>Copiar en Flexxus: Tipo=MB-EXT | Movimiento=GRAVAMEN LEY 25.413 S/DEB | Monto=0,45 | Fecha: 24/04/2026</t>
        </is>
      </c>
    </row>
    <row r="38">
      <c r="A38" s="8" t="inlineStr">
        <is>
          <t>PEND-ABC160E6106B-A001</t>
        </is>
      </c>
      <c r="B38" s="8" t="inlineStr">
        <is>
          <t>ABIERTO_NUEVO</t>
        </is>
      </c>
      <c r="C38" s="8" t="inlineStr">
        <is>
          <t>Banco egreso no Flexxus</t>
        </is>
      </c>
      <c r="D38" s="8" t="inlineStr">
        <is>
          <t>24/04/2026</t>
        </is>
      </c>
      <c r="E38" s="8" t="inlineStr">
        <is>
          <t>29841705</t>
        </is>
      </c>
      <c r="F38" s="8" t="inlineStr">
        <is>
          <t>GRAVAMEN LEY 25413 S/DEB</t>
        </is>
      </c>
      <c r="G38" s="8" t="inlineStr">
        <is>
          <t>Anticipo Ganancias Ley 25.413 débitos</t>
        </is>
      </c>
      <c r="H38" s="8" t="inlineStr">
        <is>
          <t>Anticipo Impuesto a las Ganancias</t>
        </is>
      </c>
      <c r="I38" s="9" t="n">
        <v>2.47</v>
      </c>
      <c r="J38" s="9" t="inlineStr"/>
      <c r="K38" s="8" t="inlineStr">
        <is>
          <t>Copiar en Flexxus: Tipo=MB-EXT | Movimiento=GRAVAMEN LEY 25.413 S/DEB | Monto=2,47 | Fecha: 24/04/2026</t>
        </is>
      </c>
    </row>
    <row r="39">
      <c r="A39" s="8" t="inlineStr">
        <is>
          <t>PEND-0803AED9F9F8-A001</t>
        </is>
      </c>
      <c r="B39" s="8" t="inlineStr">
        <is>
          <t>ABIERTO_NUEVO</t>
        </is>
      </c>
      <c r="C39" s="8" t="inlineStr">
        <is>
          <t>Banco egreso no Flexxus</t>
        </is>
      </c>
      <c r="D39" s="8" t="inlineStr">
        <is>
          <t>24/04/2026</t>
        </is>
      </c>
      <c r="E39" s="8" t="inlineStr">
        <is>
          <t>29841670</t>
        </is>
      </c>
      <c r="F39" s="8" t="inlineStr">
        <is>
          <t>GRAVAMEN LEY 25413 S/DEB</t>
        </is>
      </c>
      <c r="G39" s="8" t="inlineStr">
        <is>
          <t>Anticipo Ganancias Ley 25.413 débitos</t>
        </is>
      </c>
      <c r="H39" s="8" t="inlineStr">
        <is>
          <t>Anticipo Impuesto a las Ganancias</t>
        </is>
      </c>
      <c r="I39" s="9" t="n">
        <v>7.26</v>
      </c>
      <c r="J39" s="9" t="inlineStr"/>
      <c r="K39" s="8" t="inlineStr">
        <is>
          <t>Copiar en Flexxus: Tipo=MB-EXT | Movimiento=GRAVAMEN LEY 25.413 S/DEB | Monto=7,26 | Fecha: 24/04/2026</t>
        </is>
      </c>
    </row>
    <row r="40">
      <c r="A40" s="8" t="inlineStr">
        <is>
          <t>PEND-413D86DFDAFF-A001</t>
        </is>
      </c>
      <c r="B40" s="8" t="inlineStr">
        <is>
          <t>ABIERTO_NUEVO</t>
        </is>
      </c>
      <c r="C40" s="8" t="inlineStr">
        <is>
          <t>Banco egreso no Flexxus</t>
        </is>
      </c>
      <c r="D40" s="8" t="inlineStr">
        <is>
          <t>24/04/2026</t>
        </is>
      </c>
      <c r="E40" s="8" t="inlineStr">
        <is>
          <t>32032899</t>
        </is>
      </c>
      <c r="F40" s="8" t="inlineStr">
        <is>
          <t>GRAVAMEN LEY 25413 S/DEB</t>
        </is>
      </c>
      <c r="G40" s="8" t="inlineStr">
        <is>
          <t>Anticipo Ganancias Ley 25.413 débitos</t>
        </is>
      </c>
      <c r="H40" s="8" t="inlineStr">
        <is>
          <t>Anticipo Impuesto a las Ganancias</t>
        </is>
      </c>
      <c r="I40" s="9" t="n">
        <v>5.48</v>
      </c>
      <c r="J40" s="9" t="inlineStr"/>
      <c r="K40" s="8" t="inlineStr">
        <is>
          <t>Copiar en Flexxus: Tipo=MB-EXT | Movimiento=GRAVAMEN LEY 25.413 S/DEB | Monto=5,48 | Fecha: 24/04/2026</t>
        </is>
      </c>
    </row>
    <row r="41">
      <c r="A41" s="8" t="inlineStr">
        <is>
          <t>PEND-614F318F3BBC-A001</t>
        </is>
      </c>
      <c r="B41" s="8" t="inlineStr">
        <is>
          <t>ABIERTO_NUEVO</t>
        </is>
      </c>
      <c r="C41" s="8" t="inlineStr">
        <is>
          <t>Banco egreso no Flexxus</t>
        </is>
      </c>
      <c r="D41" s="8" t="inlineStr">
        <is>
          <t>24/04/2026</t>
        </is>
      </c>
      <c r="E41" s="8" t="inlineStr">
        <is>
          <t>31995644</t>
        </is>
      </c>
      <c r="F41" s="8" t="inlineStr">
        <is>
          <t>GRAVAMEN LEY 25413 S/DEB</t>
        </is>
      </c>
      <c r="G41" s="8" t="inlineStr">
        <is>
          <t>Anticipo Ganancias Ley 25.413 débitos</t>
        </is>
      </c>
      <c r="H41" s="8" t="inlineStr">
        <is>
          <t>Anticipo Impuesto a las Ganancias</t>
        </is>
      </c>
      <c r="I41" s="9" t="n">
        <v>7.12</v>
      </c>
      <c r="J41" s="9" t="inlineStr"/>
      <c r="K41" s="8" t="inlineStr">
        <is>
          <t>Copiar en Flexxus: Tipo=MB-EXT | Movimiento=GRAVAMEN LEY 25.413 S/DEB | Monto=7,12 | Fecha: 24/04/2026</t>
        </is>
      </c>
    </row>
    <row r="42">
      <c r="A42" s="8" t="inlineStr">
        <is>
          <t>PEND-866FABB78A09-A001</t>
        </is>
      </c>
      <c r="B42" s="8" t="inlineStr">
        <is>
          <t>ABIERTO_NUEVO</t>
        </is>
      </c>
      <c r="C42" s="8" t="inlineStr">
        <is>
          <t>Banco egreso no Flexxus</t>
        </is>
      </c>
      <c r="D42" s="8" t="inlineStr">
        <is>
          <t>24/04/2026</t>
        </is>
      </c>
      <c r="E42" s="8" t="inlineStr">
        <is>
          <t>31995644</t>
        </is>
      </c>
      <c r="F42" s="8" t="inlineStr">
        <is>
          <t>GRAVAMEN LEY 25413 S/DEB</t>
        </is>
      </c>
      <c r="G42" s="8" t="inlineStr">
        <is>
          <t>Anticipo Ganancias Ley 25.413 débitos</t>
        </is>
      </c>
      <c r="H42" s="8" t="inlineStr">
        <is>
          <t>Anticipo Impuesto a las Ganancias</t>
        </is>
      </c>
      <c r="I42" s="9" t="n">
        <v>7.98</v>
      </c>
      <c r="J42" s="9" t="inlineStr"/>
      <c r="K42" s="8" t="inlineStr">
        <is>
          <t>Copiar en Flexxus: Tipo=MB-EXT | Movimiento=GRAVAMEN LEY 25.413 S/DEB | Monto=7,98 | Fecha: 24/04/2026</t>
        </is>
      </c>
    </row>
    <row r="43">
      <c r="A43" s="8" t="inlineStr">
        <is>
          <t>PEND-F4F65DAD2E92-A001</t>
        </is>
      </c>
      <c r="B43" s="8" t="inlineStr">
        <is>
          <t>ABIERTO_NUEVO</t>
        </is>
      </c>
      <c r="C43" s="8" t="inlineStr">
        <is>
          <t>Banco egreso no Flexxus</t>
        </is>
      </c>
      <c r="D43" s="8" t="inlineStr">
        <is>
          <t>24/04/2026</t>
        </is>
      </c>
      <c r="E43" s="8" t="inlineStr">
        <is>
          <t>29841683</t>
        </is>
      </c>
      <c r="F43" s="8" t="inlineStr">
        <is>
          <t>GRAVAMEN LEY 25413 S/DEB</t>
        </is>
      </c>
      <c r="G43" s="8" t="inlineStr">
        <is>
          <t>Anticipo Ganancias Ley 25.413 débitos</t>
        </is>
      </c>
      <c r="H43" s="8" t="inlineStr">
        <is>
          <t>Anticipo Impuesto a las Ganancias</t>
        </is>
      </c>
      <c r="I43" s="9" t="n">
        <v>3.64</v>
      </c>
      <c r="J43" s="9" t="inlineStr"/>
      <c r="K43" s="8" t="inlineStr">
        <is>
          <t>Copiar en Flexxus: Tipo=MB-EXT | Movimiento=GRAVAMEN LEY 25.413 S/DEB | Monto=3,64 | Fecha: 24/04/2026</t>
        </is>
      </c>
    </row>
    <row r="44">
      <c r="A44" s="8" t="inlineStr">
        <is>
          <t>PEND-0484586D4BEF-A001</t>
        </is>
      </c>
      <c r="B44" s="8" t="inlineStr">
        <is>
          <t>ABIERTO_NUEVO</t>
        </is>
      </c>
      <c r="C44" s="8" t="inlineStr">
        <is>
          <t>Banco egreso no Flexxus</t>
        </is>
      </c>
      <c r="D44" s="8" t="inlineStr">
        <is>
          <t>24/04/2026</t>
        </is>
      </c>
      <c r="E44" s="8" t="inlineStr">
        <is>
          <t>29841670</t>
        </is>
      </c>
      <c r="F44" s="8" t="inlineStr">
        <is>
          <t>GRAVAMEN LEY 25413 S/DEB</t>
        </is>
      </c>
      <c r="G44" s="8" t="inlineStr">
        <is>
          <t>Anticipo Ganancias Ley 25.413 débitos</t>
        </is>
      </c>
      <c r="H44" s="8" t="inlineStr">
        <is>
          <t>Anticipo Impuesto a las Ganancias</t>
        </is>
      </c>
      <c r="I44" s="9" t="n">
        <v>1.27</v>
      </c>
      <c r="J44" s="9" t="inlineStr"/>
      <c r="K44" s="8" t="inlineStr">
        <is>
          <t>Copiar en Flexxus: Tipo=MB-EXT | Movimiento=GRAVAMEN LEY 25.413 S/DEB | Monto=1,27 | Fecha: 24/04/2026</t>
        </is>
      </c>
    </row>
    <row r="45">
      <c r="A45" s="8" t="inlineStr">
        <is>
          <t>PEND-4F92823267BE-A001</t>
        </is>
      </c>
      <c r="B45" s="8" t="inlineStr">
        <is>
          <t>ABIERTO_NUEVO</t>
        </is>
      </c>
      <c r="C45" s="8" t="inlineStr">
        <is>
          <t>Banco egreso no Flexxus</t>
        </is>
      </c>
      <c r="D45" s="8" t="inlineStr">
        <is>
          <t>24/04/2026</t>
        </is>
      </c>
      <c r="E45" s="8" t="inlineStr">
        <is>
          <t>108562</t>
        </is>
      </c>
      <c r="F45" s="8" t="inlineStr">
        <is>
          <t>GRAVAMEN LEY 25413 S/DEB</t>
        </is>
      </c>
      <c r="G45" s="8" t="inlineStr">
        <is>
          <t>Anticipo Ganancias Ley 25.413 débitos</t>
        </is>
      </c>
      <c r="H45" s="8" t="inlineStr">
        <is>
          <t>Anticipo Impuesto a las Ganancias</t>
        </is>
      </c>
      <c r="I45" s="9" t="n">
        <v>1.37</v>
      </c>
      <c r="J45" s="9" t="inlineStr"/>
      <c r="K45" s="8" t="inlineStr">
        <is>
          <t>Copiar en Flexxus: Tipo=MB-EXT | Movimiento=GRAVAMEN LEY 25.413 S/DEB | Monto=1,37 | Fecha: 24/04/2026</t>
        </is>
      </c>
    </row>
    <row r="46">
      <c r="A46" s="8" t="inlineStr">
        <is>
          <t>PEND-4F23C25F75CC-A001</t>
        </is>
      </c>
      <c r="B46" s="8" t="inlineStr">
        <is>
          <t>ABIERTO_NUEVO</t>
        </is>
      </c>
      <c r="C46" s="8" t="inlineStr">
        <is>
          <t>Banco egreso no Flexxus</t>
        </is>
      </c>
      <c r="D46" s="8" t="inlineStr">
        <is>
          <t>24/04/2026</t>
        </is>
      </c>
      <c r="E46" s="8" t="inlineStr">
        <is>
          <t>3027923</t>
        </is>
      </c>
      <c r="F46" s="8" t="inlineStr">
        <is>
          <t>GRAVAMEN LEY 25413 S/DEB</t>
        </is>
      </c>
      <c r="G46" s="8" t="inlineStr">
        <is>
          <t>Anticipo Ganancias Ley 25.413 débitos</t>
        </is>
      </c>
      <c r="H46" s="8" t="inlineStr">
        <is>
          <t>Anticipo Impuesto a las Ganancias</t>
        </is>
      </c>
      <c r="I46" s="9" t="n">
        <v>1.99</v>
      </c>
      <c r="J46" s="9" t="inlineStr"/>
      <c r="K46" s="8" t="inlineStr">
        <is>
          <t>Copiar en Flexxus: Tipo=MB-EXT | Movimiento=GRAVAMEN LEY 25.413 S/DEB | Monto=1,99 | Fecha: 24/04/2026</t>
        </is>
      </c>
    </row>
    <row r="47">
      <c r="A47" s="8" t="inlineStr">
        <is>
          <t>PEND-A9DB8C4D354D-A001</t>
        </is>
      </c>
      <c r="B47" s="8" t="inlineStr">
        <is>
          <t>ABIERTO_NUEVO</t>
        </is>
      </c>
      <c r="C47" s="8" t="inlineStr">
        <is>
          <t>Banco egreso no Flexxus</t>
        </is>
      </c>
      <c r="D47" s="8" t="inlineStr">
        <is>
          <t>24/04/2026</t>
        </is>
      </c>
      <c r="E47" s="8" t="inlineStr">
        <is>
          <t>108560</t>
        </is>
      </c>
      <c r="F47" s="8" t="inlineStr">
        <is>
          <t>GRAVAMEN LEY 25413 S/DEB</t>
        </is>
      </c>
      <c r="G47" s="8" t="inlineStr">
        <is>
          <t>Anticipo Ganancias Ley 25.413 débitos</t>
        </is>
      </c>
      <c r="H47" s="8" t="inlineStr">
        <is>
          <t>Anticipo Impuesto a las Ganancias</t>
        </is>
      </c>
      <c r="I47" s="9" t="n">
        <v>1.69</v>
      </c>
      <c r="J47" s="9" t="inlineStr"/>
      <c r="K47" s="8" t="inlineStr">
        <is>
          <t>Copiar en Flexxus: Tipo=MB-EXT | Movimiento=GRAVAMEN LEY 25.413 S/DEB | Monto=1,69 | Fecha: 24/04/2026</t>
        </is>
      </c>
    </row>
    <row r="48">
      <c r="A48" s="8" t="inlineStr">
        <is>
          <t>PEND-655FC02229A2-A001</t>
        </is>
      </c>
      <c r="B48" s="8" t="inlineStr">
        <is>
          <t>ABIERTO_NUEVO</t>
        </is>
      </c>
      <c r="C48" s="8" t="inlineStr">
        <is>
          <t>Banco egreso no Flexxus</t>
        </is>
      </c>
      <c r="D48" s="8" t="inlineStr">
        <is>
          <t>24/04/2026</t>
        </is>
      </c>
      <c r="E48" s="8" t="inlineStr">
        <is>
          <t>108559</t>
        </is>
      </c>
      <c r="F48" s="8" t="inlineStr">
        <is>
          <t>GRAVAMEN LEY 25413 S/DEB</t>
        </is>
      </c>
      <c r="G48" s="8" t="inlineStr">
        <is>
          <t>Anticipo Ganancias Ley 25.413 débitos</t>
        </is>
      </c>
      <c r="H48" s="8" t="inlineStr">
        <is>
          <t>Anticipo Impuesto a las Ganancias</t>
        </is>
      </c>
      <c r="I48" s="9" t="n">
        <v>1.93</v>
      </c>
      <c r="J48" s="9" t="inlineStr"/>
      <c r="K48" s="8" t="inlineStr">
        <is>
          <t>Copiar en Flexxus: Tipo=MB-EXT | Movimiento=GRAVAMEN LEY 25.413 S/DEB | Monto=1,93 | Fecha: 24/04/2026</t>
        </is>
      </c>
    </row>
    <row r="49">
      <c r="A49" s="8" t="inlineStr">
        <is>
          <t>PEND-FFFD2DFFB31E-A001</t>
        </is>
      </c>
      <c r="B49" s="8" t="inlineStr">
        <is>
          <t>ABIERTO_NUEVO</t>
        </is>
      </c>
      <c r="C49" s="8" t="inlineStr">
        <is>
          <t>Banco egreso no Flexxus</t>
        </is>
      </c>
      <c r="D49" s="8" t="inlineStr">
        <is>
          <t>24/04/2026</t>
        </is>
      </c>
      <c r="E49" s="8" t="inlineStr">
        <is>
          <t>108557</t>
        </is>
      </c>
      <c r="F49" s="8" t="inlineStr">
        <is>
          <t>GRAVAMEN LEY 25413 S/DEB</t>
        </is>
      </c>
      <c r="G49" s="8" t="inlineStr">
        <is>
          <t>Anticipo Ganancias Ley 25.413 débitos</t>
        </is>
      </c>
      <c r="H49" s="8" t="inlineStr">
        <is>
          <t>Anticipo Impuesto a las Ganancias</t>
        </is>
      </c>
      <c r="I49" s="9" t="n">
        <v>0.6899999999999999</v>
      </c>
      <c r="J49" s="9" t="inlineStr"/>
      <c r="K49" s="8" t="inlineStr">
        <is>
          <t>Copiar en Flexxus: Tipo=MB-EXT | Movimiento=GRAVAMEN LEY 25.413 S/DEB | Monto=0,69 | Fecha: 24/04/2026</t>
        </is>
      </c>
    </row>
    <row r="50">
      <c r="A50" s="8" t="inlineStr">
        <is>
          <t>PEND-AB1D6B61F3B9-A001</t>
        </is>
      </c>
      <c r="B50" s="8" t="inlineStr">
        <is>
          <t>ABIERTO_NUEVO</t>
        </is>
      </c>
      <c r="C50" s="8" t="inlineStr">
        <is>
          <t>Banco egreso no Flexxus</t>
        </is>
      </c>
      <c r="D50" s="8" t="inlineStr">
        <is>
          <t>24/04/2026</t>
        </is>
      </c>
      <c r="E50" s="8" t="inlineStr">
        <is>
          <t>108608</t>
        </is>
      </c>
      <c r="F50" s="8" t="inlineStr">
        <is>
          <t>GRAVAMEN LEY 25413 S/DEB</t>
        </is>
      </c>
      <c r="G50" s="8" t="inlineStr">
        <is>
          <t>Anticipo Ganancias Ley 25.413 débitos</t>
        </is>
      </c>
      <c r="H50" s="8" t="inlineStr">
        <is>
          <t>Anticipo Impuesto a las Ganancias</t>
        </is>
      </c>
      <c r="I50" s="9" t="n">
        <v>1.2</v>
      </c>
      <c r="J50" s="9" t="inlineStr"/>
      <c r="K50" s="8" t="inlineStr">
        <is>
          <t>Copiar en Flexxus: Tipo=MB-EXT | Movimiento=GRAVAMEN LEY 25.413 S/DEB | Monto=1,20 | Fecha: 24/04/2026</t>
        </is>
      </c>
    </row>
    <row r="51">
      <c r="A51" s="8" t="inlineStr">
        <is>
          <t>PEND-9011EA0CAC74-A001</t>
        </is>
      </c>
      <c r="B51" s="8" t="inlineStr">
        <is>
          <t>ABIERTO_NUEVO</t>
        </is>
      </c>
      <c r="C51" s="8" t="inlineStr">
        <is>
          <t>Banco egreso no Flexxus</t>
        </is>
      </c>
      <c r="D51" s="8" t="inlineStr">
        <is>
          <t>24/04/2026</t>
        </is>
      </c>
      <c r="E51" s="8" t="inlineStr">
        <is>
          <t>25241</t>
        </is>
      </c>
      <c r="F51" s="8" t="inlineStr">
        <is>
          <t>GRAVAMEN LEY 25413 S/DEB</t>
        </is>
      </c>
      <c r="G51" s="8" t="inlineStr">
        <is>
          <t>Anticipo Ganancias Ley 25.413 débitos</t>
        </is>
      </c>
      <c r="H51" s="8" t="inlineStr">
        <is>
          <t>Anticipo Impuesto a las Ganancias</t>
        </is>
      </c>
      <c r="I51" s="9" t="n">
        <v>10407.56</v>
      </c>
      <c r="J51" s="9" t="inlineStr"/>
      <c r="K51" s="8" t="inlineStr">
        <is>
          <t>Copiar en Flexxus: Tipo=MB-EXT | Movimiento=GRAVAMEN LEY 25.413 S/DEB | Monto=10.407,56 | Fecha: 24/04/2026</t>
        </is>
      </c>
    </row>
    <row r="52">
      <c r="A52" s="8" t="inlineStr">
        <is>
          <t>PEND-E87E4EF25D78-A001</t>
        </is>
      </c>
      <c r="B52" s="8" t="inlineStr">
        <is>
          <t>ABIERTO_NUEVO</t>
        </is>
      </c>
      <c r="C52" s="8" t="inlineStr">
        <is>
          <t>Banco egreso no Flexxus</t>
        </is>
      </c>
      <c r="D52" s="8" t="inlineStr">
        <is>
          <t>24/04/2026</t>
        </is>
      </c>
      <c r="E52" s="8" t="inlineStr">
        <is>
          <t>108606</t>
        </is>
      </c>
      <c r="F52" s="8" t="inlineStr">
        <is>
          <t>GRAVAMEN LEY 25413 S/DEB</t>
        </is>
      </c>
      <c r="G52" s="8" t="inlineStr">
        <is>
          <t>Anticipo Ganancias Ley 25.413 débitos</t>
        </is>
      </c>
      <c r="H52" s="8" t="inlineStr">
        <is>
          <t>Anticipo Impuesto a las Ganancias</t>
        </is>
      </c>
      <c r="I52" s="9" t="n">
        <v>5.74</v>
      </c>
      <c r="J52" s="9" t="inlineStr"/>
      <c r="K52" s="8" t="inlineStr">
        <is>
          <t>Copiar en Flexxus: Tipo=MB-EXT | Movimiento=GRAVAMEN LEY 25.413 S/DEB | Monto=5,74 | Fecha: 24/04/2026</t>
        </is>
      </c>
    </row>
    <row r="53">
      <c r="A53" s="8" t="inlineStr">
        <is>
          <t>PEND-1EB6C7B76431-A001</t>
        </is>
      </c>
      <c r="B53" s="8" t="inlineStr">
        <is>
          <t>ABIERTO_NUEVO</t>
        </is>
      </c>
      <c r="C53" s="8" t="inlineStr">
        <is>
          <t>Banco egreso no Flexxus</t>
        </is>
      </c>
      <c r="D53" s="8" t="inlineStr">
        <is>
          <t>24/04/2026</t>
        </is>
      </c>
      <c r="E53" s="8" t="inlineStr">
        <is>
          <t>108605</t>
        </is>
      </c>
      <c r="F53" s="8" t="inlineStr">
        <is>
          <t>INGRESOS BRUTOS MENDOZA</t>
        </is>
      </c>
      <c r="G53" s="8" t="inlineStr">
        <is>
          <t>Retención Ingresos Brutos Mendoza</t>
        </is>
      </c>
      <c r="H53" s="8" t="inlineStr">
        <is>
          <t>Retención de Ingresos Brutos</t>
        </is>
      </c>
      <c r="I53" s="9" t="n">
        <v>716.99</v>
      </c>
      <c r="J53" s="9" t="inlineStr"/>
      <c r="K53" s="8" t="inlineStr">
        <is>
          <t>Copiar en Flexxus: Tipo=MB-EXT | Movimiento=INGRESOS BRUTOS MENDOZA | Monto=716,99 | Fecha: 24/04/2026</t>
        </is>
      </c>
    </row>
    <row r="54">
      <c r="A54" s="8" t="inlineStr">
        <is>
          <t>PEND-C9FA7E41504C-A001</t>
        </is>
      </c>
      <c r="B54" s="8" t="inlineStr">
        <is>
          <t>ABIERTO_NUEVO</t>
        </is>
      </c>
      <c r="C54" s="8" t="inlineStr">
        <is>
          <t>Banco egreso no Flexxus</t>
        </is>
      </c>
      <c r="D54" s="8" t="inlineStr">
        <is>
          <t>24/04/2026</t>
        </is>
      </c>
      <c r="E54" s="8" t="inlineStr">
        <is>
          <t>108605</t>
        </is>
      </c>
      <c r="F54" s="8" t="inlineStr">
        <is>
          <t>GRAVAMEN LEY 25413 S/CRED</t>
        </is>
      </c>
      <c r="G54" s="8" t="inlineStr">
        <is>
          <t>Anticipo Ganancias Ley 25.413 créditos</t>
        </is>
      </c>
      <c r="H54" s="8" t="inlineStr">
        <is>
          <t>Anticipo Impuesto a las Ganancias</t>
        </is>
      </c>
      <c r="I54" s="9" t="n">
        <v>430.2</v>
      </c>
      <c r="J54" s="9" t="inlineStr"/>
      <c r="K54" s="8" t="inlineStr">
        <is>
          <t>Copiar en Flexxus: Tipo=MB-EXT | Movimiento=GRAVAMEN LEY 25.413 S/CRED | Monto=430,20 | Fecha: 24/04/2026</t>
        </is>
      </c>
    </row>
    <row r="55">
      <c r="A55" s="8" t="inlineStr">
        <is>
          <t>PEND-3F217B5F1BC4-A001</t>
        </is>
      </c>
      <c r="B55" s="8" t="inlineStr">
        <is>
          <t>ABIERTO_NUEVO</t>
        </is>
      </c>
      <c r="C55" s="8" t="inlineStr">
        <is>
          <t>Banco egreso no Flexxus</t>
        </is>
      </c>
      <c r="D55" s="8" t="inlineStr">
        <is>
          <t>24/04/2026</t>
        </is>
      </c>
      <c r="E55" s="8" t="inlineStr">
        <is>
          <t>108604</t>
        </is>
      </c>
      <c r="F55" s="8" t="inlineStr">
        <is>
          <t>INGRESOS BRUTOS MENDOZA</t>
        </is>
      </c>
      <c r="G55" s="8" t="inlineStr">
        <is>
          <t>Retención Ingresos Brutos Mendoza</t>
        </is>
      </c>
      <c r="H55" s="8" t="inlineStr">
        <is>
          <t>Retención de Ingresos Brutos</t>
        </is>
      </c>
      <c r="I55" s="9" t="n">
        <v>104.97</v>
      </c>
      <c r="J55" s="9" t="inlineStr"/>
      <c r="K55" s="8" t="inlineStr">
        <is>
          <t>Copiar en Flexxus: Tipo=MB-EXT | Movimiento=INGRESOS BRUTOS MENDOZA | Monto=104,97 | Fecha: 24/04/2026</t>
        </is>
      </c>
    </row>
    <row r="56">
      <c r="A56" s="8" t="inlineStr">
        <is>
          <t>PEND-B9004B5D9DA0-A001</t>
        </is>
      </c>
      <c r="B56" s="8" t="inlineStr">
        <is>
          <t>ABIERTO_NUEVO</t>
        </is>
      </c>
      <c r="C56" s="8" t="inlineStr">
        <is>
          <t>Banco egreso no Flexxus</t>
        </is>
      </c>
      <c r="D56" s="8" t="inlineStr">
        <is>
          <t>24/04/2026</t>
        </is>
      </c>
      <c r="E56" s="8" t="inlineStr">
        <is>
          <t>108604</t>
        </is>
      </c>
      <c r="F56" s="8" t="inlineStr">
        <is>
          <t>GRAVAMEN LEY 25413 S/CRED</t>
        </is>
      </c>
      <c r="G56" s="8" t="inlineStr">
        <is>
          <t>Anticipo Ganancias Ley 25.413 créditos</t>
        </is>
      </c>
      <c r="H56" s="8" t="inlineStr">
        <is>
          <t>Anticipo Impuesto a las Ganancias</t>
        </is>
      </c>
      <c r="I56" s="9" t="n">
        <v>62.98</v>
      </c>
      <c r="J56" s="9" t="inlineStr"/>
      <c r="K56" s="8" t="inlineStr">
        <is>
          <t>Copiar en Flexxus: Tipo=MB-EXT | Movimiento=GRAVAMEN LEY 25.413 S/CRED | Monto=62,98 | Fecha: 24/04/2026</t>
        </is>
      </c>
    </row>
    <row r="57">
      <c r="A57" s="8" t="inlineStr">
        <is>
          <t>PEND-1F2E88A08DF5-A001</t>
        </is>
      </c>
      <c r="B57" s="8" t="inlineStr">
        <is>
          <t>ABIERTO_NUEVO</t>
        </is>
      </c>
      <c r="C57" s="8" t="inlineStr">
        <is>
          <t>Banco egreso no Flexxus</t>
        </is>
      </c>
      <c r="D57" s="8" t="inlineStr">
        <is>
          <t>24/04/2026</t>
        </is>
      </c>
      <c r="E57" s="8" t="inlineStr">
        <is>
          <t>108603</t>
        </is>
      </c>
      <c r="F57" s="8" t="inlineStr">
        <is>
          <t>INGRESOS BRUTOS MENDOZA</t>
        </is>
      </c>
      <c r="G57" s="8" t="inlineStr">
        <is>
          <t>Retención Ingresos Brutos Mendoza</t>
        </is>
      </c>
      <c r="H57" s="8" t="inlineStr">
        <is>
          <t>Retención de Ingresos Brutos</t>
        </is>
      </c>
      <c r="I57" s="9" t="n">
        <v>675.4</v>
      </c>
      <c r="J57" s="9" t="inlineStr"/>
      <c r="K57" s="8" t="inlineStr">
        <is>
          <t>Copiar en Flexxus: Tipo=MB-EXT | Movimiento=INGRESOS BRUTOS MENDOZA | Monto=675,40 | Fecha: 24/04/2026</t>
        </is>
      </c>
    </row>
    <row r="58">
      <c r="A58" s="8" t="inlineStr">
        <is>
          <t>PEND-7DDAFFE371ED-A001</t>
        </is>
      </c>
      <c r="B58" s="8" t="inlineStr">
        <is>
          <t>ABIERTO_NUEVO</t>
        </is>
      </c>
      <c r="C58" s="8" t="inlineStr">
        <is>
          <t>Banco egreso no Flexxus</t>
        </is>
      </c>
      <c r="D58" s="8" t="inlineStr">
        <is>
          <t>24/04/2026</t>
        </is>
      </c>
      <c r="E58" s="8" t="inlineStr">
        <is>
          <t>108603</t>
        </is>
      </c>
      <c r="F58" s="8" t="inlineStr">
        <is>
          <t>GRAVAMEN LEY 25413 S/CRED</t>
        </is>
      </c>
      <c r="G58" s="8" t="inlineStr">
        <is>
          <t>Anticipo Ganancias Ley 25.413 créditos</t>
        </is>
      </c>
      <c r="H58" s="8" t="inlineStr">
        <is>
          <t>Anticipo Impuesto a las Ganancias</t>
        </is>
      </c>
      <c r="I58" s="9" t="n">
        <v>405.24</v>
      </c>
      <c r="J58" s="9" t="inlineStr"/>
      <c r="K58" s="8" t="inlineStr">
        <is>
          <t>Copiar en Flexxus: Tipo=MB-EXT | Movimiento=GRAVAMEN LEY 25.413 S/CRED | Monto=405,24 | Fecha: 24/04/2026</t>
        </is>
      </c>
    </row>
    <row r="59">
      <c r="A59" s="8" t="inlineStr">
        <is>
          <t>PEND-357613CBA6A6-A001</t>
        </is>
      </c>
      <c r="B59" s="8" t="inlineStr">
        <is>
          <t>ABIERTO_NUEVO</t>
        </is>
      </c>
      <c r="C59" s="8" t="inlineStr">
        <is>
          <t>Banco egreso no Flexxus</t>
        </is>
      </c>
      <c r="D59" s="8" t="inlineStr">
        <is>
          <t>24/04/2026</t>
        </is>
      </c>
      <c r="E59" s="8" t="inlineStr">
        <is>
          <t>108602</t>
        </is>
      </c>
      <c r="F59" s="8" t="inlineStr">
        <is>
          <t>INGRESOS BRUTOS MENDOZA</t>
        </is>
      </c>
      <c r="G59" s="8" t="inlineStr">
        <is>
          <t>Retención Ingresos Brutos Mendoza</t>
        </is>
      </c>
      <c r="H59" s="8" t="inlineStr">
        <is>
          <t>Retención de Ingresos Brutos</t>
        </is>
      </c>
      <c r="I59" s="9" t="n">
        <v>76.25</v>
      </c>
      <c r="J59" s="9" t="inlineStr"/>
      <c r="K59" s="8" t="inlineStr">
        <is>
          <t>Copiar en Flexxus: Tipo=MB-EXT | Movimiento=INGRESOS BRUTOS MENDOZA | Monto=76,25 | Fecha: 24/04/2026</t>
        </is>
      </c>
    </row>
    <row r="60">
      <c r="A60" s="8" t="inlineStr">
        <is>
          <t>PEND-3F4521F1D668-A001</t>
        </is>
      </c>
      <c r="B60" s="8" t="inlineStr">
        <is>
          <t>ABIERTO_NUEVO</t>
        </is>
      </c>
      <c r="C60" s="8" t="inlineStr">
        <is>
          <t>Banco egreso no Flexxus</t>
        </is>
      </c>
      <c r="D60" s="8" t="inlineStr">
        <is>
          <t>24/04/2026</t>
        </is>
      </c>
      <c r="E60" s="8" t="inlineStr">
        <is>
          <t>108602</t>
        </is>
      </c>
      <c r="F60" s="8" t="inlineStr">
        <is>
          <t>GRAVAMEN LEY 25413 S/CRED</t>
        </is>
      </c>
      <c r="G60" s="8" t="inlineStr">
        <is>
          <t>Anticipo Ganancias Ley 25.413 créditos</t>
        </is>
      </c>
      <c r="H60" s="8" t="inlineStr">
        <is>
          <t>Anticipo Impuesto a las Ganancias</t>
        </is>
      </c>
      <c r="I60" s="9" t="n">
        <v>45.75</v>
      </c>
      <c r="J60" s="9" t="inlineStr"/>
      <c r="K60" s="8" t="inlineStr">
        <is>
          <t>Copiar en Flexxus: Tipo=MB-EXT | Movimiento=GRAVAMEN LEY 25.413 S/CRED | Monto=45,75 | Fecha: 24/04/2026</t>
        </is>
      </c>
    </row>
    <row r="61">
      <c r="A61" s="8" t="inlineStr">
        <is>
          <t>PEND-15010E76C1EB-A001</t>
        </is>
      </c>
      <c r="B61" s="8" t="inlineStr">
        <is>
          <t>ABIERTO_NUEVO</t>
        </is>
      </c>
      <c r="C61" s="8" t="inlineStr">
        <is>
          <t>Banco egreso no Flexxus</t>
        </is>
      </c>
      <c r="D61" s="8" t="inlineStr">
        <is>
          <t>24/04/2026</t>
        </is>
      </c>
      <c r="E61" s="8" t="inlineStr">
        <is>
          <t>108601</t>
        </is>
      </c>
      <c r="F61" s="8" t="inlineStr">
        <is>
          <t>INGRESOS BRUTOS MENDOZA</t>
        </is>
      </c>
      <c r="G61" s="8" t="inlineStr">
        <is>
          <t>Retención Ingresos Brutos Mendoza</t>
        </is>
      </c>
      <c r="H61" s="8" t="inlineStr">
        <is>
          <t>Retención de Ingresos Brutos</t>
        </is>
      </c>
      <c r="I61" s="9" t="n">
        <v>44.56</v>
      </c>
      <c r="J61" s="9" t="inlineStr"/>
      <c r="K61" s="8" t="inlineStr">
        <is>
          <t>Copiar en Flexxus: Tipo=MB-EXT | Movimiento=INGRESOS BRUTOS MENDOZA | Monto=44,56 | Fecha: 24/04/2026</t>
        </is>
      </c>
    </row>
    <row r="62">
      <c r="A62" s="8" t="inlineStr">
        <is>
          <t>PEND-53A68B33D014-A001</t>
        </is>
      </c>
      <c r="B62" s="8" t="inlineStr">
        <is>
          <t>ABIERTO_NUEVO</t>
        </is>
      </c>
      <c r="C62" s="8" t="inlineStr">
        <is>
          <t>Banco egreso no Flexxus</t>
        </is>
      </c>
      <c r="D62" s="8" t="inlineStr">
        <is>
          <t>24/04/2026</t>
        </is>
      </c>
      <c r="E62" s="8" t="inlineStr">
        <is>
          <t>108601</t>
        </is>
      </c>
      <c r="F62" s="8" t="inlineStr">
        <is>
          <t>GRAVAMEN LEY 25413 S/CRED</t>
        </is>
      </c>
      <c r="G62" s="8" t="inlineStr">
        <is>
          <t>Anticipo Ganancias Ley 25.413 créditos</t>
        </is>
      </c>
      <c r="H62" s="8" t="inlineStr">
        <is>
          <t>Anticipo Impuesto a las Ganancias</t>
        </is>
      </c>
      <c r="I62" s="9" t="n">
        <v>26.74</v>
      </c>
      <c r="J62" s="9" t="inlineStr"/>
      <c r="K62" s="8" t="inlineStr">
        <is>
          <t>Copiar en Flexxus: Tipo=MB-EXT | Movimiento=GRAVAMEN LEY 25.413 S/CRED | Monto=26,74 | Fecha: 24/04/2026</t>
        </is>
      </c>
    </row>
    <row r="63">
      <c r="A63" s="8" t="inlineStr">
        <is>
          <t>PEND-AB156F51A39C-A001</t>
        </is>
      </c>
      <c r="B63" s="8" t="inlineStr">
        <is>
          <t>ABIERTO_NUEVO</t>
        </is>
      </c>
      <c r="C63" s="8" t="inlineStr">
        <is>
          <t>Banco egreso no Flexxus</t>
        </is>
      </c>
      <c r="D63" s="8" t="inlineStr">
        <is>
          <t>24/04/2026</t>
        </is>
      </c>
      <c r="E63" s="8" t="inlineStr">
        <is>
          <t>108600</t>
        </is>
      </c>
      <c r="F63" s="8" t="inlineStr">
        <is>
          <t>INGRESOS BRUTOS MENDOZA</t>
        </is>
      </c>
      <c r="G63" s="8" t="inlineStr">
        <is>
          <t>Retención Ingresos Brutos Mendoza</t>
        </is>
      </c>
      <c r="H63" s="8" t="inlineStr">
        <is>
          <t>Retención de Ingresos Brutos</t>
        </is>
      </c>
      <c r="I63" s="9" t="n">
        <v>77.25</v>
      </c>
      <c r="J63" s="9" t="inlineStr"/>
      <c r="K63" s="8" t="inlineStr">
        <is>
          <t>Copiar en Flexxus: Tipo=MB-EXT | Movimiento=INGRESOS BRUTOS MENDOZA | Monto=77,25 | Fecha: 24/04/2026</t>
        </is>
      </c>
    </row>
    <row r="64">
      <c r="A64" s="8" t="inlineStr">
        <is>
          <t>PEND-7A6EED727DD8-A001</t>
        </is>
      </c>
      <c r="B64" s="8" t="inlineStr">
        <is>
          <t>ABIERTO_NUEVO</t>
        </is>
      </c>
      <c r="C64" s="8" t="inlineStr">
        <is>
          <t>Banco egreso no Flexxus</t>
        </is>
      </c>
      <c r="D64" s="8" t="inlineStr">
        <is>
          <t>24/04/2026</t>
        </is>
      </c>
      <c r="E64" s="8" t="inlineStr">
        <is>
          <t>108600</t>
        </is>
      </c>
      <c r="F64" s="8" t="inlineStr">
        <is>
          <t>GRAVAMEN LEY 25413 S/CRED</t>
        </is>
      </c>
      <c r="G64" s="8" t="inlineStr">
        <is>
          <t>Anticipo Ganancias Ley 25.413 créditos</t>
        </is>
      </c>
      <c r="H64" s="8" t="inlineStr">
        <is>
          <t>Anticipo Impuesto a las Ganancias</t>
        </is>
      </c>
      <c r="I64" s="9" t="n">
        <v>46.35</v>
      </c>
      <c r="J64" s="9" t="inlineStr"/>
      <c r="K64" s="8" t="inlineStr">
        <is>
          <t>Copiar en Flexxus: Tipo=MB-EXT | Movimiento=GRAVAMEN LEY 25.413 S/CRED | Monto=46,35 | Fecha: 24/04/2026</t>
        </is>
      </c>
    </row>
    <row r="65">
      <c r="A65" s="8" t="inlineStr">
        <is>
          <t>PEND-3D4AB39323AF-A001</t>
        </is>
      </c>
      <c r="B65" s="8" t="inlineStr">
        <is>
          <t>ABIERTO_NUEVO</t>
        </is>
      </c>
      <c r="C65" s="8" t="inlineStr">
        <is>
          <t>Banco egreso no Flexxus</t>
        </is>
      </c>
      <c r="D65" s="8" t="inlineStr">
        <is>
          <t>24/04/2026</t>
        </is>
      </c>
      <c r="E65" s="8" t="inlineStr">
        <is>
          <t>108599</t>
        </is>
      </c>
      <c r="F65" s="8" t="inlineStr">
        <is>
          <t>INGRESOS BRUTOS MENDOZA</t>
        </is>
      </c>
      <c r="G65" s="8" t="inlineStr">
        <is>
          <t>Retención Ingresos Brutos Mendoza</t>
        </is>
      </c>
      <c r="H65" s="8" t="inlineStr">
        <is>
          <t>Retención de Ingresos Brutos</t>
        </is>
      </c>
      <c r="I65" s="9" t="n">
        <v>221.83</v>
      </c>
      <c r="J65" s="9" t="inlineStr"/>
      <c r="K65" s="8" t="inlineStr">
        <is>
          <t>Copiar en Flexxus: Tipo=MB-EXT | Movimiento=INGRESOS BRUTOS MENDOZA | Monto=221,83 | Fecha: 24/04/2026</t>
        </is>
      </c>
    </row>
    <row r="66">
      <c r="A66" s="8" t="inlineStr">
        <is>
          <t>PEND-6A4C1BC0B6F7-A001</t>
        </is>
      </c>
      <c r="B66" s="8" t="inlineStr">
        <is>
          <t>ABIERTO_NUEVO</t>
        </is>
      </c>
      <c r="C66" s="8" t="inlineStr">
        <is>
          <t>Banco egreso no Flexxus</t>
        </is>
      </c>
      <c r="D66" s="8" t="inlineStr">
        <is>
          <t>24/04/2026</t>
        </is>
      </c>
      <c r="E66" s="8" t="inlineStr">
        <is>
          <t>108599</t>
        </is>
      </c>
      <c r="F66" s="8" t="inlineStr">
        <is>
          <t>GRAVAMEN LEY 25413 S/CRED</t>
        </is>
      </c>
      <c r="G66" s="8" t="inlineStr">
        <is>
          <t>Anticipo Ganancias Ley 25.413 créditos</t>
        </is>
      </c>
      <c r="H66" s="8" t="inlineStr">
        <is>
          <t>Anticipo Impuesto a las Ganancias</t>
        </is>
      </c>
      <c r="I66" s="9" t="n">
        <v>133.1</v>
      </c>
      <c r="J66" s="9" t="inlineStr"/>
      <c r="K66" s="8" t="inlineStr">
        <is>
          <t>Copiar en Flexxus: Tipo=MB-EXT | Movimiento=GRAVAMEN LEY 25.413 S/CRED | Monto=133,10 | Fecha: 24/04/2026</t>
        </is>
      </c>
    </row>
    <row r="67">
      <c r="A67" s="8" t="inlineStr">
        <is>
          <t>PEND-D9920795D5A3-A001</t>
        </is>
      </c>
      <c r="B67" s="8" t="inlineStr">
        <is>
          <t>ABIERTO_NUEVO</t>
        </is>
      </c>
      <c r="C67" s="8" t="inlineStr">
        <is>
          <t>Banco egreso no Flexxus</t>
        </is>
      </c>
      <c r="D67" s="8" t="inlineStr">
        <is>
          <t>24/04/2026</t>
        </is>
      </c>
      <c r="E67" s="8" t="inlineStr">
        <is>
          <t>108598</t>
        </is>
      </c>
      <c r="F67" s="8" t="inlineStr">
        <is>
          <t>INGRESOS BRUTOS MENDOZA</t>
        </is>
      </c>
      <c r="G67" s="8" t="inlineStr">
        <is>
          <t>Retención Ingresos Brutos Mendoza</t>
        </is>
      </c>
      <c r="H67" s="8" t="inlineStr">
        <is>
          <t>Retención de Ingresos Brutos</t>
        </is>
      </c>
      <c r="I67" s="9" t="n">
        <v>475.35</v>
      </c>
      <c r="J67" s="9" t="inlineStr"/>
      <c r="K67" s="8" t="inlineStr">
        <is>
          <t>Copiar en Flexxus: Tipo=MB-EXT | Movimiento=INGRESOS BRUTOS MENDOZA | Monto=475,35 | Fecha: 24/04/2026</t>
        </is>
      </c>
    </row>
    <row r="68">
      <c r="A68" s="8" t="inlineStr">
        <is>
          <t>PEND-B64E17842AD9-A001</t>
        </is>
      </c>
      <c r="B68" s="8" t="inlineStr">
        <is>
          <t>ABIERTO_NUEVO</t>
        </is>
      </c>
      <c r="C68" s="8" t="inlineStr">
        <is>
          <t>Banco egreso no Flexxus</t>
        </is>
      </c>
      <c r="D68" s="8" t="inlineStr">
        <is>
          <t>24/04/2026</t>
        </is>
      </c>
      <c r="E68" s="8" t="inlineStr">
        <is>
          <t>108598</t>
        </is>
      </c>
      <c r="F68" s="8" t="inlineStr">
        <is>
          <t>GRAVAMEN LEY 25413 S/CRED</t>
        </is>
      </c>
      <c r="G68" s="8" t="inlineStr">
        <is>
          <t>Anticipo Ganancias Ley 25.413 créditos</t>
        </is>
      </c>
      <c r="H68" s="8" t="inlineStr">
        <is>
          <t>Anticipo Impuesto a las Ganancias</t>
        </is>
      </c>
      <c r="I68" s="9" t="n">
        <v>285.21</v>
      </c>
      <c r="J68" s="9" t="inlineStr"/>
      <c r="K68" s="8" t="inlineStr">
        <is>
          <t>Copiar en Flexxus: Tipo=MB-EXT | Movimiento=GRAVAMEN LEY 25.413 S/CRED | Monto=285,21 | Fecha: 24/04/2026</t>
        </is>
      </c>
    </row>
    <row r="69">
      <c r="A69" s="8" t="inlineStr">
        <is>
          <t>PEND-1AE525CAFE75-A001</t>
        </is>
      </c>
      <c r="B69" s="8" t="inlineStr">
        <is>
          <t>ABIERTO_NUEVO</t>
        </is>
      </c>
      <c r="C69" s="8" t="inlineStr">
        <is>
          <t>Banco egreso no Flexxus</t>
        </is>
      </c>
      <c r="D69" s="8" t="inlineStr">
        <is>
          <t>24/04/2026</t>
        </is>
      </c>
      <c r="E69" s="8" t="inlineStr">
        <is>
          <t>108597</t>
        </is>
      </c>
      <c r="F69" s="8" t="inlineStr">
        <is>
          <t>INGRESOS BRUTOS MENDOZA</t>
        </is>
      </c>
      <c r="G69" s="8" t="inlineStr">
        <is>
          <t>Retención Ingresos Brutos Mendoza</t>
        </is>
      </c>
      <c r="H69" s="8" t="inlineStr">
        <is>
          <t>Retención de Ingresos Brutos</t>
        </is>
      </c>
      <c r="I69" s="9" t="n">
        <v>1500</v>
      </c>
      <c r="J69" s="9" t="inlineStr"/>
      <c r="K69" s="8" t="inlineStr">
        <is>
          <t>Copiar en Flexxus: Tipo=MB-EXT | Movimiento=INGRESOS BRUTOS MENDOZA | Monto=1.500,00 | Fecha: 24/04/2026</t>
        </is>
      </c>
    </row>
    <row r="70">
      <c r="A70" s="8" t="inlineStr">
        <is>
          <t>PEND-488BF1CA1B65-A001</t>
        </is>
      </c>
      <c r="B70" s="8" t="inlineStr">
        <is>
          <t>ABIERTO_NUEVO</t>
        </is>
      </c>
      <c r="C70" s="8" t="inlineStr">
        <is>
          <t>Banco egreso no Flexxus</t>
        </is>
      </c>
      <c r="D70" s="8" t="inlineStr">
        <is>
          <t>24/04/2026</t>
        </is>
      </c>
      <c r="E70" s="8" t="inlineStr">
        <is>
          <t>108597</t>
        </is>
      </c>
      <c r="F70" s="8" t="inlineStr">
        <is>
          <t>GRAVAMEN LEY 25413 S/CRED</t>
        </is>
      </c>
      <c r="G70" s="8" t="inlineStr">
        <is>
          <t>Anticipo Ganancias Ley 25.413 créditos</t>
        </is>
      </c>
      <c r="H70" s="8" t="inlineStr">
        <is>
          <t>Anticipo Impuesto a las Ganancias</t>
        </is>
      </c>
      <c r="I70" s="9" t="n">
        <v>900</v>
      </c>
      <c r="J70" s="9" t="inlineStr"/>
      <c r="K70" s="8" t="inlineStr">
        <is>
          <t>Copiar en Flexxus: Tipo=MB-EXT | Movimiento=GRAVAMEN LEY 25.413 S/CRED | Monto=900,00 | Fecha: 24/04/2026</t>
        </is>
      </c>
    </row>
    <row r="71">
      <c r="A71" s="8" t="inlineStr">
        <is>
          <t>PEND-A5244E531DB5-A001</t>
        </is>
      </c>
      <c r="B71" s="8" t="inlineStr">
        <is>
          <t>ABIERTO_NUEVO</t>
        </is>
      </c>
      <c r="C71" s="8" t="inlineStr">
        <is>
          <t>Banco egreso no Flexxus</t>
        </is>
      </c>
      <c r="D71" s="8" t="inlineStr">
        <is>
          <t>24/04/2026</t>
        </is>
      </c>
      <c r="E71" s="8" t="inlineStr">
        <is>
          <t>108596</t>
        </is>
      </c>
      <c r="F71" s="8" t="inlineStr">
        <is>
          <t>INGRESOS BRUTOS MENDOZA</t>
        </is>
      </c>
      <c r="G71" s="8" t="inlineStr">
        <is>
          <t>Retención Ingresos Brutos Mendoza</t>
        </is>
      </c>
      <c r="H71" s="8" t="inlineStr">
        <is>
          <t>Retención de Ingresos Brutos</t>
        </is>
      </c>
      <c r="I71" s="9" t="n">
        <v>113.89</v>
      </c>
      <c r="J71" s="9" t="inlineStr"/>
      <c r="K71" s="8" t="inlineStr">
        <is>
          <t>Copiar en Flexxus: Tipo=MB-EXT | Movimiento=INGRESOS BRUTOS MENDOZA | Monto=113,89 | Fecha: 24/04/2026</t>
        </is>
      </c>
    </row>
    <row r="72">
      <c r="A72" s="8" t="inlineStr">
        <is>
          <t>PEND-B23CB765DE51-A001</t>
        </is>
      </c>
      <c r="B72" s="8" t="inlineStr">
        <is>
          <t>ABIERTO_NUEVO</t>
        </is>
      </c>
      <c r="C72" s="8" t="inlineStr">
        <is>
          <t>Banco egreso no Flexxus</t>
        </is>
      </c>
      <c r="D72" s="8" t="inlineStr">
        <is>
          <t>24/04/2026</t>
        </is>
      </c>
      <c r="E72" s="8" t="inlineStr">
        <is>
          <t>108596</t>
        </is>
      </c>
      <c r="F72" s="8" t="inlineStr">
        <is>
          <t>GRAVAMEN LEY 25413 S/CRED</t>
        </is>
      </c>
      <c r="G72" s="8" t="inlineStr">
        <is>
          <t>Anticipo Ganancias Ley 25.413 créditos</t>
        </is>
      </c>
      <c r="H72" s="8" t="inlineStr">
        <is>
          <t>Anticipo Impuesto a las Ganancias</t>
        </is>
      </c>
      <c r="I72" s="9" t="n">
        <v>68.33</v>
      </c>
      <c r="J72" s="9" t="inlineStr"/>
      <c r="K72" s="8" t="inlineStr">
        <is>
          <t>Copiar en Flexxus: Tipo=MB-EXT | Movimiento=GRAVAMEN LEY 25.413 S/CRED | Monto=68,33 | Fecha: 24/04/2026</t>
        </is>
      </c>
    </row>
    <row r="73">
      <c r="A73" s="8" t="inlineStr">
        <is>
          <t>PEND-CE306F3E88B9-A001</t>
        </is>
      </c>
      <c r="B73" s="8" t="inlineStr">
        <is>
          <t>ABIERTO_NUEVO</t>
        </is>
      </c>
      <c r="C73" s="8" t="inlineStr">
        <is>
          <t>Banco egreso no Flexxus</t>
        </is>
      </c>
      <c r="D73" s="8" t="inlineStr">
        <is>
          <t>24/04/2026</t>
        </is>
      </c>
      <c r="E73" s="8" t="inlineStr">
        <is>
          <t>108595</t>
        </is>
      </c>
      <c r="F73" s="8" t="inlineStr">
        <is>
          <t>INGRESOS BRUTOS MENDOZA</t>
        </is>
      </c>
      <c r="G73" s="8" t="inlineStr">
        <is>
          <t>Retención Ingresos Brutos Mendoza</t>
        </is>
      </c>
      <c r="H73" s="8" t="inlineStr">
        <is>
          <t>Retención de Ingresos Brutos</t>
        </is>
      </c>
      <c r="I73" s="9" t="n">
        <v>157.46</v>
      </c>
      <c r="J73" s="9" t="inlineStr"/>
      <c r="K73" s="8" t="inlineStr">
        <is>
          <t>Copiar en Flexxus: Tipo=MB-EXT | Movimiento=INGRESOS BRUTOS MENDOZA | Monto=157,46 | Fecha: 24/04/2026</t>
        </is>
      </c>
    </row>
    <row r="74">
      <c r="A74" s="8" t="inlineStr">
        <is>
          <t>PEND-EEDC9806C914-A001</t>
        </is>
      </c>
      <c r="B74" s="8" t="inlineStr">
        <is>
          <t>ABIERTO_NUEVO</t>
        </is>
      </c>
      <c r="C74" s="8" t="inlineStr">
        <is>
          <t>Banco egreso no Flexxus</t>
        </is>
      </c>
      <c r="D74" s="8" t="inlineStr">
        <is>
          <t>24/04/2026</t>
        </is>
      </c>
      <c r="E74" s="8" t="inlineStr">
        <is>
          <t>108595</t>
        </is>
      </c>
      <c r="F74" s="8" t="inlineStr">
        <is>
          <t>GRAVAMEN LEY 25413 S/CRED</t>
        </is>
      </c>
      <c r="G74" s="8" t="inlineStr">
        <is>
          <t>Anticipo Ganancias Ley 25.413 créditos</t>
        </is>
      </c>
      <c r="H74" s="8" t="inlineStr">
        <is>
          <t>Anticipo Impuesto a las Ganancias</t>
        </is>
      </c>
      <c r="I74" s="9" t="n">
        <v>94.48</v>
      </c>
      <c r="J74" s="9" t="inlineStr"/>
      <c r="K74" s="8" t="inlineStr">
        <is>
          <t>Copiar en Flexxus: Tipo=MB-EXT | Movimiento=GRAVAMEN LEY 25.413 S/CRED | Monto=94,48 | Fecha: 24/04/2026</t>
        </is>
      </c>
    </row>
    <row r="75">
      <c r="A75" s="8" t="inlineStr">
        <is>
          <t>PEND-2D48C5FB545B-A001</t>
        </is>
      </c>
      <c r="B75" s="8" t="inlineStr">
        <is>
          <t>ABIERTO_NUEVO</t>
        </is>
      </c>
      <c r="C75" s="8" t="inlineStr">
        <is>
          <t>Banco egreso no Flexxus</t>
        </is>
      </c>
      <c r="D75" s="8" t="inlineStr">
        <is>
          <t>24/04/2026</t>
        </is>
      </c>
      <c r="E75" s="8" t="inlineStr">
        <is>
          <t>108594</t>
        </is>
      </c>
      <c r="F75" s="8" t="inlineStr">
        <is>
          <t>INGRESOS BRUTOS MENDOZA</t>
        </is>
      </c>
      <c r="G75" s="8" t="inlineStr">
        <is>
          <t>Retención Ingresos Brutos Mendoza</t>
        </is>
      </c>
      <c r="H75" s="8" t="inlineStr">
        <is>
          <t>Retención de Ingresos Brutos</t>
        </is>
      </c>
      <c r="I75" s="9" t="n">
        <v>128.64</v>
      </c>
      <c r="J75" s="9" t="inlineStr"/>
      <c r="K75" s="8" t="inlineStr">
        <is>
          <t>Copiar en Flexxus: Tipo=MB-EXT | Movimiento=INGRESOS BRUTOS MENDOZA | Monto=128,64 | Fecha: 24/04/2026</t>
        </is>
      </c>
    </row>
    <row r="76">
      <c r="A76" s="8" t="inlineStr">
        <is>
          <t>PEND-DB40F50EC63C-A001</t>
        </is>
      </c>
      <c r="B76" s="8" t="inlineStr">
        <is>
          <t>ABIERTO_NUEVO</t>
        </is>
      </c>
      <c r="C76" s="8" t="inlineStr">
        <is>
          <t>Banco egreso no Flexxus</t>
        </is>
      </c>
      <c r="D76" s="8" t="inlineStr">
        <is>
          <t>24/04/2026</t>
        </is>
      </c>
      <c r="E76" s="8" t="inlineStr">
        <is>
          <t>108594</t>
        </is>
      </c>
      <c r="F76" s="8" t="inlineStr">
        <is>
          <t>GRAVAMEN LEY 25413 S/CRED</t>
        </is>
      </c>
      <c r="G76" s="8" t="inlineStr">
        <is>
          <t>Anticipo Ganancias Ley 25.413 créditos</t>
        </is>
      </c>
      <c r="H76" s="8" t="inlineStr">
        <is>
          <t>Anticipo Impuesto a las Ganancias</t>
        </is>
      </c>
      <c r="I76" s="9" t="n">
        <v>77.19</v>
      </c>
      <c r="J76" s="9" t="inlineStr"/>
      <c r="K76" s="8" t="inlineStr">
        <is>
          <t>Copiar en Flexxus: Tipo=MB-EXT | Movimiento=GRAVAMEN LEY 25.413 S/CRED | Monto=77,19 | Fecha: 24/04/2026</t>
        </is>
      </c>
    </row>
    <row r="77">
      <c r="A77" s="8" t="inlineStr">
        <is>
          <t>PEND-1B019F204C34-A001</t>
        </is>
      </c>
      <c r="B77" s="8" t="inlineStr">
        <is>
          <t>ABIERTO_NUEVO</t>
        </is>
      </c>
      <c r="C77" s="8" t="inlineStr">
        <is>
          <t>Banco egreso no Flexxus</t>
        </is>
      </c>
      <c r="D77" s="8" t="inlineStr">
        <is>
          <t>24/04/2026</t>
        </is>
      </c>
      <c r="E77" s="8" t="inlineStr">
        <is>
          <t>108593</t>
        </is>
      </c>
      <c r="F77" s="8" t="inlineStr">
        <is>
          <t>INGRESOS BRUTOS MENDOZA</t>
        </is>
      </c>
      <c r="G77" s="8" t="inlineStr">
        <is>
          <t>Retención Ingresos Brutos Mendoza</t>
        </is>
      </c>
      <c r="H77" s="8" t="inlineStr">
        <is>
          <t>Retención de Ingresos Brutos</t>
        </is>
      </c>
      <c r="I77" s="9" t="n">
        <v>44.56</v>
      </c>
      <c r="J77" s="9" t="inlineStr"/>
      <c r="K77" s="8" t="inlineStr">
        <is>
          <t>Copiar en Flexxus: Tipo=MB-EXT | Movimiento=INGRESOS BRUTOS MENDOZA | Monto=44,56 | Fecha: 24/04/2026</t>
        </is>
      </c>
    </row>
    <row r="78">
      <c r="A78" s="8" t="inlineStr">
        <is>
          <t>PEND-DCFB3B79CD8C-A001</t>
        </is>
      </c>
      <c r="B78" s="8" t="inlineStr">
        <is>
          <t>ABIERTO_NUEVO</t>
        </is>
      </c>
      <c r="C78" s="8" t="inlineStr">
        <is>
          <t>Banco egreso no Flexxus</t>
        </is>
      </c>
      <c r="D78" s="8" t="inlineStr">
        <is>
          <t>24/04/2026</t>
        </is>
      </c>
      <c r="E78" s="8" t="inlineStr">
        <is>
          <t>108593</t>
        </is>
      </c>
      <c r="F78" s="8" t="inlineStr">
        <is>
          <t>GRAVAMEN LEY 25413 S/CRED</t>
        </is>
      </c>
      <c r="G78" s="8" t="inlineStr">
        <is>
          <t>Anticipo Ganancias Ley 25.413 créditos</t>
        </is>
      </c>
      <c r="H78" s="8" t="inlineStr">
        <is>
          <t>Anticipo Impuesto a las Ganancias</t>
        </is>
      </c>
      <c r="I78" s="9" t="n">
        <v>26.74</v>
      </c>
      <c r="J78" s="9" t="inlineStr"/>
      <c r="K78" s="8" t="inlineStr">
        <is>
          <t>Copiar en Flexxus: Tipo=MB-EXT | Movimiento=GRAVAMEN LEY 25.413 S/CRED | Monto=26,74 | Fecha: 24/04/2026</t>
        </is>
      </c>
    </row>
    <row r="79">
      <c r="A79" s="8" t="inlineStr">
        <is>
          <t>PEND-00095D39B1AE-A001</t>
        </is>
      </c>
      <c r="B79" s="8" t="inlineStr">
        <is>
          <t>ABIERTO_NUEVO</t>
        </is>
      </c>
      <c r="C79" s="8" t="inlineStr">
        <is>
          <t>Banco egreso no Flexxus</t>
        </is>
      </c>
      <c r="D79" s="8" t="inlineStr">
        <is>
          <t>24/04/2026</t>
        </is>
      </c>
      <c r="E79" s="8" t="inlineStr">
        <is>
          <t>108592</t>
        </is>
      </c>
      <c r="F79" s="8" t="inlineStr">
        <is>
          <t>INGRESOS BRUTOS MENDOZA</t>
        </is>
      </c>
      <c r="G79" s="8" t="inlineStr">
        <is>
          <t>Retención Ingresos Brutos Mendoza</t>
        </is>
      </c>
      <c r="H79" s="8" t="inlineStr">
        <is>
          <t>Retención de Ingresos Brutos</t>
        </is>
      </c>
      <c r="I79" s="9" t="n">
        <v>35.16</v>
      </c>
      <c r="J79" s="9" t="inlineStr"/>
      <c r="K79" s="8" t="inlineStr">
        <is>
          <t>Copiar en Flexxus: Tipo=MB-EXT | Movimiento=INGRESOS BRUTOS MENDOZA | Monto=35,16 | Fecha: 24/04/2026</t>
        </is>
      </c>
    </row>
    <row r="80">
      <c r="A80" s="8" t="inlineStr">
        <is>
          <t>PEND-800662BB4FFF-A001</t>
        </is>
      </c>
      <c r="B80" s="8" t="inlineStr">
        <is>
          <t>ABIERTO_NUEVO</t>
        </is>
      </c>
      <c r="C80" s="8" t="inlineStr">
        <is>
          <t>Banco egreso no Flexxus</t>
        </is>
      </c>
      <c r="D80" s="8" t="inlineStr">
        <is>
          <t>24/04/2026</t>
        </is>
      </c>
      <c r="E80" s="8" t="inlineStr">
        <is>
          <t>108592</t>
        </is>
      </c>
      <c r="F80" s="8" t="inlineStr">
        <is>
          <t>GRAVAMEN LEY 25413 S/CRED</t>
        </is>
      </c>
      <c r="G80" s="8" t="inlineStr">
        <is>
          <t>Anticipo Ganancias Ley 25.413 créditos</t>
        </is>
      </c>
      <c r="H80" s="8" t="inlineStr">
        <is>
          <t>Anticipo Impuesto a las Ganancias</t>
        </is>
      </c>
      <c r="I80" s="9" t="n">
        <v>21.09</v>
      </c>
      <c r="J80" s="9" t="inlineStr"/>
      <c r="K80" s="8" t="inlineStr">
        <is>
          <t>Copiar en Flexxus: Tipo=MB-EXT | Movimiento=GRAVAMEN LEY 25.413 S/CRED | Monto=21,09 | Fecha: 24/04/2026</t>
        </is>
      </c>
    </row>
    <row r="81">
      <c r="A81" s="8" t="inlineStr">
        <is>
          <t>PEND-FBE01687E70F-A001</t>
        </is>
      </c>
      <c r="B81" s="8" t="inlineStr">
        <is>
          <t>ABIERTO_NUEVO</t>
        </is>
      </c>
      <c r="C81" s="8" t="inlineStr">
        <is>
          <t>Banco egreso no Flexxus</t>
        </is>
      </c>
      <c r="D81" s="8" t="inlineStr">
        <is>
          <t>24/04/2026</t>
        </is>
      </c>
      <c r="E81" s="8" t="inlineStr">
        <is>
          <t>108591</t>
        </is>
      </c>
      <c r="F81" s="8" t="inlineStr">
        <is>
          <t>INGRESOS BRUTOS MENDOZA</t>
        </is>
      </c>
      <c r="G81" s="8" t="inlineStr">
        <is>
          <t>Retención Ingresos Brutos Mendoza</t>
        </is>
      </c>
      <c r="H81" s="8" t="inlineStr">
        <is>
          <t>Retención de Ingresos Brutos</t>
        </is>
      </c>
      <c r="I81" s="9" t="n">
        <v>673.42</v>
      </c>
      <c r="J81" s="9" t="inlineStr"/>
      <c r="K81" s="8" t="inlineStr">
        <is>
          <t>Copiar en Flexxus: Tipo=MB-EXT | Movimiento=INGRESOS BRUTOS MENDOZA | Monto=673,42 | Fecha: 24/04/2026</t>
        </is>
      </c>
    </row>
    <row r="82">
      <c r="A82" s="8" t="inlineStr">
        <is>
          <t>PEND-89A40C20D61E-A001</t>
        </is>
      </c>
      <c r="B82" s="8" t="inlineStr">
        <is>
          <t>ABIERTO_NUEVO</t>
        </is>
      </c>
      <c r="C82" s="8" t="inlineStr">
        <is>
          <t>Banco egreso no Flexxus</t>
        </is>
      </c>
      <c r="D82" s="8" t="inlineStr">
        <is>
          <t>24/04/2026</t>
        </is>
      </c>
      <c r="E82" s="8" t="inlineStr">
        <is>
          <t>108591</t>
        </is>
      </c>
      <c r="F82" s="8" t="inlineStr">
        <is>
          <t>GRAVAMEN LEY 25413 S/CRED</t>
        </is>
      </c>
      <c r="G82" s="8" t="inlineStr">
        <is>
          <t>Anticipo Ganancias Ley 25.413 créditos</t>
        </is>
      </c>
      <c r="H82" s="8" t="inlineStr">
        <is>
          <t>Anticipo Impuesto a las Ganancias</t>
        </is>
      </c>
      <c r="I82" s="9" t="n">
        <v>404.05</v>
      </c>
      <c r="J82" s="9" t="inlineStr"/>
      <c r="K82" s="8" t="inlineStr">
        <is>
          <t>Copiar en Flexxus: Tipo=MB-EXT | Movimiento=GRAVAMEN LEY 25.413 S/CRED | Monto=404,05 | Fecha: 24/04/2026</t>
        </is>
      </c>
    </row>
    <row r="83">
      <c r="A83" s="8" t="inlineStr">
        <is>
          <t>PEND-6FE937B5AFEB-A001</t>
        </is>
      </c>
      <c r="B83" s="8" t="inlineStr">
        <is>
          <t>ABIERTO_NUEVO</t>
        </is>
      </c>
      <c r="C83" s="8" t="inlineStr">
        <is>
          <t>Banco egreso no Flexxus</t>
        </is>
      </c>
      <c r="D83" s="8" t="inlineStr">
        <is>
          <t>24/04/2026</t>
        </is>
      </c>
      <c r="E83" s="8" t="inlineStr">
        <is>
          <t>108590</t>
        </is>
      </c>
      <c r="F83" s="8" t="inlineStr">
        <is>
          <t>INGRESOS BRUTOS MENDOZA</t>
        </is>
      </c>
      <c r="G83" s="8" t="inlineStr">
        <is>
          <t>Retención Ingresos Brutos Mendoza</t>
        </is>
      </c>
      <c r="H83" s="8" t="inlineStr">
        <is>
          <t>Retención de Ingresos Brutos</t>
        </is>
      </c>
      <c r="I83" s="9" t="n">
        <v>1987.57</v>
      </c>
      <c r="J83" s="9" t="inlineStr"/>
      <c r="K83" s="8" t="inlineStr">
        <is>
          <t>Copiar en Flexxus: Tipo=MB-EXT | Movimiento=INGRESOS BRUTOS MENDOZA | Monto=1.987,57 | Fecha: 24/04/2026</t>
        </is>
      </c>
    </row>
    <row r="84">
      <c r="A84" s="8" t="inlineStr">
        <is>
          <t>PEND-4CF3667BB917-A001</t>
        </is>
      </c>
      <c r="B84" s="8" t="inlineStr">
        <is>
          <t>ABIERTO_NUEVO</t>
        </is>
      </c>
      <c r="C84" s="8" t="inlineStr">
        <is>
          <t>Banco egreso no Flexxus</t>
        </is>
      </c>
      <c r="D84" s="8" t="inlineStr">
        <is>
          <t>24/04/2026</t>
        </is>
      </c>
      <c r="E84" s="8" t="inlineStr">
        <is>
          <t>108590</t>
        </is>
      </c>
      <c r="F84" s="8" t="inlineStr">
        <is>
          <t>GRAVAMEN LEY 25413 S/CRED</t>
        </is>
      </c>
      <c r="G84" s="8" t="inlineStr">
        <is>
          <t>Anticipo Ganancias Ley 25.413 créditos</t>
        </is>
      </c>
      <c r="H84" s="8" t="inlineStr">
        <is>
          <t>Anticipo Impuesto a las Ganancias</t>
        </is>
      </c>
      <c r="I84" s="9" t="n">
        <v>1192.54</v>
      </c>
      <c r="J84" s="9" t="inlineStr"/>
      <c r="K84" s="8" t="inlineStr">
        <is>
          <t>Copiar en Flexxus: Tipo=MB-EXT | Movimiento=GRAVAMEN LEY 25.413 S/CRED | Monto=1.192,54 | Fecha: 24/04/2026</t>
        </is>
      </c>
    </row>
    <row r="85">
      <c r="A85" s="8" t="inlineStr">
        <is>
          <t>PEND-31EFF87E331A-A001</t>
        </is>
      </c>
      <c r="B85" s="8" t="inlineStr">
        <is>
          <t>ABIERTO_NUEVO</t>
        </is>
      </c>
      <c r="C85" s="8" t="inlineStr">
        <is>
          <t>Banco egreso no Flexxus</t>
        </is>
      </c>
      <c r="D85" s="8" t="inlineStr">
        <is>
          <t>24/04/2026</t>
        </is>
      </c>
      <c r="E85" s="8" t="inlineStr">
        <is>
          <t>108589</t>
        </is>
      </c>
      <c r="F85" s="8" t="inlineStr">
        <is>
          <t>INGRESOS BRUTOS MENDOZA</t>
        </is>
      </c>
      <c r="G85" s="8" t="inlineStr">
        <is>
          <t>Retención Ingresos Brutos Mendoza</t>
        </is>
      </c>
      <c r="H85" s="8" t="inlineStr">
        <is>
          <t>Retención de Ingresos Brutos</t>
        </is>
      </c>
      <c r="I85" s="9" t="n">
        <v>267.39</v>
      </c>
      <c r="J85" s="9" t="inlineStr"/>
      <c r="K85" s="8" t="inlineStr">
        <is>
          <t>Copiar en Flexxus: Tipo=MB-EXT | Movimiento=INGRESOS BRUTOS MENDOZA | Monto=267,39 | Fecha: 24/04/2026</t>
        </is>
      </c>
    </row>
    <row r="86">
      <c r="A86" s="8" t="inlineStr">
        <is>
          <t>PEND-56E181E3D263-A001</t>
        </is>
      </c>
      <c r="B86" s="8" t="inlineStr">
        <is>
          <t>ABIERTO_NUEVO</t>
        </is>
      </c>
      <c r="C86" s="8" t="inlineStr">
        <is>
          <t>Banco egreso no Flexxus</t>
        </is>
      </c>
      <c r="D86" s="8" t="inlineStr">
        <is>
          <t>24/04/2026</t>
        </is>
      </c>
      <c r="E86" s="8" t="inlineStr">
        <is>
          <t>108589</t>
        </is>
      </c>
      <c r="F86" s="8" t="inlineStr">
        <is>
          <t>GRAVAMEN LEY 25413 S/CRED</t>
        </is>
      </c>
      <c r="G86" s="8" t="inlineStr">
        <is>
          <t>Anticipo Ganancias Ley 25.413 créditos</t>
        </is>
      </c>
      <c r="H86" s="8" t="inlineStr">
        <is>
          <t>Anticipo Impuesto a las Ganancias</t>
        </is>
      </c>
      <c r="I86" s="9" t="n">
        <v>160.43</v>
      </c>
      <c r="J86" s="9" t="inlineStr"/>
      <c r="K86" s="8" t="inlineStr">
        <is>
          <t>Copiar en Flexxus: Tipo=MB-EXT | Movimiento=GRAVAMEN LEY 25.413 S/CRED | Monto=160,43 | Fecha: 24/04/2026</t>
        </is>
      </c>
    </row>
    <row r="87">
      <c r="A87" s="8" t="inlineStr">
        <is>
          <t>PEND-EA3C41B0C4D0-A001</t>
        </is>
      </c>
      <c r="B87" s="8" t="inlineStr">
        <is>
          <t>ABIERTO_NUEVO</t>
        </is>
      </c>
      <c r="C87" s="8" t="inlineStr">
        <is>
          <t>Banco egreso no Flexxus</t>
        </is>
      </c>
      <c r="D87" s="8" t="inlineStr">
        <is>
          <t>24/04/2026</t>
        </is>
      </c>
      <c r="E87" s="8" t="inlineStr">
        <is>
          <t>108588</t>
        </is>
      </c>
      <c r="F87" s="8" t="inlineStr">
        <is>
          <t>INGRESOS BRUTOS MENDOZA</t>
        </is>
      </c>
      <c r="G87" s="8" t="inlineStr">
        <is>
          <t>Retención Ingresos Brutos Mendoza</t>
        </is>
      </c>
      <c r="H87" s="8" t="inlineStr">
        <is>
          <t>Retención de Ingresos Brutos</t>
        </is>
      </c>
      <c r="I87" s="9" t="n">
        <v>354.53</v>
      </c>
      <c r="J87" s="9" t="inlineStr"/>
      <c r="K87" s="8" t="inlineStr">
        <is>
          <t>Copiar en Flexxus: Tipo=MB-EXT | Movimiento=INGRESOS BRUTOS MENDOZA | Monto=354,53 | Fecha: 24/04/2026</t>
        </is>
      </c>
    </row>
    <row r="88">
      <c r="A88" s="8" t="inlineStr">
        <is>
          <t>PEND-371BA52DEEB6-A001</t>
        </is>
      </c>
      <c r="B88" s="8" t="inlineStr">
        <is>
          <t>ABIERTO_NUEVO</t>
        </is>
      </c>
      <c r="C88" s="8" t="inlineStr">
        <is>
          <t>Banco egreso no Flexxus</t>
        </is>
      </c>
      <c r="D88" s="8" t="inlineStr">
        <is>
          <t>24/04/2026</t>
        </is>
      </c>
      <c r="E88" s="8" t="inlineStr">
        <is>
          <t>108588</t>
        </is>
      </c>
      <c r="F88" s="8" t="inlineStr">
        <is>
          <t>GRAVAMEN LEY 25413 S/CRED</t>
        </is>
      </c>
      <c r="G88" s="8" t="inlineStr">
        <is>
          <t>Anticipo Ganancias Ley 25.413 créditos</t>
        </is>
      </c>
      <c r="H88" s="8" t="inlineStr">
        <is>
          <t>Anticipo Impuesto a las Ganancias</t>
        </is>
      </c>
      <c r="I88" s="9" t="n">
        <v>212.72</v>
      </c>
      <c r="J88" s="9" t="inlineStr"/>
      <c r="K88" s="8" t="inlineStr">
        <is>
          <t>Copiar en Flexxus: Tipo=MB-EXT | Movimiento=GRAVAMEN LEY 25.413 S/CRED | Monto=212,72 | Fecha: 24/04/2026</t>
        </is>
      </c>
    </row>
    <row r="89">
      <c r="A89" s="8" t="inlineStr">
        <is>
          <t>PEND-FC2C0EF14C25-A001</t>
        </is>
      </c>
      <c r="B89" s="8" t="inlineStr">
        <is>
          <t>ABIERTO_NUEVO</t>
        </is>
      </c>
      <c r="C89" s="8" t="inlineStr">
        <is>
          <t>Banco egreso no Flexxus</t>
        </is>
      </c>
      <c r="D89" s="8" t="inlineStr">
        <is>
          <t>24/04/2026</t>
        </is>
      </c>
      <c r="E89" s="8" t="inlineStr">
        <is>
          <t>32032899</t>
        </is>
      </c>
      <c r="F89" s="8" t="inlineStr">
        <is>
          <t>INGRESOS BRUTOS MENDOZA</t>
        </is>
      </c>
      <c r="G89" s="8" t="inlineStr">
        <is>
          <t>Retención Ingresos Brutos Mendoza</t>
        </is>
      </c>
      <c r="H89" s="8" t="inlineStr">
        <is>
          <t>Retención de Ingresos Brutos</t>
        </is>
      </c>
      <c r="I89" s="9" t="n">
        <v>1213.14</v>
      </c>
      <c r="J89" s="9" t="inlineStr"/>
      <c r="K89" s="8" t="inlineStr">
        <is>
          <t>Copiar en Flexxus: Tipo=MB-EXT | Movimiento=INGRESOS BRUTOS MENDOZA | Monto=1.213,14 | Fecha: 24/04/2026</t>
        </is>
      </c>
    </row>
    <row r="90">
      <c r="A90" s="8" t="inlineStr">
        <is>
          <t>PEND-09F96CF22DF8-A001</t>
        </is>
      </c>
      <c r="B90" s="8" t="inlineStr">
        <is>
          <t>ABIERTO_NUEVO</t>
        </is>
      </c>
      <c r="C90" s="8" t="inlineStr">
        <is>
          <t>Banco egreso no Flexxus</t>
        </is>
      </c>
      <c r="D90" s="8" t="inlineStr">
        <is>
          <t>24/04/2026</t>
        </is>
      </c>
      <c r="E90" s="8" t="inlineStr">
        <is>
          <t>32032899</t>
        </is>
      </c>
      <c r="F90" s="8" t="inlineStr">
        <is>
          <t>GRAVAMEN LEY 25413 S/CRED</t>
        </is>
      </c>
      <c r="G90" s="8" t="inlineStr">
        <is>
          <t>Anticipo Ganancias Ley 25.413 créditos</t>
        </is>
      </c>
      <c r="H90" s="8" t="inlineStr">
        <is>
          <t>Anticipo Impuesto a las Ganancias</t>
        </is>
      </c>
      <c r="I90" s="9" t="n">
        <v>727.88</v>
      </c>
      <c r="J90" s="9" t="inlineStr"/>
      <c r="K90" s="8" t="inlineStr">
        <is>
          <t>Copiar en Flexxus: Tipo=MB-EXT | Movimiento=GRAVAMEN LEY 25.413 S/CRED | Monto=727,88 | Fecha: 24/04/2026</t>
        </is>
      </c>
    </row>
    <row r="91">
      <c r="A91" s="8" t="inlineStr">
        <is>
          <t>PEND-E8A9FAA38EDF-A001</t>
        </is>
      </c>
      <c r="B91" s="8" t="inlineStr">
        <is>
          <t>ABIERTO_NUEVO</t>
        </is>
      </c>
      <c r="C91" s="8" t="inlineStr">
        <is>
          <t>Banco egreso no Flexxus</t>
        </is>
      </c>
      <c r="D91" s="8" t="inlineStr">
        <is>
          <t>24/04/2026</t>
        </is>
      </c>
      <c r="E91" s="8" t="inlineStr">
        <is>
          <t>31995644</t>
        </is>
      </c>
      <c r="F91" s="8" t="inlineStr">
        <is>
          <t>INGRESOS BRUTOS MENDOZA</t>
        </is>
      </c>
      <c r="G91" s="8" t="inlineStr">
        <is>
          <t>Retención Ingresos Brutos Mendoza</t>
        </is>
      </c>
      <c r="H91" s="8" t="inlineStr">
        <is>
          <t>Retención de Ingresos Brutos</t>
        </is>
      </c>
      <c r="I91" s="9" t="n">
        <v>2913.42</v>
      </c>
      <c r="J91" s="9" t="inlineStr"/>
      <c r="K91" s="8" t="inlineStr">
        <is>
          <t>Copiar en Flexxus: Tipo=MB-EXT | Movimiento=INGRESOS BRUTOS MENDOZA | Monto=2.913,42 | Fecha: 24/04/2026</t>
        </is>
      </c>
    </row>
    <row r="92">
      <c r="A92" s="8" t="inlineStr">
        <is>
          <t>PEND-8B3235605771-A001</t>
        </is>
      </c>
      <c r="B92" s="8" t="inlineStr">
        <is>
          <t>ABIERTO_NUEVO</t>
        </is>
      </c>
      <c r="C92" s="8" t="inlineStr">
        <is>
          <t>Banco egreso no Flexxus</t>
        </is>
      </c>
      <c r="D92" s="8" t="inlineStr">
        <is>
          <t>24/04/2026</t>
        </is>
      </c>
      <c r="E92" s="8" t="inlineStr">
        <is>
          <t>31995644</t>
        </is>
      </c>
      <c r="F92" s="8" t="inlineStr">
        <is>
          <t>GRAVAMEN LEY 25413 S/CRED</t>
        </is>
      </c>
      <c r="G92" s="8" t="inlineStr">
        <is>
          <t>Anticipo Ganancias Ley 25.413 créditos</t>
        </is>
      </c>
      <c r="H92" s="8" t="inlineStr">
        <is>
          <t>Anticipo Impuesto a las Ganancias</t>
        </is>
      </c>
      <c r="I92" s="9" t="n">
        <v>1748.05</v>
      </c>
      <c r="J92" s="9" t="inlineStr"/>
      <c r="K92" s="8" t="inlineStr">
        <is>
          <t>Copiar en Flexxus: Tipo=MB-EXT | Movimiento=GRAVAMEN LEY 25.413 S/CRED | Monto=1.748,05 | Fecha: 24/04/2026</t>
        </is>
      </c>
    </row>
    <row r="93">
      <c r="A93" s="8" t="inlineStr">
        <is>
          <t>PEND-3A557BEAAB64-A001</t>
        </is>
      </c>
      <c r="B93" s="8" t="inlineStr">
        <is>
          <t>ABIERTO_NUEVO</t>
        </is>
      </c>
      <c r="C93" s="8" t="inlineStr">
        <is>
          <t>Banco egreso no Flexxus</t>
        </is>
      </c>
      <c r="D93" s="8" t="inlineStr">
        <is>
          <t>24/04/2026</t>
        </is>
      </c>
      <c r="E93" s="8" t="inlineStr">
        <is>
          <t>29841705</t>
        </is>
      </c>
      <c r="F93" s="8" t="inlineStr">
        <is>
          <t>INGRESOS BRUTOS MENDOZA</t>
        </is>
      </c>
      <c r="G93" s="8" t="inlineStr">
        <is>
          <t>Retención Ingresos Brutos Mendoza</t>
        </is>
      </c>
      <c r="H93" s="8" t="inlineStr">
        <is>
          <t>Retención de Ingresos Brutos</t>
        </is>
      </c>
      <c r="I93" s="9" t="n">
        <v>113.61</v>
      </c>
      <c r="J93" s="9" t="inlineStr"/>
      <c r="K93" s="8" t="inlineStr">
        <is>
          <t>Copiar en Flexxus: Tipo=MB-EXT | Movimiento=INGRESOS BRUTOS MENDOZA | Monto=113,61 | Fecha: 24/04/2026</t>
        </is>
      </c>
    </row>
    <row r="94">
      <c r="A94" s="8" t="inlineStr">
        <is>
          <t>PEND-CF4CF246DD71-A001</t>
        </is>
      </c>
      <c r="B94" s="8" t="inlineStr">
        <is>
          <t>ABIERTO_NUEVO</t>
        </is>
      </c>
      <c r="C94" s="8" t="inlineStr">
        <is>
          <t>Banco egreso no Flexxus</t>
        </is>
      </c>
      <c r="D94" s="8" t="inlineStr">
        <is>
          <t>24/04/2026</t>
        </is>
      </c>
      <c r="E94" s="8" t="inlineStr">
        <is>
          <t>29841705</t>
        </is>
      </c>
      <c r="F94" s="8" t="inlineStr">
        <is>
          <t>GRAVAMEN LEY 25413 S/CRED</t>
        </is>
      </c>
      <c r="G94" s="8" t="inlineStr">
        <is>
          <t>Anticipo Ganancias Ley 25.413 créditos</t>
        </is>
      </c>
      <c r="H94" s="8" t="inlineStr">
        <is>
          <t>Anticipo Impuesto a las Ganancias</t>
        </is>
      </c>
      <c r="I94" s="9" t="n">
        <v>68.17</v>
      </c>
      <c r="J94" s="9" t="inlineStr"/>
      <c r="K94" s="8" t="inlineStr">
        <is>
          <t>Copiar en Flexxus: Tipo=MB-EXT | Movimiento=GRAVAMEN LEY 25.413 S/CRED | Monto=68,17 | Fecha: 24/04/2026</t>
        </is>
      </c>
    </row>
    <row r="95">
      <c r="A95" s="8" t="inlineStr">
        <is>
          <t>PEND-AD270495CB8F-A001</t>
        </is>
      </c>
      <c r="B95" s="8" t="inlineStr">
        <is>
          <t>ABIERTO_NUEVO</t>
        </is>
      </c>
      <c r="C95" s="8" t="inlineStr">
        <is>
          <t>Banco egreso no Flexxus</t>
        </is>
      </c>
      <c r="D95" s="8" t="inlineStr">
        <is>
          <t>24/04/2026</t>
        </is>
      </c>
      <c r="E95" s="8" t="inlineStr">
        <is>
          <t>29841683</t>
        </is>
      </c>
      <c r="F95" s="8" t="inlineStr">
        <is>
          <t>INGRESOS BRUTOS MENDOZA</t>
        </is>
      </c>
      <c r="G95" s="8" t="inlineStr">
        <is>
          <t>Retención Ingresos Brutos Mendoza</t>
        </is>
      </c>
      <c r="H95" s="8" t="inlineStr">
        <is>
          <t>Retención de Ingresos Brutos</t>
        </is>
      </c>
      <c r="I95" s="9" t="n">
        <v>583.85</v>
      </c>
      <c r="J95" s="9" t="inlineStr"/>
      <c r="K95" s="8" t="inlineStr">
        <is>
          <t>Copiar en Flexxus: Tipo=MB-EXT | Movimiento=INGRESOS BRUTOS MENDOZA | Monto=583,85 | Fecha: 24/04/2026</t>
        </is>
      </c>
    </row>
    <row r="96">
      <c r="A96" s="8" t="inlineStr">
        <is>
          <t>PEND-8F3F0C748F52-A001</t>
        </is>
      </c>
      <c r="B96" s="8" t="inlineStr">
        <is>
          <t>ABIERTO_NUEVO</t>
        </is>
      </c>
      <c r="C96" s="8" t="inlineStr">
        <is>
          <t>Banco egreso no Flexxus</t>
        </is>
      </c>
      <c r="D96" s="8" t="inlineStr">
        <is>
          <t>24/04/2026</t>
        </is>
      </c>
      <c r="E96" s="8" t="inlineStr">
        <is>
          <t>29841683</t>
        </is>
      </c>
      <c r="F96" s="8" t="inlineStr">
        <is>
          <t>GRAVAMEN LEY 25413 S/CRED</t>
        </is>
      </c>
      <c r="G96" s="8" t="inlineStr">
        <is>
          <t>Anticipo Ganancias Ley 25.413 créditos</t>
        </is>
      </c>
      <c r="H96" s="8" t="inlineStr">
        <is>
          <t>Anticipo Impuesto a las Ganancias</t>
        </is>
      </c>
      <c r="I96" s="9" t="n">
        <v>350.31</v>
      </c>
      <c r="J96" s="9" t="inlineStr"/>
      <c r="K96" s="8" t="inlineStr">
        <is>
          <t>Copiar en Flexxus: Tipo=MB-EXT | Movimiento=GRAVAMEN LEY 25.413 S/CRED | Monto=350,31 | Fecha: 24/04/2026</t>
        </is>
      </c>
    </row>
    <row r="97">
      <c r="A97" s="8" t="inlineStr">
        <is>
          <t>PEND-7D29954264FC-A001</t>
        </is>
      </c>
      <c r="B97" s="8" t="inlineStr">
        <is>
          <t>ABIERTO_NUEVO</t>
        </is>
      </c>
      <c r="C97" s="8" t="inlineStr">
        <is>
          <t>Banco egreso no Flexxus</t>
        </is>
      </c>
      <c r="D97" s="8" t="inlineStr">
        <is>
          <t>24/04/2026</t>
        </is>
      </c>
      <c r="E97" s="8" t="inlineStr">
        <is>
          <t>29841670</t>
        </is>
      </c>
      <c r="F97" s="8" t="inlineStr">
        <is>
          <t>INGRESOS BRUTOS MENDOZA</t>
        </is>
      </c>
      <c r="G97" s="8" t="inlineStr">
        <is>
          <t>Retención Ingresos Brutos Mendoza</t>
        </is>
      </c>
      <c r="H97" s="8" t="inlineStr">
        <is>
          <t>Retención de Ingresos Brutos</t>
        </is>
      </c>
      <c r="I97" s="9" t="n">
        <v>608.55</v>
      </c>
      <c r="J97" s="9" t="inlineStr"/>
      <c r="K97" s="8" t="inlineStr">
        <is>
          <t>Copiar en Flexxus: Tipo=MB-EXT | Movimiento=INGRESOS BRUTOS MENDOZA | Monto=608,55 | Fecha: 24/04/2026</t>
        </is>
      </c>
    </row>
    <row r="98">
      <c r="A98" s="8" t="inlineStr">
        <is>
          <t>PEND-0C60BF50494C-A001</t>
        </is>
      </c>
      <c r="B98" s="8" t="inlineStr">
        <is>
          <t>ABIERTO_NUEVO</t>
        </is>
      </c>
      <c r="C98" s="8" t="inlineStr">
        <is>
          <t>Banco egreso no Flexxus</t>
        </is>
      </c>
      <c r="D98" s="8" t="inlineStr">
        <is>
          <t>24/04/2026</t>
        </is>
      </c>
      <c r="E98" s="8" t="inlineStr">
        <is>
          <t>29841670</t>
        </is>
      </c>
      <c r="F98" s="8" t="inlineStr">
        <is>
          <t>GRAVAMEN LEY 25413 S/CRED</t>
        </is>
      </c>
      <c r="G98" s="8" t="inlineStr">
        <is>
          <t>Anticipo Ganancias Ley 25.413 créditos</t>
        </is>
      </c>
      <c r="H98" s="8" t="inlineStr">
        <is>
          <t>Anticipo Impuesto a las Ganancias</t>
        </is>
      </c>
      <c r="I98" s="9" t="n">
        <v>365.13</v>
      </c>
      <c r="J98" s="9" t="inlineStr"/>
      <c r="K98" s="8" t="inlineStr">
        <is>
          <t>Copiar en Flexxus: Tipo=MB-EXT | Movimiento=GRAVAMEN LEY 25.413 S/CRED | Monto=365,13 | Fecha: 24/04/2026</t>
        </is>
      </c>
    </row>
    <row r="99">
      <c r="A99" s="8" t="inlineStr">
        <is>
          <t>PEND-0EEE9AE105F9-A001</t>
        </is>
      </c>
      <c r="B99" s="8" t="inlineStr">
        <is>
          <t>ABIERTO_NUEVO</t>
        </is>
      </c>
      <c r="C99" s="8" t="inlineStr">
        <is>
          <t>Banco egreso no Flexxus</t>
        </is>
      </c>
      <c r="D99" s="8" t="inlineStr">
        <is>
          <t>24/04/2026</t>
        </is>
      </c>
      <c r="E99" s="8" t="inlineStr">
        <is>
          <t>29841642</t>
        </is>
      </c>
      <c r="F99" s="8" t="inlineStr">
        <is>
          <t>INGRESOS BRUTOS MENDOZA</t>
        </is>
      </c>
      <c r="G99" s="8" t="inlineStr">
        <is>
          <t>Retención Ingresos Brutos Mendoza</t>
        </is>
      </c>
      <c r="H99" s="8" t="inlineStr">
        <is>
          <t>Retención de Ingresos Brutos</t>
        </is>
      </c>
      <c r="I99" s="9" t="n">
        <v>237.1</v>
      </c>
      <c r="J99" s="9" t="inlineStr"/>
      <c r="K99" s="8" t="inlineStr">
        <is>
          <t>Copiar en Flexxus: Tipo=MB-EXT | Movimiento=INGRESOS BRUTOS MENDOZA | Monto=237,10 | Fecha: 24/04/2026</t>
        </is>
      </c>
    </row>
    <row r="100">
      <c r="A100" s="8" t="inlineStr">
        <is>
          <t>PEND-337E9517B85B-A001</t>
        </is>
      </c>
      <c r="B100" s="8" t="inlineStr">
        <is>
          <t>ABIERTO_NUEVO</t>
        </is>
      </c>
      <c r="C100" s="8" t="inlineStr">
        <is>
          <t>Banco egreso no Flexxus</t>
        </is>
      </c>
      <c r="D100" s="8" t="inlineStr">
        <is>
          <t>24/04/2026</t>
        </is>
      </c>
      <c r="E100" s="8" t="inlineStr">
        <is>
          <t>29841642</t>
        </is>
      </c>
      <c r="F100" s="8" t="inlineStr">
        <is>
          <t>GRAVAMEN LEY 25413 S/CRED</t>
        </is>
      </c>
      <c r="G100" s="8" t="inlineStr">
        <is>
          <t>Anticipo Ganancias Ley 25.413 créditos</t>
        </is>
      </c>
      <c r="H100" s="8" t="inlineStr">
        <is>
          <t>Anticipo Impuesto a las Ganancias</t>
        </is>
      </c>
      <c r="I100" s="9" t="n">
        <v>142.26</v>
      </c>
      <c r="J100" s="9" t="inlineStr"/>
      <c r="K100" s="8" t="inlineStr">
        <is>
          <t>Copiar en Flexxus: Tipo=MB-EXT | Movimiento=GRAVAMEN LEY 25.413 S/CRED | Monto=142,26 | Fecha: 24/04/2026</t>
        </is>
      </c>
    </row>
    <row r="101">
      <c r="A101" s="8" t="inlineStr">
        <is>
          <t>PEND-3F34BDBDA748-A001</t>
        </is>
      </c>
      <c r="B101" s="8" t="inlineStr">
        <is>
          <t>ABIERTO_NUEVO</t>
        </is>
      </c>
      <c r="C101" s="8" t="inlineStr">
        <is>
          <t>Banco egreso no Flexxus</t>
        </is>
      </c>
      <c r="D101" s="8" t="inlineStr">
        <is>
          <t>24/04/2026</t>
        </is>
      </c>
      <c r="E101" s="8" t="inlineStr">
        <is>
          <t>29841627</t>
        </is>
      </c>
      <c r="F101" s="8" t="inlineStr">
        <is>
          <t>INGRESOS BRUTOS MENDOZA</t>
        </is>
      </c>
      <c r="G101" s="8" t="inlineStr">
        <is>
          <t>Retención Ingresos Brutos Mendoza</t>
        </is>
      </c>
      <c r="H101" s="8" t="inlineStr">
        <is>
          <t>Retención de Ingresos Brutos</t>
        </is>
      </c>
      <c r="I101" s="9" t="n">
        <v>266.73</v>
      </c>
      <c r="J101" s="9" t="inlineStr"/>
      <c r="K101" s="8" t="inlineStr">
        <is>
          <t>Copiar en Flexxus: Tipo=MB-EXT | Movimiento=INGRESOS BRUTOS MENDOZA | Monto=266,73 | Fecha: 24/04/2026</t>
        </is>
      </c>
    </row>
    <row r="102">
      <c r="A102" s="8" t="inlineStr">
        <is>
          <t>PEND-89E0545CA479-A001</t>
        </is>
      </c>
      <c r="B102" s="8" t="inlineStr">
        <is>
          <t>ABIERTO_NUEVO</t>
        </is>
      </c>
      <c r="C102" s="8" t="inlineStr">
        <is>
          <t>Banco egreso no Flexxus</t>
        </is>
      </c>
      <c r="D102" s="8" t="inlineStr">
        <is>
          <t>24/04/2026</t>
        </is>
      </c>
      <c r="E102" s="8" t="inlineStr">
        <is>
          <t>29841627</t>
        </is>
      </c>
      <c r="F102" s="8" t="inlineStr">
        <is>
          <t>GRAVAMEN LEY 25413 S/CRED</t>
        </is>
      </c>
      <c r="G102" s="8" t="inlineStr">
        <is>
          <t>Anticipo Ganancias Ley 25.413 créditos</t>
        </is>
      </c>
      <c r="H102" s="8" t="inlineStr">
        <is>
          <t>Anticipo Impuesto a las Ganancias</t>
        </is>
      </c>
      <c r="I102" s="9" t="n">
        <v>160.04</v>
      </c>
      <c r="J102" s="9" t="inlineStr"/>
      <c r="K102" s="8" t="inlineStr">
        <is>
          <t>Copiar en Flexxus: Tipo=MB-EXT | Movimiento=GRAVAMEN LEY 25.413 S/CRED | Monto=160,04 | Fecha: 24/04/2026</t>
        </is>
      </c>
    </row>
    <row r="103">
      <c r="A103" s="8" t="inlineStr">
        <is>
          <t>PEND-B6493C034932-A001</t>
        </is>
      </c>
      <c r="B103" s="8" t="inlineStr">
        <is>
          <t>ABIERTO_NUEVO</t>
        </is>
      </c>
      <c r="C103" s="8" t="inlineStr">
        <is>
          <t>Banco egreso no Flexxus</t>
        </is>
      </c>
      <c r="D103" s="8" t="inlineStr">
        <is>
          <t>24/04/2026</t>
        </is>
      </c>
      <c r="E103" s="8" t="inlineStr">
        <is>
          <t>32032899</t>
        </is>
      </c>
      <c r="F103" s="8" t="inlineStr">
        <is>
          <t>INGRESOS BRUTOS MENDOZA</t>
        </is>
      </c>
      <c r="G103" s="8" t="inlineStr">
        <is>
          <t>Retención Ingresos Brutos Mendoza</t>
        </is>
      </c>
      <c r="H103" s="8" t="inlineStr">
        <is>
          <t>Retención de Ingresos Brutos</t>
        </is>
      </c>
      <c r="I103" s="9" t="n">
        <v>2914.41</v>
      </c>
      <c r="J103" s="9" t="inlineStr"/>
      <c r="K103" s="8" t="inlineStr">
        <is>
          <t>Copiar en Flexxus: Tipo=MB-EXT | Movimiento=INGRESOS BRUTOS MENDOZA | Monto=2.914,41 | Fecha: 24/04/2026</t>
        </is>
      </c>
    </row>
    <row r="104">
      <c r="A104" s="8" t="inlineStr">
        <is>
          <t>PEND-B81BEFBC1DCE-A001</t>
        </is>
      </c>
      <c r="B104" s="8" t="inlineStr">
        <is>
          <t>ABIERTO_NUEVO</t>
        </is>
      </c>
      <c r="C104" s="8" t="inlineStr">
        <is>
          <t>Banco egreso no Flexxus</t>
        </is>
      </c>
      <c r="D104" s="8" t="inlineStr">
        <is>
          <t>24/04/2026</t>
        </is>
      </c>
      <c r="E104" s="8" t="inlineStr">
        <is>
          <t>32032899</t>
        </is>
      </c>
      <c r="F104" s="8" t="inlineStr">
        <is>
          <t>GRAVAMEN LEY 25413 S/CRED</t>
        </is>
      </c>
      <c r="G104" s="8" t="inlineStr">
        <is>
          <t>Anticipo Ganancias Ley 25.413 créditos</t>
        </is>
      </c>
      <c r="H104" s="8" t="inlineStr">
        <is>
          <t>Anticipo Impuesto a las Ganancias</t>
        </is>
      </c>
      <c r="I104" s="9" t="n">
        <v>1748.64</v>
      </c>
      <c r="J104" s="9" t="inlineStr"/>
      <c r="K104" s="8" t="inlineStr">
        <is>
          <t>Copiar en Flexxus: Tipo=MB-EXT | Movimiento=GRAVAMEN LEY 25.413 S/CRED | Monto=1.748,64 | Fecha: 24/04/2026</t>
        </is>
      </c>
    </row>
    <row r="105">
      <c r="A105" s="8" t="inlineStr">
        <is>
          <t>PEND-39BFF06D23EB-A001</t>
        </is>
      </c>
      <c r="B105" s="8" t="inlineStr">
        <is>
          <t>ABIERTO_NUEVO</t>
        </is>
      </c>
      <c r="C105" s="8" t="inlineStr">
        <is>
          <t>Banco egreso no Flexxus</t>
        </is>
      </c>
      <c r="D105" s="8" t="inlineStr">
        <is>
          <t>24/04/2026</t>
        </is>
      </c>
      <c r="E105" s="8" t="inlineStr">
        <is>
          <t>32032899</t>
        </is>
      </c>
      <c r="F105" s="8" t="inlineStr">
        <is>
          <t>INGRESOS BRUTOS MENDOZA</t>
        </is>
      </c>
      <c r="G105" s="8" t="inlineStr">
        <is>
          <t>Retención Ingresos Brutos Mendoza</t>
        </is>
      </c>
      <c r="H105" s="8" t="inlineStr">
        <is>
          <t>Retención de Ingresos Brutos</t>
        </is>
      </c>
      <c r="I105" s="9" t="n">
        <v>416.72</v>
      </c>
      <c r="J105" s="9" t="inlineStr"/>
      <c r="K105" s="8" t="inlineStr">
        <is>
          <t>Copiar en Flexxus: Tipo=MB-EXT | Movimiento=INGRESOS BRUTOS MENDOZA | Monto=416,72 | Fecha: 24/04/2026</t>
        </is>
      </c>
    </row>
    <row r="106">
      <c r="A106" s="8" t="inlineStr">
        <is>
          <t>PEND-965277CA11A3-A001</t>
        </is>
      </c>
      <c r="B106" s="8" t="inlineStr">
        <is>
          <t>ABIERTO_NUEVO</t>
        </is>
      </c>
      <c r="C106" s="8" t="inlineStr">
        <is>
          <t>Banco egreso no Flexxus</t>
        </is>
      </c>
      <c r="D106" s="8" t="inlineStr">
        <is>
          <t>24/04/2026</t>
        </is>
      </c>
      <c r="E106" s="8" t="inlineStr">
        <is>
          <t>32032899</t>
        </is>
      </c>
      <c r="F106" s="8" t="inlineStr">
        <is>
          <t>GRAVAMEN LEY 25413 S/CRED</t>
        </is>
      </c>
      <c r="G106" s="8" t="inlineStr">
        <is>
          <t>Anticipo Ganancias Ley 25.413 créditos</t>
        </is>
      </c>
      <c r="H106" s="8" t="inlineStr">
        <is>
          <t>Anticipo Impuesto a las Ganancias</t>
        </is>
      </c>
      <c r="I106" s="9" t="n">
        <v>250.03</v>
      </c>
      <c r="J106" s="9" t="inlineStr"/>
      <c r="K106" s="8" t="inlineStr">
        <is>
          <t>Copiar en Flexxus: Tipo=MB-EXT | Movimiento=GRAVAMEN LEY 25.413 S/CRED | Monto=250,03 | Fecha: 24/04/2026</t>
        </is>
      </c>
    </row>
    <row r="107">
      <c r="A107" s="8" t="inlineStr">
        <is>
          <t>PEND-103FA52F72DB-A001</t>
        </is>
      </c>
      <c r="B107" s="8" t="inlineStr">
        <is>
          <t>ABIERTO_NUEVO</t>
        </is>
      </c>
      <c r="C107" s="8" t="inlineStr">
        <is>
          <t>Banco egreso no Flexxus</t>
        </is>
      </c>
      <c r="D107" s="8" t="inlineStr">
        <is>
          <t>24/04/2026</t>
        </is>
      </c>
      <c r="E107" s="8" t="inlineStr">
        <is>
          <t>32032899</t>
        </is>
      </c>
      <c r="F107" s="8" t="inlineStr">
        <is>
          <t>INGRESOS BRUTOS MENDOZA</t>
        </is>
      </c>
      <c r="G107" s="8" t="inlineStr">
        <is>
          <t>Retención Ingresos Brutos Mendoza</t>
        </is>
      </c>
      <c r="H107" s="8" t="inlineStr">
        <is>
          <t>Retención de Ingresos Brutos</t>
        </is>
      </c>
      <c r="I107" s="9" t="n">
        <v>1157.95</v>
      </c>
      <c r="J107" s="9" t="inlineStr"/>
      <c r="K107" s="8" t="inlineStr">
        <is>
          <t>Copiar en Flexxus: Tipo=MB-EXT | Movimiento=INGRESOS BRUTOS MENDOZA | Monto=1.157,95 | Fecha: 24/04/2026</t>
        </is>
      </c>
    </row>
    <row r="108">
      <c r="A108" s="8" t="inlineStr">
        <is>
          <t>PEND-F1519F4227A5-A001</t>
        </is>
      </c>
      <c r="B108" s="8" t="inlineStr">
        <is>
          <t>ABIERTO_NUEVO</t>
        </is>
      </c>
      <c r="C108" s="8" t="inlineStr">
        <is>
          <t>Banco egreso no Flexxus</t>
        </is>
      </c>
      <c r="D108" s="8" t="inlineStr">
        <is>
          <t>24/04/2026</t>
        </is>
      </c>
      <c r="E108" s="8" t="inlineStr">
        <is>
          <t>32032899</t>
        </is>
      </c>
      <c r="F108" s="8" t="inlineStr">
        <is>
          <t>GRAVAMEN LEY 25413 S/CRED</t>
        </is>
      </c>
      <c r="G108" s="8" t="inlineStr">
        <is>
          <t>Anticipo Ganancias Ley 25.413 créditos</t>
        </is>
      </c>
      <c r="H108" s="8" t="inlineStr">
        <is>
          <t>Anticipo Impuesto a las Ganancias</t>
        </is>
      </c>
      <c r="I108" s="9" t="n">
        <v>694.77</v>
      </c>
      <c r="J108" s="9" t="inlineStr"/>
      <c r="K108" s="8" t="inlineStr">
        <is>
          <t>Copiar en Flexxus: Tipo=MB-EXT | Movimiento=GRAVAMEN LEY 25.413 S/CRED | Monto=694,77 | Fecha: 24/04/2026</t>
        </is>
      </c>
    </row>
    <row r="109">
      <c r="A109" s="8" t="inlineStr">
        <is>
          <t>PEND-BB745DCF5E20-A001</t>
        </is>
      </c>
      <c r="B109" s="8" t="inlineStr">
        <is>
          <t>ABIERTO_NUEVO</t>
        </is>
      </c>
      <c r="C109" s="8" t="inlineStr">
        <is>
          <t>Banco egreso no Flexxus</t>
        </is>
      </c>
      <c r="D109" s="8" t="inlineStr">
        <is>
          <t>24/04/2026</t>
        </is>
      </c>
      <c r="E109" s="8" t="inlineStr">
        <is>
          <t>31995644</t>
        </is>
      </c>
      <c r="F109" s="8" t="inlineStr">
        <is>
          <t>INGRESOS BRUTOS MENDOZA</t>
        </is>
      </c>
      <c r="G109" s="8" t="inlineStr">
        <is>
          <t>Retención Ingresos Brutos Mendoza</t>
        </is>
      </c>
      <c r="H109" s="8" t="inlineStr">
        <is>
          <t>Retención de Ingresos Brutos</t>
        </is>
      </c>
      <c r="I109" s="9" t="n">
        <v>836.25</v>
      </c>
      <c r="J109" s="9" t="inlineStr"/>
      <c r="K109" s="8" t="inlineStr">
        <is>
          <t>Copiar en Flexxus: Tipo=MB-EXT | Movimiento=INGRESOS BRUTOS MENDOZA | Monto=836,25 | Fecha: 24/04/2026</t>
        </is>
      </c>
    </row>
    <row r="110">
      <c r="A110" s="8" t="inlineStr">
        <is>
          <t>PEND-9806F688C998-A001</t>
        </is>
      </c>
      <c r="B110" s="8" t="inlineStr">
        <is>
          <t>ABIERTO_NUEVO</t>
        </is>
      </c>
      <c r="C110" s="8" t="inlineStr">
        <is>
          <t>Banco egreso no Flexxus</t>
        </is>
      </c>
      <c r="D110" s="8" t="inlineStr">
        <is>
          <t>24/04/2026</t>
        </is>
      </c>
      <c r="E110" s="8" t="inlineStr">
        <is>
          <t>31995644</t>
        </is>
      </c>
      <c r="F110" s="8" t="inlineStr">
        <is>
          <t>GRAVAMEN LEY 25413 S/CRED</t>
        </is>
      </c>
      <c r="G110" s="8" t="inlineStr">
        <is>
          <t>Anticipo Ganancias Ley 25.413 créditos</t>
        </is>
      </c>
      <c r="H110" s="8" t="inlineStr">
        <is>
          <t>Anticipo Impuesto a las Ganancias</t>
        </is>
      </c>
      <c r="I110" s="9" t="n">
        <v>501.75</v>
      </c>
      <c r="J110" s="9" t="inlineStr"/>
      <c r="K110" s="8" t="inlineStr">
        <is>
          <t>Copiar en Flexxus: Tipo=MB-EXT | Movimiento=GRAVAMEN LEY 25.413 S/CRED | Monto=501,75 | Fecha: 24/04/2026</t>
        </is>
      </c>
    </row>
    <row r="111">
      <c r="A111" s="8" t="inlineStr">
        <is>
          <t>PEND-E5556E7EBA93-A001</t>
        </is>
      </c>
      <c r="B111" s="8" t="inlineStr">
        <is>
          <t>ABIERTO_NUEVO</t>
        </is>
      </c>
      <c r="C111" s="8" t="inlineStr">
        <is>
          <t>Banco egreso no Flexxus</t>
        </is>
      </c>
      <c r="D111" s="8" t="inlineStr">
        <is>
          <t>24/04/2026</t>
        </is>
      </c>
      <c r="E111" s="8" t="inlineStr">
        <is>
          <t>29841683</t>
        </is>
      </c>
      <c r="F111" s="8" t="inlineStr">
        <is>
          <t>INGRESOS BRUTOS MENDOZA</t>
        </is>
      </c>
      <c r="G111" s="8" t="inlineStr">
        <is>
          <t>Retención Ingresos Brutos Mendoza</t>
        </is>
      </c>
      <c r="H111" s="8" t="inlineStr">
        <is>
          <t>Retención de Ingresos Brutos</t>
        </is>
      </c>
      <c r="I111" s="9" t="n">
        <v>475.18</v>
      </c>
      <c r="J111" s="9" t="inlineStr"/>
      <c r="K111" s="8" t="inlineStr">
        <is>
          <t>Copiar en Flexxus: Tipo=MB-EXT | Movimiento=INGRESOS BRUTOS MENDOZA | Monto=475,18 | Fecha: 24/04/2026</t>
        </is>
      </c>
    </row>
    <row r="112">
      <c r="A112" s="8" t="inlineStr">
        <is>
          <t>PEND-B8E240338905-A001</t>
        </is>
      </c>
      <c r="B112" s="8" t="inlineStr">
        <is>
          <t>ABIERTO_NUEVO</t>
        </is>
      </c>
      <c r="C112" s="8" t="inlineStr">
        <is>
          <t>Banco egreso no Flexxus</t>
        </is>
      </c>
      <c r="D112" s="8" t="inlineStr">
        <is>
          <t>24/04/2026</t>
        </is>
      </c>
      <c r="E112" s="8" t="inlineStr">
        <is>
          <t>29841683</t>
        </is>
      </c>
      <c r="F112" s="8" t="inlineStr">
        <is>
          <t>GRAVAMEN LEY 25413 S/CRED</t>
        </is>
      </c>
      <c r="G112" s="8" t="inlineStr">
        <is>
          <t>Anticipo Ganancias Ley 25.413 créditos</t>
        </is>
      </c>
      <c r="H112" s="8" t="inlineStr">
        <is>
          <t>Anticipo Impuesto a las Ganancias</t>
        </is>
      </c>
      <c r="I112" s="9" t="n">
        <v>285.11</v>
      </c>
      <c r="J112" s="9" t="inlineStr"/>
      <c r="K112" s="8" t="inlineStr">
        <is>
          <t>Copiar en Flexxus: Tipo=MB-EXT | Movimiento=GRAVAMEN LEY 25.413 S/CRED | Monto=285,11 | Fecha: 24/04/2026</t>
        </is>
      </c>
    </row>
    <row r="113">
      <c r="A113" s="8" t="inlineStr">
        <is>
          <t>PEND-0AC0454DE042-A001</t>
        </is>
      </c>
      <c r="B113" s="8" t="inlineStr">
        <is>
          <t>ABIERTO_NUEVO</t>
        </is>
      </c>
      <c r="C113" s="8" t="inlineStr">
        <is>
          <t>Banco egreso no Flexxus</t>
        </is>
      </c>
      <c r="D113" s="8" t="inlineStr">
        <is>
          <t>24/04/2026</t>
        </is>
      </c>
      <c r="E113" s="8" t="inlineStr">
        <is>
          <t>32032899</t>
        </is>
      </c>
      <c r="F113" s="8" t="inlineStr">
        <is>
          <t>INGRESOS BRUTOS MENDOZA</t>
        </is>
      </c>
      <c r="G113" s="8" t="inlineStr">
        <is>
          <t>Retención Ingresos Brutos Mendoza</t>
        </is>
      </c>
      <c r="H113" s="8" t="inlineStr">
        <is>
          <t>Retención de Ingresos Brutos</t>
        </is>
      </c>
      <c r="I113" s="9" t="n">
        <v>6470.29</v>
      </c>
      <c r="J113" s="9" t="inlineStr"/>
      <c r="K113" s="8" t="inlineStr">
        <is>
          <t>Copiar en Flexxus: Tipo=MB-EXT | Movimiento=INGRESOS BRUTOS MENDOZA | Monto=6.470,29 | Fecha: 24/04/2026</t>
        </is>
      </c>
    </row>
    <row r="114">
      <c r="A114" s="8" t="inlineStr">
        <is>
          <t>PEND-07A1D94C3BA1-A001</t>
        </is>
      </c>
      <c r="B114" s="8" t="inlineStr">
        <is>
          <t>ABIERTO_NUEVO</t>
        </is>
      </c>
      <c r="C114" s="8" t="inlineStr">
        <is>
          <t>Banco egreso no Flexxus</t>
        </is>
      </c>
      <c r="D114" s="8" t="inlineStr">
        <is>
          <t>24/04/2026</t>
        </is>
      </c>
      <c r="E114" s="8" t="inlineStr">
        <is>
          <t>32032899</t>
        </is>
      </c>
      <c r="F114" s="8" t="inlineStr">
        <is>
          <t>GRAVAMEN LEY 25413 S/CRED</t>
        </is>
      </c>
      <c r="G114" s="8" t="inlineStr">
        <is>
          <t>Anticipo Ganancias Ley 25.413 créditos</t>
        </is>
      </c>
      <c r="H114" s="8" t="inlineStr">
        <is>
          <t>Anticipo Impuesto a las Ganancias</t>
        </is>
      </c>
      <c r="I114" s="9" t="n">
        <v>3882.17</v>
      </c>
      <c r="J114" s="9" t="inlineStr"/>
      <c r="K114" s="8" t="inlineStr">
        <is>
          <t>Copiar en Flexxus: Tipo=MB-EXT | Movimiento=GRAVAMEN LEY 25.413 S/CRED | Monto=3.882,17 | Fecha: 24/04/2026</t>
        </is>
      </c>
    </row>
    <row r="115">
      <c r="A115" s="8" t="inlineStr">
        <is>
          <t>PEND-7BB2C9EA31E1-A001</t>
        </is>
      </c>
      <c r="B115" s="8" t="inlineStr">
        <is>
          <t>ABIERTO_NUEVO</t>
        </is>
      </c>
      <c r="C115" s="8" t="inlineStr">
        <is>
          <t>Banco egreso no Flexxus</t>
        </is>
      </c>
      <c r="D115" s="8" t="inlineStr">
        <is>
          <t>24/04/2026</t>
        </is>
      </c>
      <c r="E115" s="8" t="inlineStr">
        <is>
          <t>32032899</t>
        </is>
      </c>
      <c r="F115" s="8" t="inlineStr">
        <is>
          <t>INGRESOS BRUTOS MENDOZA</t>
        </is>
      </c>
      <c r="G115" s="8" t="inlineStr">
        <is>
          <t>Retención Ingresos Brutos Mendoza</t>
        </is>
      </c>
      <c r="H115" s="8" t="inlineStr">
        <is>
          <t>Retención de Ingresos Brutos</t>
        </is>
      </c>
      <c r="I115" s="9" t="n">
        <v>1199.61</v>
      </c>
      <c r="J115" s="9" t="inlineStr"/>
      <c r="K115" s="8" t="inlineStr">
        <is>
          <t>Copiar en Flexxus: Tipo=MB-EXT | Movimiento=INGRESOS BRUTOS MENDOZA | Monto=1.199,61 | Fecha: 24/04/2026</t>
        </is>
      </c>
    </row>
    <row r="116">
      <c r="A116" s="8" t="inlineStr">
        <is>
          <t>PEND-C43359D15F17-A001</t>
        </is>
      </c>
      <c r="B116" s="8" t="inlineStr">
        <is>
          <t>ABIERTO_NUEVO</t>
        </is>
      </c>
      <c r="C116" s="8" t="inlineStr">
        <is>
          <t>Banco egreso no Flexxus</t>
        </is>
      </c>
      <c r="D116" s="8" t="inlineStr">
        <is>
          <t>24/04/2026</t>
        </is>
      </c>
      <c r="E116" s="8" t="inlineStr">
        <is>
          <t>32032899</t>
        </is>
      </c>
      <c r="F116" s="8" t="inlineStr">
        <is>
          <t>GRAVAMEN LEY 25413 S/CRED</t>
        </is>
      </c>
      <c r="G116" s="8" t="inlineStr">
        <is>
          <t>Anticipo Ganancias Ley 25.413 créditos</t>
        </is>
      </c>
      <c r="H116" s="8" t="inlineStr">
        <is>
          <t>Anticipo Impuesto a las Ganancias</t>
        </is>
      </c>
      <c r="I116" s="9" t="n">
        <v>719.77</v>
      </c>
      <c r="J116" s="9" t="inlineStr"/>
      <c r="K116" s="8" t="inlineStr">
        <is>
          <t>Copiar en Flexxus: Tipo=MB-EXT | Movimiento=GRAVAMEN LEY 25.413 S/CRED | Monto=719,77 | Fecha: 24/04/2026</t>
        </is>
      </c>
    </row>
    <row r="117">
      <c r="A117" s="8" t="inlineStr">
        <is>
          <t>PEND-2DC320A376A3-A001</t>
        </is>
      </c>
      <c r="B117" s="8" t="inlineStr">
        <is>
          <t>ABIERTO_NUEVO</t>
        </is>
      </c>
      <c r="C117" s="8" t="inlineStr">
        <is>
          <t>Banco egreso no Flexxus</t>
        </is>
      </c>
      <c r="D117" s="8" t="inlineStr">
        <is>
          <t>24/04/2026</t>
        </is>
      </c>
      <c r="E117" s="8" t="inlineStr">
        <is>
          <t>31995644</t>
        </is>
      </c>
      <c r="F117" s="8" t="inlineStr">
        <is>
          <t>INGRESOS BRUTOS MENDOZA</t>
        </is>
      </c>
      <c r="G117" s="8" t="inlineStr">
        <is>
          <t>Retención Ingresos Brutos Mendoza</t>
        </is>
      </c>
      <c r="H117" s="8" t="inlineStr">
        <is>
          <t>Retención de Ingresos Brutos</t>
        </is>
      </c>
      <c r="I117" s="9" t="n">
        <v>3029.5</v>
      </c>
      <c r="J117" s="9" t="inlineStr"/>
      <c r="K117" s="8" t="inlineStr">
        <is>
          <t>Copiar en Flexxus: Tipo=MB-EXT | Movimiento=INGRESOS BRUTOS MENDOZA | Monto=3.029,50 | Fecha: 24/04/2026</t>
        </is>
      </c>
    </row>
    <row r="118">
      <c r="A118" s="8" t="inlineStr">
        <is>
          <t>PEND-6808CA378B0F-A001</t>
        </is>
      </c>
      <c r="B118" s="8" t="inlineStr">
        <is>
          <t>ABIERTO_NUEVO</t>
        </is>
      </c>
      <c r="C118" s="8" t="inlineStr">
        <is>
          <t>Banco egreso no Flexxus</t>
        </is>
      </c>
      <c r="D118" s="8" t="inlineStr">
        <is>
          <t>24/04/2026</t>
        </is>
      </c>
      <c r="E118" s="8" t="inlineStr">
        <is>
          <t>31995644</t>
        </is>
      </c>
      <c r="F118" s="8" t="inlineStr">
        <is>
          <t>GRAVAMEN LEY 25413 S/CRED</t>
        </is>
      </c>
      <c r="G118" s="8" t="inlineStr">
        <is>
          <t>Anticipo Ganancias Ley 25.413 créditos</t>
        </is>
      </c>
      <c r="H118" s="8" t="inlineStr">
        <is>
          <t>Anticipo Impuesto a las Ganancias</t>
        </is>
      </c>
      <c r="I118" s="9" t="n">
        <v>1817.7</v>
      </c>
      <c r="J118" s="9" t="inlineStr"/>
      <c r="K118" s="8" t="inlineStr">
        <is>
          <t>Copiar en Flexxus: Tipo=MB-EXT | Movimiento=GRAVAMEN LEY 25.413 S/CRED | Monto=1.817,70 | Fecha: 24/04/2026</t>
        </is>
      </c>
    </row>
    <row r="119">
      <c r="A119" s="8" t="inlineStr">
        <is>
          <t>PEND-DF8F123BDDE9-A001</t>
        </is>
      </c>
      <c r="B119" s="8" t="inlineStr">
        <is>
          <t>ABIERTO_NUEVO</t>
        </is>
      </c>
      <c r="C119" s="8" t="inlineStr">
        <is>
          <t>Banco egreso no Flexxus</t>
        </is>
      </c>
      <c r="D119" s="8" t="inlineStr">
        <is>
          <t>24/04/2026</t>
        </is>
      </c>
      <c r="E119" s="8" t="inlineStr">
        <is>
          <t>31995644</t>
        </is>
      </c>
      <c r="F119" s="8" t="inlineStr">
        <is>
          <t>INGRESOS BRUTOS MENDOZA</t>
        </is>
      </c>
      <c r="G119" s="8" t="inlineStr">
        <is>
          <t>Retención Ingresos Brutos Mendoza</t>
        </is>
      </c>
      <c r="H119" s="8" t="inlineStr">
        <is>
          <t>Retención de Ingresos Brutos</t>
        </is>
      </c>
      <c r="I119" s="9" t="n">
        <v>4351.65</v>
      </c>
      <c r="J119" s="9" t="inlineStr"/>
      <c r="K119" s="8" t="inlineStr">
        <is>
          <t>Copiar en Flexxus: Tipo=MB-EXT | Movimiento=INGRESOS BRUTOS MENDOZA | Monto=4.351,65 | Fecha: 24/04/2026</t>
        </is>
      </c>
    </row>
    <row r="120">
      <c r="A120" s="8" t="inlineStr">
        <is>
          <t>PEND-A970C7997724-A001</t>
        </is>
      </c>
      <c r="B120" s="8" t="inlineStr">
        <is>
          <t>ABIERTO_NUEVO</t>
        </is>
      </c>
      <c r="C120" s="8" t="inlineStr">
        <is>
          <t>Banco egreso no Flexxus</t>
        </is>
      </c>
      <c r="D120" s="8" t="inlineStr">
        <is>
          <t>24/04/2026</t>
        </is>
      </c>
      <c r="E120" s="8" t="inlineStr">
        <is>
          <t>31995644</t>
        </is>
      </c>
      <c r="F120" s="8" t="inlineStr">
        <is>
          <t>GRAVAMEN LEY 25413 S/CRED</t>
        </is>
      </c>
      <c r="G120" s="8" t="inlineStr">
        <is>
          <t>Anticipo Ganancias Ley 25.413 créditos</t>
        </is>
      </c>
      <c r="H120" s="8" t="inlineStr">
        <is>
          <t>Anticipo Impuesto a las Ganancias</t>
        </is>
      </c>
      <c r="I120" s="9" t="n">
        <v>2610.99</v>
      </c>
      <c r="J120" s="9" t="inlineStr"/>
      <c r="K120" s="8" t="inlineStr">
        <is>
          <t>Copiar en Flexxus: Tipo=MB-EXT | Movimiento=GRAVAMEN LEY 25.413 S/CRED | Monto=2.610,99 | Fecha: 24/04/2026</t>
        </is>
      </c>
    </row>
    <row r="121">
      <c r="A121" s="8" t="inlineStr">
        <is>
          <t>PEND-53FE73A62E41-A001</t>
        </is>
      </c>
      <c r="B121" s="8" t="inlineStr">
        <is>
          <t>ABIERTO_NUEVO</t>
        </is>
      </c>
      <c r="C121" s="8" t="inlineStr">
        <is>
          <t>Banco egreso no Flexxus</t>
        </is>
      </c>
      <c r="D121" s="8" t="inlineStr">
        <is>
          <t>24/04/2026</t>
        </is>
      </c>
      <c r="E121" s="8" t="inlineStr">
        <is>
          <t>29841705</t>
        </is>
      </c>
      <c r="F121" s="8" t="inlineStr">
        <is>
          <t>INGRESOS BRUTOS MENDOZA</t>
        </is>
      </c>
      <c r="G121" s="8" t="inlineStr">
        <is>
          <t>Retención Ingresos Brutos Mendoza</t>
        </is>
      </c>
      <c r="H121" s="8" t="inlineStr">
        <is>
          <t>Retención de Ingresos Brutos</t>
        </is>
      </c>
      <c r="I121" s="9" t="n">
        <v>75.31999999999999</v>
      </c>
      <c r="J121" s="9" t="inlineStr"/>
      <c r="K121" s="8" t="inlineStr">
        <is>
          <t>Copiar en Flexxus: Tipo=MB-EXT | Movimiento=INGRESOS BRUTOS MENDOZA | Monto=75,32 | Fecha: 24/04/2026</t>
        </is>
      </c>
    </row>
    <row r="122">
      <c r="A122" s="8" t="inlineStr">
        <is>
          <t>PEND-958ABF199FA1-A001</t>
        </is>
      </c>
      <c r="B122" s="8" t="inlineStr">
        <is>
          <t>ABIERTO_NUEVO</t>
        </is>
      </c>
      <c r="C122" s="8" t="inlineStr">
        <is>
          <t>Banco egreso no Flexxus</t>
        </is>
      </c>
      <c r="D122" s="8" t="inlineStr">
        <is>
          <t>24/04/2026</t>
        </is>
      </c>
      <c r="E122" s="8" t="inlineStr">
        <is>
          <t>29841705</t>
        </is>
      </c>
      <c r="F122" s="8" t="inlineStr">
        <is>
          <t>GRAVAMEN LEY 25413 S/CRED</t>
        </is>
      </c>
      <c r="G122" s="8" t="inlineStr">
        <is>
          <t>Anticipo Ganancias Ley 25.413 créditos</t>
        </is>
      </c>
      <c r="H122" s="8" t="inlineStr">
        <is>
          <t>Anticipo Impuesto a las Ganancias</t>
        </is>
      </c>
      <c r="I122" s="9" t="n">
        <v>45.19</v>
      </c>
      <c r="J122" s="9" t="inlineStr"/>
      <c r="K122" s="8" t="inlineStr">
        <is>
          <t>Copiar en Flexxus: Tipo=MB-EXT | Movimiento=GRAVAMEN LEY 25.413 S/CRED | Monto=45,19 | Fecha: 24/04/2026</t>
        </is>
      </c>
    </row>
    <row r="123">
      <c r="A123" s="8" t="inlineStr">
        <is>
          <t>PEND-0F03B872ED43-A001</t>
        </is>
      </c>
      <c r="B123" s="8" t="inlineStr">
        <is>
          <t>ABIERTO_NUEVO</t>
        </is>
      </c>
      <c r="C123" s="8" t="inlineStr">
        <is>
          <t>Banco egreso no Flexxus</t>
        </is>
      </c>
      <c r="D123" s="8" t="inlineStr">
        <is>
          <t>24/04/2026</t>
        </is>
      </c>
      <c r="E123" s="8" t="inlineStr">
        <is>
          <t>29841705</t>
        </is>
      </c>
      <c r="F123" s="8" t="inlineStr">
        <is>
          <t>INGRESOS BRUTOS MENDOZA</t>
        </is>
      </c>
      <c r="G123" s="8" t="inlineStr">
        <is>
          <t>Retención Ingresos Brutos Mendoza</t>
        </is>
      </c>
      <c r="H123" s="8" t="inlineStr">
        <is>
          <t>Retención de Ingresos Brutos</t>
        </is>
      </c>
      <c r="I123" s="9" t="n">
        <v>411.83</v>
      </c>
      <c r="J123" s="9" t="inlineStr"/>
      <c r="K123" s="8" t="inlineStr">
        <is>
          <t>Copiar en Flexxus: Tipo=MB-EXT | Movimiento=INGRESOS BRUTOS MENDOZA | Monto=411,83 | Fecha: 24/04/2026</t>
        </is>
      </c>
    </row>
    <row r="124">
      <c r="A124" s="8" t="inlineStr">
        <is>
          <t>PEND-5F9AA3043844-A001</t>
        </is>
      </c>
      <c r="B124" s="8" t="inlineStr">
        <is>
          <t>ABIERTO_NUEVO</t>
        </is>
      </c>
      <c r="C124" s="8" t="inlineStr">
        <is>
          <t>Banco egreso no Flexxus</t>
        </is>
      </c>
      <c r="D124" s="8" t="inlineStr">
        <is>
          <t>24/04/2026</t>
        </is>
      </c>
      <c r="E124" s="8" t="inlineStr">
        <is>
          <t>29841705</t>
        </is>
      </c>
      <c r="F124" s="8" t="inlineStr">
        <is>
          <t>GRAVAMEN LEY 25413 S/CRED</t>
        </is>
      </c>
      <c r="G124" s="8" t="inlineStr">
        <is>
          <t>Anticipo Ganancias Ley 25.413 créditos</t>
        </is>
      </c>
      <c r="H124" s="8" t="inlineStr">
        <is>
          <t>Anticipo Impuesto a las Ganancias</t>
        </is>
      </c>
      <c r="I124" s="9" t="n">
        <v>247.1</v>
      </c>
      <c r="J124" s="9" t="inlineStr"/>
      <c r="K124" s="8" t="inlineStr">
        <is>
          <t>Copiar en Flexxus: Tipo=MB-EXT | Movimiento=GRAVAMEN LEY 25.413 S/CRED | Monto=247,10 | Fecha: 24/04/2026</t>
        </is>
      </c>
    </row>
    <row r="125">
      <c r="A125" s="8" t="inlineStr">
        <is>
          <t>PEND-012E8154F82E-A001</t>
        </is>
      </c>
      <c r="B125" s="8" t="inlineStr">
        <is>
          <t>ABIERTO_NUEVO</t>
        </is>
      </c>
      <c r="C125" s="8" t="inlineStr">
        <is>
          <t>Banco egreso no Flexxus</t>
        </is>
      </c>
      <c r="D125" s="8" t="inlineStr">
        <is>
          <t>24/04/2026</t>
        </is>
      </c>
      <c r="E125" s="8" t="inlineStr">
        <is>
          <t>29841670</t>
        </is>
      </c>
      <c r="F125" s="8" t="inlineStr">
        <is>
          <t>INGRESOS BRUTOS MENDOZA</t>
        </is>
      </c>
      <c r="G125" s="8" t="inlineStr">
        <is>
          <t>Retención Ingresos Brutos Mendoza</t>
        </is>
      </c>
      <c r="H125" s="8" t="inlineStr">
        <is>
          <t>Retención de Ingresos Brutos</t>
        </is>
      </c>
      <c r="I125" s="9" t="n">
        <v>1209.39</v>
      </c>
      <c r="J125" s="9" t="inlineStr"/>
      <c r="K125" s="8" t="inlineStr">
        <is>
          <t>Copiar en Flexxus: Tipo=MB-EXT | Movimiento=INGRESOS BRUTOS MENDOZA | Monto=1.209,39 | Fecha: 24/04/2026</t>
        </is>
      </c>
    </row>
    <row r="126">
      <c r="A126" s="8" t="inlineStr">
        <is>
          <t>PEND-BD1A46C578D7-A001</t>
        </is>
      </c>
      <c r="B126" s="8" t="inlineStr">
        <is>
          <t>ABIERTO_NUEVO</t>
        </is>
      </c>
      <c r="C126" s="8" t="inlineStr">
        <is>
          <t>Banco egreso no Flexxus</t>
        </is>
      </c>
      <c r="D126" s="8" t="inlineStr">
        <is>
          <t>24/04/2026</t>
        </is>
      </c>
      <c r="E126" s="8" t="inlineStr">
        <is>
          <t>29841670</t>
        </is>
      </c>
      <c r="F126" s="8" t="inlineStr">
        <is>
          <t>GRAVAMEN LEY 25413 S/CRED</t>
        </is>
      </c>
      <c r="G126" s="8" t="inlineStr">
        <is>
          <t>Anticipo Ganancias Ley 25.413 créditos</t>
        </is>
      </c>
      <c r="H126" s="8" t="inlineStr">
        <is>
          <t>Anticipo Impuesto a las Ganancias</t>
        </is>
      </c>
      <c r="I126" s="9" t="n">
        <v>725.63</v>
      </c>
      <c r="J126" s="9" t="inlineStr"/>
      <c r="K126" s="8" t="inlineStr">
        <is>
          <t>Copiar en Flexxus: Tipo=MB-EXT | Movimiento=GRAVAMEN LEY 25.413 S/CRED | Monto=725,63 | Fecha: 24/04/2026</t>
        </is>
      </c>
    </row>
    <row r="127">
      <c r="A127" s="8" t="inlineStr">
        <is>
          <t>PEND-73A879566EC2-A001</t>
        </is>
      </c>
      <c r="B127" s="8" t="inlineStr">
        <is>
          <t>ABIERTO_NUEVO</t>
        </is>
      </c>
      <c r="C127" s="8" t="inlineStr">
        <is>
          <t>Banco egreso no Flexxus</t>
        </is>
      </c>
      <c r="D127" s="8" t="inlineStr">
        <is>
          <t>24/04/2026</t>
        </is>
      </c>
      <c r="E127" s="8" t="inlineStr">
        <is>
          <t>32032899</t>
        </is>
      </c>
      <c r="F127" s="8" t="inlineStr">
        <is>
          <t>INGRESOS BRUTOS MENDOZA</t>
        </is>
      </c>
      <c r="G127" s="8" t="inlineStr">
        <is>
          <t>Retención Ingresos Brutos Mendoza</t>
        </is>
      </c>
      <c r="H127" s="8" t="inlineStr">
        <is>
          <t>Retención de Ingresos Brutos</t>
        </is>
      </c>
      <c r="I127" s="9" t="n">
        <v>912.6799999999999</v>
      </c>
      <c r="J127" s="9" t="inlineStr"/>
      <c r="K127" s="8" t="inlineStr">
        <is>
          <t>Copiar en Flexxus: Tipo=MB-EXT | Movimiento=INGRESOS BRUTOS MENDOZA | Monto=912,68 | Fecha: 24/04/2026</t>
        </is>
      </c>
    </row>
    <row r="128">
      <c r="A128" s="8" t="inlineStr">
        <is>
          <t>PEND-11804B3336DE-A001</t>
        </is>
      </c>
      <c r="B128" s="8" t="inlineStr">
        <is>
          <t>ABIERTO_NUEVO</t>
        </is>
      </c>
      <c r="C128" s="8" t="inlineStr">
        <is>
          <t>Banco egreso no Flexxus</t>
        </is>
      </c>
      <c r="D128" s="8" t="inlineStr">
        <is>
          <t>24/04/2026</t>
        </is>
      </c>
      <c r="E128" s="8" t="inlineStr">
        <is>
          <t>32032899</t>
        </is>
      </c>
      <c r="F128" s="8" t="inlineStr">
        <is>
          <t>GRAVAMEN LEY 25413 S/CRED</t>
        </is>
      </c>
      <c r="G128" s="8" t="inlineStr">
        <is>
          <t>Anticipo Ganancias Ley 25.413 créditos</t>
        </is>
      </c>
      <c r="H128" s="8" t="inlineStr">
        <is>
          <t>Anticipo Impuesto a las Ganancias</t>
        </is>
      </c>
      <c r="I128" s="9" t="n">
        <v>547.61</v>
      </c>
      <c r="J128" s="9" t="inlineStr"/>
      <c r="K128" s="8" t="inlineStr">
        <is>
          <t>Copiar en Flexxus: Tipo=MB-EXT | Movimiento=GRAVAMEN LEY 25.413 S/CRED | Monto=547,61 | Fecha: 24/04/2026</t>
        </is>
      </c>
    </row>
    <row r="129">
      <c r="A129" s="8" t="inlineStr">
        <is>
          <t>PEND-5DD35AAAE48B-A001</t>
        </is>
      </c>
      <c r="B129" s="8" t="inlineStr">
        <is>
          <t>ABIERTO_NUEVO</t>
        </is>
      </c>
      <c r="C129" s="8" t="inlineStr">
        <is>
          <t>Banco egreso no Flexxus</t>
        </is>
      </c>
      <c r="D129" s="8" t="inlineStr">
        <is>
          <t>24/04/2026</t>
        </is>
      </c>
      <c r="E129" s="8" t="inlineStr">
        <is>
          <t>31995644</t>
        </is>
      </c>
      <c r="F129" s="8" t="inlineStr">
        <is>
          <t>INGRESOS BRUTOS MENDOZA</t>
        </is>
      </c>
      <c r="G129" s="8" t="inlineStr">
        <is>
          <t>Retención Ingresos Brutos Mendoza</t>
        </is>
      </c>
      <c r="H129" s="8" t="inlineStr">
        <is>
          <t>Retención de Ingresos Brutos</t>
        </is>
      </c>
      <c r="I129" s="9" t="n">
        <v>1187.23</v>
      </c>
      <c r="J129" s="9" t="inlineStr"/>
      <c r="K129" s="8" t="inlineStr">
        <is>
          <t>Copiar en Flexxus: Tipo=MB-EXT | Movimiento=INGRESOS BRUTOS MENDOZA | Monto=1.187,23 | Fecha: 24/04/2026</t>
        </is>
      </c>
    </row>
    <row r="130">
      <c r="A130" s="8" t="inlineStr">
        <is>
          <t>PEND-5395045F73A8-A001</t>
        </is>
      </c>
      <c r="B130" s="8" t="inlineStr">
        <is>
          <t>ABIERTO_NUEVO</t>
        </is>
      </c>
      <c r="C130" s="8" t="inlineStr">
        <is>
          <t>Banco egreso no Flexxus</t>
        </is>
      </c>
      <c r="D130" s="8" t="inlineStr">
        <is>
          <t>24/04/2026</t>
        </is>
      </c>
      <c r="E130" s="8" t="inlineStr">
        <is>
          <t>31995644</t>
        </is>
      </c>
      <c r="F130" s="8" t="inlineStr">
        <is>
          <t>GRAVAMEN LEY 25413 S/CRED</t>
        </is>
      </c>
      <c r="G130" s="8" t="inlineStr">
        <is>
          <t>Anticipo Ganancias Ley 25.413 créditos</t>
        </is>
      </c>
      <c r="H130" s="8" t="inlineStr">
        <is>
          <t>Anticipo Impuesto a las Ganancias</t>
        </is>
      </c>
      <c r="I130" s="9" t="n">
        <v>712.34</v>
      </c>
      <c r="J130" s="9" t="inlineStr"/>
      <c r="K130" s="8" t="inlineStr">
        <is>
          <t>Copiar en Flexxus: Tipo=MB-EXT | Movimiento=GRAVAMEN LEY 25.413 S/CRED | Monto=712,34 | Fecha: 24/04/2026</t>
        </is>
      </c>
    </row>
    <row r="131">
      <c r="A131" s="8" t="inlineStr">
        <is>
          <t>PEND-76120F1BC40A-A001</t>
        </is>
      </c>
      <c r="B131" s="8" t="inlineStr">
        <is>
          <t>ABIERTO_NUEVO</t>
        </is>
      </c>
      <c r="C131" s="8" t="inlineStr">
        <is>
          <t>Banco egreso no Flexxus</t>
        </is>
      </c>
      <c r="D131" s="8" t="inlineStr">
        <is>
          <t>24/04/2026</t>
        </is>
      </c>
      <c r="E131" s="8" t="inlineStr">
        <is>
          <t>31995644</t>
        </is>
      </c>
      <c r="F131" s="8" t="inlineStr">
        <is>
          <t>INGRESOS BRUTOS MENDOZA</t>
        </is>
      </c>
      <c r="G131" s="8" t="inlineStr">
        <is>
          <t>Retención Ingresos Brutos Mendoza</t>
        </is>
      </c>
      <c r="H131" s="8" t="inlineStr">
        <is>
          <t>Retención de Ingresos Brutos</t>
        </is>
      </c>
      <c r="I131" s="9" t="n">
        <v>1330.62</v>
      </c>
      <c r="J131" s="9" t="inlineStr"/>
      <c r="K131" s="8" t="inlineStr">
        <is>
          <t>Copiar en Flexxus: Tipo=MB-EXT | Movimiento=INGRESOS BRUTOS MENDOZA | Monto=1.330,62 | Fecha: 24/04/2026</t>
        </is>
      </c>
    </row>
    <row r="132">
      <c r="A132" s="8" t="inlineStr">
        <is>
          <t>PEND-C8A19A14F5C1-A001</t>
        </is>
      </c>
      <c r="B132" s="8" t="inlineStr">
        <is>
          <t>ABIERTO_NUEVO</t>
        </is>
      </c>
      <c r="C132" s="8" t="inlineStr">
        <is>
          <t>Banco egreso no Flexxus</t>
        </is>
      </c>
      <c r="D132" s="8" t="inlineStr">
        <is>
          <t>24/04/2026</t>
        </is>
      </c>
      <c r="E132" s="8" t="inlineStr">
        <is>
          <t>31995644</t>
        </is>
      </c>
      <c r="F132" s="8" t="inlineStr">
        <is>
          <t>GRAVAMEN LEY 25413 S/CRED</t>
        </is>
      </c>
      <c r="G132" s="8" t="inlineStr">
        <is>
          <t>Anticipo Ganancias Ley 25.413 créditos</t>
        </is>
      </c>
      <c r="H132" s="8" t="inlineStr">
        <is>
          <t>Anticipo Impuesto a las Ganancias</t>
        </is>
      </c>
      <c r="I132" s="9" t="n">
        <v>798.37</v>
      </c>
      <c r="J132" s="9" t="inlineStr"/>
      <c r="K132" s="8" t="inlineStr">
        <is>
          <t>Copiar en Flexxus: Tipo=MB-EXT | Movimiento=GRAVAMEN LEY 25.413 S/CRED | Monto=798,37 | Fecha: 24/04/2026</t>
        </is>
      </c>
    </row>
    <row r="133">
      <c r="A133" s="8" t="inlineStr">
        <is>
          <t>PEND-321EA03688D0-A001</t>
        </is>
      </c>
      <c r="B133" s="8" t="inlineStr">
        <is>
          <t>ABIERTO_NUEVO</t>
        </is>
      </c>
      <c r="C133" s="8" t="inlineStr">
        <is>
          <t>Banco egreso no Flexxus</t>
        </is>
      </c>
      <c r="D133" s="8" t="inlineStr">
        <is>
          <t>24/04/2026</t>
        </is>
      </c>
      <c r="E133" s="8" t="inlineStr">
        <is>
          <t>29841683</t>
        </is>
      </c>
      <c r="F133" s="8" t="inlineStr">
        <is>
          <t>INGRESOS BRUTOS MENDOZA</t>
        </is>
      </c>
      <c r="G133" s="8" t="inlineStr">
        <is>
          <t>Retención Ingresos Brutos Mendoza</t>
        </is>
      </c>
      <c r="H133" s="8" t="inlineStr">
        <is>
          <t>Retención de Ingresos Brutos</t>
        </is>
      </c>
      <c r="I133" s="9" t="n">
        <v>607.47</v>
      </c>
      <c r="J133" s="9" t="inlineStr"/>
      <c r="K133" s="8" t="inlineStr">
        <is>
          <t>Copiar en Flexxus: Tipo=MB-EXT | Movimiento=INGRESOS BRUTOS MENDOZA | Monto=607,47 | Fecha: 24/04/2026</t>
        </is>
      </c>
    </row>
    <row r="134">
      <c r="A134" s="8" t="inlineStr">
        <is>
          <t>PEND-E9A94FE2960C-A001</t>
        </is>
      </c>
      <c r="B134" s="8" t="inlineStr">
        <is>
          <t>ABIERTO_NUEVO</t>
        </is>
      </c>
      <c r="C134" s="8" t="inlineStr">
        <is>
          <t>Banco egreso no Flexxus</t>
        </is>
      </c>
      <c r="D134" s="8" t="inlineStr">
        <is>
          <t>24/04/2026</t>
        </is>
      </c>
      <c r="E134" s="8" t="inlineStr">
        <is>
          <t>29841683</t>
        </is>
      </c>
      <c r="F134" s="8" t="inlineStr">
        <is>
          <t>GRAVAMEN LEY 25413 S/CRED</t>
        </is>
      </c>
      <c r="G134" s="8" t="inlineStr">
        <is>
          <t>Anticipo Ganancias Ley 25.413 créditos</t>
        </is>
      </c>
      <c r="H134" s="8" t="inlineStr">
        <is>
          <t>Anticipo Impuesto a las Ganancias</t>
        </is>
      </c>
      <c r="I134" s="9" t="n">
        <v>364.48</v>
      </c>
      <c r="J134" s="9" t="inlineStr"/>
      <c r="K134" s="8" t="inlineStr">
        <is>
          <t>Copiar en Flexxus: Tipo=MB-EXT | Movimiento=GRAVAMEN LEY 25.413 S/CRED | Monto=364,48 | Fecha: 24/04/2026</t>
        </is>
      </c>
    </row>
    <row r="135">
      <c r="A135" s="8" t="inlineStr">
        <is>
          <t>PEND-22285A9E85E7-A001</t>
        </is>
      </c>
      <c r="B135" s="8" t="inlineStr">
        <is>
          <t>ABIERTO_NUEVO</t>
        </is>
      </c>
      <c r="C135" s="8" t="inlineStr">
        <is>
          <t>Banco egreso no Flexxus</t>
        </is>
      </c>
      <c r="D135" s="8" t="inlineStr">
        <is>
          <t>24/04/2026</t>
        </is>
      </c>
      <c r="E135" s="8" t="inlineStr">
        <is>
          <t>29841670</t>
        </is>
      </c>
      <c r="F135" s="8" t="inlineStr">
        <is>
          <t>INGRESOS BRUTOS MENDOZA</t>
        </is>
      </c>
      <c r="G135" s="8" t="inlineStr">
        <is>
          <t>Retención Ingresos Brutos Mendoza</t>
        </is>
      </c>
      <c r="H135" s="8" t="inlineStr">
        <is>
          <t>Retención de Ingresos Brutos</t>
        </is>
      </c>
      <c r="I135" s="9" t="n">
        <v>211.3</v>
      </c>
      <c r="J135" s="9" t="inlineStr"/>
      <c r="K135" s="8" t="inlineStr">
        <is>
          <t>Copiar en Flexxus: Tipo=MB-EXT | Movimiento=INGRESOS BRUTOS MENDOZA | Monto=211,30 | Fecha: 24/04/2026</t>
        </is>
      </c>
    </row>
    <row r="136">
      <c r="A136" s="8" t="inlineStr">
        <is>
          <t>PEND-32E5B29DF209-A001</t>
        </is>
      </c>
      <c r="B136" s="8" t="inlineStr">
        <is>
          <t>ABIERTO_NUEVO</t>
        </is>
      </c>
      <c r="C136" s="8" t="inlineStr">
        <is>
          <t>Banco egreso no Flexxus</t>
        </is>
      </c>
      <c r="D136" s="8" t="inlineStr">
        <is>
          <t>24/04/2026</t>
        </is>
      </c>
      <c r="E136" s="8" t="inlineStr">
        <is>
          <t>29841670</t>
        </is>
      </c>
      <c r="F136" s="8" t="inlineStr">
        <is>
          <t>GRAVAMEN LEY 25413 S/CRED</t>
        </is>
      </c>
      <c r="G136" s="8" t="inlineStr">
        <is>
          <t>Anticipo Ganancias Ley 25.413 créditos</t>
        </is>
      </c>
      <c r="H136" s="8" t="inlineStr">
        <is>
          <t>Anticipo Impuesto a las Ganancias</t>
        </is>
      </c>
      <c r="I136" s="9" t="n">
        <v>126.78</v>
      </c>
      <c r="J136" s="9" t="inlineStr"/>
      <c r="K136" s="8" t="inlineStr">
        <is>
          <t>Copiar en Flexxus: Tipo=MB-EXT | Movimiento=GRAVAMEN LEY 25.413 S/CRED | Monto=126,78 | Fecha: 24/04/2026</t>
        </is>
      </c>
    </row>
    <row r="137">
      <c r="A137" s="8" t="inlineStr">
        <is>
          <t>PEND-C68E940EFFB0-A001</t>
        </is>
      </c>
      <c r="B137" s="8" t="inlineStr">
        <is>
          <t>ABIERTO_NUEVO</t>
        </is>
      </c>
      <c r="C137" s="8" t="inlineStr">
        <is>
          <t>Banco egreso no Flexxus</t>
        </is>
      </c>
      <c r="D137" s="8" t="inlineStr">
        <is>
          <t>24/04/2026</t>
        </is>
      </c>
      <c r="E137" s="8" t="inlineStr">
        <is>
          <t>108562</t>
        </is>
      </c>
      <c r="F137" s="8" t="inlineStr">
        <is>
          <t>INGRESOS BRUTOS MENDOZA</t>
        </is>
      </c>
      <c r="G137" s="8" t="inlineStr">
        <is>
          <t>Retención Ingresos Brutos Mendoza</t>
        </is>
      </c>
      <c r="H137" s="8" t="inlineStr">
        <is>
          <t>Retención de Ingresos Brutos</t>
        </is>
      </c>
      <c r="I137" s="9" t="n">
        <v>227.77</v>
      </c>
      <c r="J137" s="9" t="inlineStr"/>
      <c r="K137" s="8" t="inlineStr">
        <is>
          <t>Copiar en Flexxus: Tipo=MB-EXT | Movimiento=INGRESOS BRUTOS MENDOZA | Monto=227,77 | Fecha: 24/04/2026</t>
        </is>
      </c>
    </row>
    <row r="138">
      <c r="A138" s="8" t="inlineStr">
        <is>
          <t>PEND-872896D86CB8-A001</t>
        </is>
      </c>
      <c r="B138" s="8" t="inlineStr">
        <is>
          <t>ABIERTO_NUEVO</t>
        </is>
      </c>
      <c r="C138" s="8" t="inlineStr">
        <is>
          <t>Banco egreso no Flexxus</t>
        </is>
      </c>
      <c r="D138" s="8" t="inlineStr">
        <is>
          <t>24/04/2026</t>
        </is>
      </c>
      <c r="E138" s="8" t="inlineStr">
        <is>
          <t>108562</t>
        </is>
      </c>
      <c r="F138" s="8" t="inlineStr">
        <is>
          <t>GRAVAMEN LEY 25413 S/CRED</t>
        </is>
      </c>
      <c r="G138" s="8" t="inlineStr">
        <is>
          <t>Anticipo Ganancias Ley 25.413 créditos</t>
        </is>
      </c>
      <c r="H138" s="8" t="inlineStr">
        <is>
          <t>Anticipo Impuesto a las Ganancias</t>
        </is>
      </c>
      <c r="I138" s="9" t="n">
        <v>136.66</v>
      </c>
      <c r="J138" s="9" t="inlineStr"/>
      <c r="K138" s="8" t="inlineStr">
        <is>
          <t>Copiar en Flexxus: Tipo=MB-EXT | Movimiento=GRAVAMEN LEY 25.413 S/CRED | Monto=136,66 | Fecha: 24/04/2026</t>
        </is>
      </c>
    </row>
    <row r="139">
      <c r="A139" s="8" t="inlineStr">
        <is>
          <t>PEND-5B64DB14C4FE-A001</t>
        </is>
      </c>
      <c r="B139" s="8" t="inlineStr">
        <is>
          <t>ABIERTO_NUEVO</t>
        </is>
      </c>
      <c r="C139" s="8" t="inlineStr">
        <is>
          <t>Banco egreso no Flexxus</t>
        </is>
      </c>
      <c r="D139" s="8" t="inlineStr">
        <is>
          <t>24/04/2026</t>
        </is>
      </c>
      <c r="E139" s="8" t="inlineStr">
        <is>
          <t>3027923</t>
        </is>
      </c>
      <c r="F139" s="8" t="inlineStr">
        <is>
          <t>INGRESOS BRUTOS MENDOZA</t>
        </is>
      </c>
      <c r="G139" s="8" t="inlineStr">
        <is>
          <t>Retención Ingresos Brutos Mendoza</t>
        </is>
      </c>
      <c r="H139" s="8" t="inlineStr">
        <is>
          <t>Retención de Ingresos Brutos</t>
        </is>
      </c>
      <c r="I139" s="9" t="n">
        <v>331.81</v>
      </c>
      <c r="J139" s="9" t="inlineStr"/>
      <c r="K139" s="8" t="inlineStr">
        <is>
          <t>Copiar en Flexxus: Tipo=MB-EXT | Movimiento=INGRESOS BRUTOS MENDOZA | Monto=331,81 | Fecha: 24/04/2026</t>
        </is>
      </c>
    </row>
    <row r="140">
      <c r="A140" s="8" t="inlineStr">
        <is>
          <t>PEND-37B5CB1B0C35-A001</t>
        </is>
      </c>
      <c r="B140" s="8" t="inlineStr">
        <is>
          <t>ABIERTO_NUEVO</t>
        </is>
      </c>
      <c r="C140" s="8" t="inlineStr">
        <is>
          <t>Banco egreso no Flexxus</t>
        </is>
      </c>
      <c r="D140" s="8" t="inlineStr">
        <is>
          <t>24/04/2026</t>
        </is>
      </c>
      <c r="E140" s="8" t="inlineStr">
        <is>
          <t>3027923</t>
        </is>
      </c>
      <c r="F140" s="8" t="inlineStr">
        <is>
          <t>GRAVAMEN LEY 25413 S/CRED</t>
        </is>
      </c>
      <c r="G140" s="8" t="inlineStr">
        <is>
          <t>Anticipo Ganancias Ley 25.413 créditos</t>
        </is>
      </c>
      <c r="H140" s="8" t="inlineStr">
        <is>
          <t>Anticipo Impuesto a las Ganancias</t>
        </is>
      </c>
      <c r="I140" s="9" t="n">
        <v>199.09</v>
      </c>
      <c r="J140" s="9" t="inlineStr"/>
      <c r="K140" s="8" t="inlineStr">
        <is>
          <t>Copiar en Flexxus: Tipo=MB-EXT | Movimiento=GRAVAMEN LEY 25.413 S/CRED | Monto=199,09 | Fecha: 24/04/2026</t>
        </is>
      </c>
    </row>
    <row r="141">
      <c r="A141" s="8" t="inlineStr">
        <is>
          <t>PEND-D9FC2859B53A-A001</t>
        </is>
      </c>
      <c r="B141" s="8" t="inlineStr">
        <is>
          <t>ABIERTO_NUEVO</t>
        </is>
      </c>
      <c r="C141" s="8" t="inlineStr">
        <is>
          <t>Banco egreso no Flexxus</t>
        </is>
      </c>
      <c r="D141" s="8" t="inlineStr">
        <is>
          <t>24/04/2026</t>
        </is>
      </c>
      <c r="E141" s="8" t="inlineStr">
        <is>
          <t>108560</t>
        </is>
      </c>
      <c r="F141" s="8" t="inlineStr">
        <is>
          <t>INGRESOS BRUTOS MENDOZA</t>
        </is>
      </c>
      <c r="G141" s="8" t="inlineStr">
        <is>
          <t>Retención Ingresos Brutos Mendoza</t>
        </is>
      </c>
      <c r="H141" s="8" t="inlineStr">
        <is>
          <t>Retención de Ingresos Brutos</t>
        </is>
      </c>
      <c r="I141" s="9" t="n">
        <v>281.25</v>
      </c>
      <c r="J141" s="9" t="inlineStr"/>
      <c r="K141" s="8" t="inlineStr">
        <is>
          <t>Copiar en Flexxus: Tipo=MB-EXT | Movimiento=INGRESOS BRUTOS MENDOZA | Monto=281,25 | Fecha: 24/04/2026</t>
        </is>
      </c>
    </row>
    <row r="142">
      <c r="A142" s="8" t="inlineStr">
        <is>
          <t>PEND-0E66CBC5F8DC-A001</t>
        </is>
      </c>
      <c r="B142" s="8" t="inlineStr">
        <is>
          <t>ABIERTO_NUEVO</t>
        </is>
      </c>
      <c r="C142" s="8" t="inlineStr">
        <is>
          <t>Banco egreso no Flexxus</t>
        </is>
      </c>
      <c r="D142" s="8" t="inlineStr">
        <is>
          <t>24/04/2026</t>
        </is>
      </c>
      <c r="E142" s="8" t="inlineStr">
        <is>
          <t>108560</t>
        </is>
      </c>
      <c r="F142" s="8" t="inlineStr">
        <is>
          <t>GRAVAMEN LEY 25413 S/CRED</t>
        </is>
      </c>
      <c r="G142" s="8" t="inlineStr">
        <is>
          <t>Anticipo Ganancias Ley 25.413 créditos</t>
        </is>
      </c>
      <c r="H142" s="8" t="inlineStr">
        <is>
          <t>Anticipo Impuesto a las Ganancias</t>
        </is>
      </c>
      <c r="I142" s="9" t="n">
        <v>168.75</v>
      </c>
      <c r="J142" s="9" t="inlineStr"/>
      <c r="K142" s="8" t="inlineStr">
        <is>
          <t>Copiar en Flexxus: Tipo=MB-EXT | Movimiento=GRAVAMEN LEY 25.413 S/CRED | Monto=168,75 | Fecha: 24/04/2026</t>
        </is>
      </c>
    </row>
    <row r="143">
      <c r="A143" s="8" t="inlineStr">
        <is>
          <t>PEND-B78B8B611146-A001</t>
        </is>
      </c>
      <c r="B143" s="8" t="inlineStr">
        <is>
          <t>ABIERTO_NUEVO</t>
        </is>
      </c>
      <c r="C143" s="8" t="inlineStr">
        <is>
          <t>Banco egreso no Flexxus</t>
        </is>
      </c>
      <c r="D143" s="8" t="inlineStr">
        <is>
          <t>24/04/2026</t>
        </is>
      </c>
      <c r="E143" s="8" t="inlineStr">
        <is>
          <t>108559</t>
        </is>
      </c>
      <c r="F143" s="8" t="inlineStr">
        <is>
          <t>INGRESOS BRUTOS MENDOZA</t>
        </is>
      </c>
      <c r="G143" s="8" t="inlineStr">
        <is>
          <t>Retención Ingresos Brutos Mendoza</t>
        </is>
      </c>
      <c r="H143" s="8" t="inlineStr">
        <is>
          <t>Retención de Ingresos Brutos</t>
        </is>
      </c>
      <c r="I143" s="9" t="n">
        <v>320.86</v>
      </c>
      <c r="J143" s="9" t="inlineStr"/>
      <c r="K143" s="8" t="inlineStr">
        <is>
          <t>Copiar en Flexxus: Tipo=MB-EXT | Movimiento=INGRESOS BRUTOS MENDOZA | Monto=320,86 | Fecha: 24/04/2026</t>
        </is>
      </c>
    </row>
    <row r="144">
      <c r="A144" s="8" t="inlineStr">
        <is>
          <t>PEND-A5BC8D451A49-A001</t>
        </is>
      </c>
      <c r="B144" s="8" t="inlineStr">
        <is>
          <t>ABIERTO_NUEVO</t>
        </is>
      </c>
      <c r="C144" s="8" t="inlineStr">
        <is>
          <t>Banco egreso no Flexxus</t>
        </is>
      </c>
      <c r="D144" s="8" t="inlineStr">
        <is>
          <t>24/04/2026</t>
        </is>
      </c>
      <c r="E144" s="8" t="inlineStr">
        <is>
          <t>108559</t>
        </is>
      </c>
      <c r="F144" s="8" t="inlineStr">
        <is>
          <t>GRAVAMEN LEY 25413 S/CRED</t>
        </is>
      </c>
      <c r="G144" s="8" t="inlineStr">
        <is>
          <t>Anticipo Ganancias Ley 25.413 créditos</t>
        </is>
      </c>
      <c r="H144" s="8" t="inlineStr">
        <is>
          <t>Anticipo Impuesto a las Ganancias</t>
        </is>
      </c>
      <c r="I144" s="9" t="n">
        <v>192.52</v>
      </c>
      <c r="J144" s="9" t="inlineStr"/>
      <c r="K144" s="8" t="inlineStr">
        <is>
          <t>Copiar en Flexxus: Tipo=MB-EXT | Movimiento=GRAVAMEN LEY 25.413 S/CRED | Monto=192,52 | Fecha: 24/04/2026</t>
        </is>
      </c>
    </row>
    <row r="145">
      <c r="A145" s="8" t="inlineStr">
        <is>
          <t>PEND-754E4C8A6ADA-A001</t>
        </is>
      </c>
      <c r="B145" s="8" t="inlineStr">
        <is>
          <t>ABIERTO_NUEVO</t>
        </is>
      </c>
      <c r="C145" s="8" t="inlineStr">
        <is>
          <t>Banco egreso no Flexxus</t>
        </is>
      </c>
      <c r="D145" s="8" t="inlineStr">
        <is>
          <t>24/04/2026</t>
        </is>
      </c>
      <c r="E145" s="8" t="inlineStr">
        <is>
          <t>108558</t>
        </is>
      </c>
      <c r="F145" s="8" t="inlineStr">
        <is>
          <t>GRAVAMEN LEY 25413 S/DEB</t>
        </is>
      </c>
      <c r="G145" s="8" t="inlineStr">
        <is>
          <t>Anticipo Ganancias Ley 25.413 débitos</t>
        </is>
      </c>
      <c r="H145" s="8" t="inlineStr">
        <is>
          <t>Anticipo Impuesto a las Ganancias</t>
        </is>
      </c>
      <c r="I145" s="9" t="n">
        <v>3600</v>
      </c>
      <c r="J145" s="9" t="inlineStr"/>
      <c r="K145" s="8" t="inlineStr">
        <is>
          <t>Copiar en Flexxus: Tipo=MB-EXT | Movimiento=GRAVAMEN LEY 25.413 S/DEB | Monto=3.600,00 | Fecha: 24/04/2026</t>
        </is>
      </c>
    </row>
    <row r="146">
      <c r="A146" s="8" t="inlineStr">
        <is>
          <t>PEND-6451759866E8-A001</t>
        </is>
      </c>
      <c r="B146" s="8" t="inlineStr">
        <is>
          <t>ABIERTO_NUEVO</t>
        </is>
      </c>
      <c r="C146" s="8" t="inlineStr">
        <is>
          <t>Banco egreso no Flexxus</t>
        </is>
      </c>
      <c r="D146" s="8" t="inlineStr">
        <is>
          <t>24/04/2026</t>
        </is>
      </c>
      <c r="E146" s="8" t="inlineStr">
        <is>
          <t>108557</t>
        </is>
      </c>
      <c r="F146" s="8" t="inlineStr">
        <is>
          <t>INGRESOS BRUTOS MENDOZA</t>
        </is>
      </c>
      <c r="G146" s="8" t="inlineStr">
        <is>
          <t>Retención Ingresos Brutos Mendoza</t>
        </is>
      </c>
      <c r="H146" s="8" t="inlineStr">
        <is>
          <t>Retención de Ingresos Brutos</t>
        </is>
      </c>
      <c r="I146" s="9" t="n">
        <v>114.88</v>
      </c>
      <c r="J146" s="9" t="inlineStr"/>
      <c r="K146" s="8" t="inlineStr">
        <is>
          <t>Copiar en Flexxus: Tipo=MB-EXT | Movimiento=INGRESOS BRUTOS MENDOZA | Monto=114,88 | Fecha: 24/04/2026</t>
        </is>
      </c>
    </row>
    <row r="147">
      <c r="A147" s="8" t="inlineStr">
        <is>
          <t>PEND-579E460E91C3-A001</t>
        </is>
      </c>
      <c r="B147" s="8" t="inlineStr">
        <is>
          <t>ABIERTO_NUEVO</t>
        </is>
      </c>
      <c r="C147" s="8" t="inlineStr">
        <is>
          <t>Banco egreso no Flexxus</t>
        </is>
      </c>
      <c r="D147" s="8" t="inlineStr">
        <is>
          <t>24/04/2026</t>
        </is>
      </c>
      <c r="E147" s="8" t="inlineStr">
        <is>
          <t>108557</t>
        </is>
      </c>
      <c r="F147" s="8" t="inlineStr">
        <is>
          <t>GRAVAMEN LEY 25413 S/CRED</t>
        </is>
      </c>
      <c r="G147" s="8" t="inlineStr">
        <is>
          <t>Anticipo Ganancias Ley 25.413 créditos</t>
        </is>
      </c>
      <c r="H147" s="8" t="inlineStr">
        <is>
          <t>Anticipo Impuesto a las Ganancias</t>
        </is>
      </c>
      <c r="I147" s="9" t="n">
        <v>68.93000000000001</v>
      </c>
      <c r="J147" s="9" t="inlineStr"/>
      <c r="K147" s="8" t="inlineStr">
        <is>
          <t>Copiar en Flexxus: Tipo=MB-EXT | Movimiento=GRAVAMEN LEY 25.413 S/CRED | Monto=68,93 | Fecha: 24/04/2026</t>
        </is>
      </c>
    </row>
    <row r="148">
      <c r="A148" s="8" t="inlineStr">
        <is>
          <t>PEND-36BFC61AA2D1-A001</t>
        </is>
      </c>
      <c r="B148" s="8" t="inlineStr">
        <is>
          <t>ABIERTO_NUEVO</t>
        </is>
      </c>
      <c r="C148" s="8" t="inlineStr">
        <is>
          <t>Banco egreso no Flexxus</t>
        </is>
      </c>
      <c r="D148" s="8" t="inlineStr">
        <is>
          <t>24/04/2026</t>
        </is>
      </c>
      <c r="E148" s="8" t="inlineStr">
        <is>
          <t>108608</t>
        </is>
      </c>
      <c r="F148" s="8" t="inlineStr">
        <is>
          <t>I.V.A. BASE</t>
        </is>
      </c>
      <c r="G148" s="8" t="inlineStr">
        <is>
          <t>IVA base / IVA sobre gastos</t>
        </is>
      </c>
      <c r="H148" s="8" t="inlineStr">
        <is>
          <t>IVA crédito fiscal / revisar</t>
        </is>
      </c>
      <c r="I148" s="9" t="n">
        <v>200.76</v>
      </c>
      <c r="J148" s="9" t="inlineStr"/>
      <c r="K148" s="8" t="inlineStr">
        <is>
          <t>Copiar en Flexxus: Tipo=MB-EXT | Movimiento=I.V.A. BASE | Monto=200,76 | Fecha: 24/04/2026</t>
        </is>
      </c>
    </row>
    <row r="149">
      <c r="A149" s="8" t="inlineStr">
        <is>
          <t>PEND-680AD6120699-A001</t>
        </is>
      </c>
      <c r="B149" s="8" t="inlineStr">
        <is>
          <t>ABIERTO_NUEVO</t>
        </is>
      </c>
      <c r="C149" s="8" t="inlineStr">
        <is>
          <t>Banco egreso no Flexxus</t>
        </is>
      </c>
      <c r="D149" s="8" t="inlineStr">
        <is>
          <t>24/04/2026</t>
        </is>
      </c>
      <c r="E149" s="8" t="inlineStr">
        <is>
          <t>25241</t>
        </is>
      </c>
      <c r="F149" s="8" t="inlineStr">
        <is>
          <t>DEBITO PAGO DIRECTO</t>
        </is>
      </c>
      <c r="G149" s="8" t="inlineStr">
        <is>
          <t>Débito pago directo</t>
        </is>
      </c>
      <c r="H149" s="8" t="inlineStr">
        <is>
          <t>Revisar según concepto</t>
        </is>
      </c>
      <c r="I149" s="9" t="n">
        <v>1734593.38</v>
      </c>
      <c r="J149" s="9" t="inlineStr"/>
      <c r="K149" s="8" t="inlineStr">
        <is>
          <t>Copiar en Flexxus: Tipo=MB-EXT | Movimiento=DEBITO PAGO DIRECTO | Monto=1.734.593,38 | Fecha: 24/04/2026</t>
        </is>
      </c>
    </row>
    <row r="150">
      <c r="A150" s="8" t="inlineStr">
        <is>
          <t>PEND-18C7233D4E1D-A001</t>
        </is>
      </c>
      <c r="B150" s="8" t="inlineStr">
        <is>
          <t>ABIERTO_NUEVO</t>
        </is>
      </c>
      <c r="C150" s="8" t="inlineStr">
        <is>
          <t>Banco egreso no Flexxus</t>
        </is>
      </c>
      <c r="D150" s="8" t="inlineStr">
        <is>
          <t>24/04/2026</t>
        </is>
      </c>
      <c r="E150" s="8" t="inlineStr">
        <is>
          <t>108606</t>
        </is>
      </c>
      <c r="F150" s="8" t="inlineStr">
        <is>
          <t>COM TRANSFE ELECTRONICA</t>
        </is>
      </c>
      <c r="G150" s="8" t="inlineStr">
        <is>
          <t>Gasto bancario / comisión</t>
        </is>
      </c>
      <c r="H150" s="8" t="inlineStr">
        <is>
          <t>Revisar según concepto</t>
        </is>
      </c>
      <c r="I150" s="9" t="n">
        <v>956</v>
      </c>
      <c r="J150" s="9" t="inlineStr"/>
      <c r="K150" s="8" t="inlineStr">
        <is>
          <t>Copiar en Flexxus: Tipo=MB-EXT | Movimiento=COM TRANSFE ELECTRONICA | Monto=956,00 | Fecha: 24/04/2026</t>
        </is>
      </c>
    </row>
    <row r="151">
      <c r="A151" s="8" t="inlineStr">
        <is>
          <t>PEND-8EC97B1A59A0-A001</t>
        </is>
      </c>
      <c r="B151" s="8" t="inlineStr">
        <is>
          <t>ABIERTO_NUEVO</t>
        </is>
      </c>
      <c r="C151" s="8" t="inlineStr">
        <is>
          <t>Banco egreso no Flexxus</t>
        </is>
      </c>
      <c r="D151" s="8" t="inlineStr">
        <is>
          <t>24/04/2026</t>
        </is>
      </c>
      <c r="E151" s="8" t="inlineStr">
        <is>
          <t>32032899</t>
        </is>
      </c>
      <c r="F151" s="8" t="inlineStr">
        <is>
          <t>DEB LIQ MASTERCARD 24H</t>
        </is>
      </c>
      <c r="G151" s="8" t="inlineStr">
        <is>
          <t>Débito liquidación tarjeta</t>
        </is>
      </c>
      <c r="H151" s="8" t="inlineStr">
        <is>
          <t>Revisar según concepto</t>
        </is>
      </c>
      <c r="I151" s="9" t="n">
        <v>79.8</v>
      </c>
      <c r="J151" s="9" t="inlineStr"/>
      <c r="K151" s="8" t="inlineStr">
        <is>
          <t>Copiar en Flexxus: Tipo=MB-EXT | Movimiento=DEB LIQ MASTERCARD 24H | Monto=79,80 | Fecha: 24/04/2026</t>
        </is>
      </c>
    </row>
    <row r="152">
      <c r="A152" s="8" t="inlineStr">
        <is>
          <t>PEND-A42FA4C74B4A-A001</t>
        </is>
      </c>
      <c r="B152" s="8" t="inlineStr">
        <is>
          <t>ABIERTO_NUEVO</t>
        </is>
      </c>
      <c r="C152" s="8" t="inlineStr">
        <is>
          <t>Banco egreso no Flexxus</t>
        </is>
      </c>
      <c r="D152" s="8" t="inlineStr">
        <is>
          <t>23/04/2026</t>
        </is>
      </c>
      <c r="E152" s="8" t="inlineStr">
        <is>
          <t>108426</t>
        </is>
      </c>
      <c r="F152" s="8" t="inlineStr">
        <is>
          <t>GRAVAMEN LEY 25413 S/DEB</t>
        </is>
      </c>
      <c r="G152" s="8" t="inlineStr">
        <is>
          <t>Anticipo Ganancias Ley 25.413 débitos</t>
        </is>
      </c>
      <c r="H152" s="8" t="inlineStr">
        <is>
          <t>Anticipo Impuesto a las Ganancias</t>
        </is>
      </c>
      <c r="I152" s="9" t="n">
        <v>4.43</v>
      </c>
      <c r="J152" s="9" t="inlineStr"/>
      <c r="K152" s="8" t="inlineStr">
        <is>
          <t>Copiar en Flexxus: Tipo=MB-EXT | Movimiento=GRAVAMEN LEY 25.413 S/DEB | Monto=4,43 | Fecha: 23/04/2026</t>
        </is>
      </c>
    </row>
    <row r="153">
      <c r="A153" s="8" t="inlineStr">
        <is>
          <t>PEND-1357D4196AA2-A001</t>
        </is>
      </c>
      <c r="B153" s="8" t="inlineStr">
        <is>
          <t>ABIERTO_NUEVO</t>
        </is>
      </c>
      <c r="C153" s="8" t="inlineStr">
        <is>
          <t>Banco egreso no Flexxus</t>
        </is>
      </c>
      <c r="D153" s="8" t="inlineStr">
        <is>
          <t>23/04/2026</t>
        </is>
      </c>
      <c r="E153" s="8" t="inlineStr">
        <is>
          <t>108425</t>
        </is>
      </c>
      <c r="F153" s="8" t="inlineStr">
        <is>
          <t>GRAVAMEN LEY 25413 S/DEB</t>
        </is>
      </c>
      <c r="G153" s="8" t="inlineStr">
        <is>
          <t>Anticipo Ganancias Ley 25.413 débitos</t>
        </is>
      </c>
      <c r="H153" s="8" t="inlineStr">
        <is>
          <t>Anticipo Impuesto a las Ganancias</t>
        </is>
      </c>
      <c r="I153" s="9" t="n">
        <v>0.53</v>
      </c>
      <c r="J153" s="9" t="inlineStr"/>
      <c r="K153" s="8" t="inlineStr">
        <is>
          <t>Copiar en Flexxus: Tipo=MB-EXT | Movimiento=GRAVAMEN LEY 25.413 S/DEB | Monto=0,53 | Fecha: 23/04/2026</t>
        </is>
      </c>
    </row>
    <row r="154">
      <c r="A154" s="8" t="inlineStr">
        <is>
          <t>PEND-C49DA0BE35F8-A001</t>
        </is>
      </c>
      <c r="B154" s="8" t="inlineStr">
        <is>
          <t>ABIERTO_NUEVO</t>
        </is>
      </c>
      <c r="C154" s="8" t="inlineStr">
        <is>
          <t>Banco egreso no Flexxus</t>
        </is>
      </c>
      <c r="D154" s="8" t="inlineStr">
        <is>
          <t>23/04/2026</t>
        </is>
      </c>
      <c r="E154" s="8" t="inlineStr">
        <is>
          <t>108423</t>
        </is>
      </c>
      <c r="F154" s="8" t="inlineStr">
        <is>
          <t>GRAVAMEN LEY 25413 S/DEB</t>
        </is>
      </c>
      <c r="G154" s="8" t="inlineStr">
        <is>
          <t>Anticipo Ganancias Ley 25.413 débitos</t>
        </is>
      </c>
      <c r="H154" s="8" t="inlineStr">
        <is>
          <t>Anticipo Impuesto a las Ganancias</t>
        </is>
      </c>
      <c r="I154" s="9" t="n">
        <v>0.68</v>
      </c>
      <c r="J154" s="9" t="inlineStr"/>
      <c r="K154" s="8" t="inlineStr">
        <is>
          <t>Copiar en Flexxus: Tipo=MB-EXT | Movimiento=GRAVAMEN LEY 25.413 S/DEB | Monto=0,68 | Fecha: 23/04/2026</t>
        </is>
      </c>
    </row>
    <row r="155">
      <c r="A155" s="8" t="inlineStr">
        <is>
          <t>PEND-CAABD18451C3-A001</t>
        </is>
      </c>
      <c r="B155" s="8" t="inlineStr">
        <is>
          <t>ABIERTO_NUEVO</t>
        </is>
      </c>
      <c r="C155" s="8" t="inlineStr">
        <is>
          <t>Banco egreso no Flexxus</t>
        </is>
      </c>
      <c r="D155" s="8" t="inlineStr">
        <is>
          <t>23/04/2026</t>
        </is>
      </c>
      <c r="E155" s="8" t="inlineStr">
        <is>
          <t>108422</t>
        </is>
      </c>
      <c r="F155" s="8" t="inlineStr">
        <is>
          <t>GRAVAMEN LEY 25413 S/DEB</t>
        </is>
      </c>
      <c r="G155" s="8" t="inlineStr">
        <is>
          <t>Anticipo Ganancias Ley 25.413 débitos</t>
        </is>
      </c>
      <c r="H155" s="8" t="inlineStr">
        <is>
          <t>Anticipo Impuesto a las Ganancias</t>
        </is>
      </c>
      <c r="I155" s="9" t="n">
        <v>2.97</v>
      </c>
      <c r="J155" s="9" t="inlineStr"/>
      <c r="K155" s="8" t="inlineStr">
        <is>
          <t>Copiar en Flexxus: Tipo=MB-EXT | Movimiento=GRAVAMEN LEY 25.413 S/DEB | Monto=2,97 | Fecha: 23/04/2026</t>
        </is>
      </c>
    </row>
    <row r="156">
      <c r="A156" s="8" t="inlineStr">
        <is>
          <t>PEND-78D51C328F13-A001</t>
        </is>
      </c>
      <c r="B156" s="8" t="inlineStr">
        <is>
          <t>ABIERTO_NUEVO</t>
        </is>
      </c>
      <c r="C156" s="8" t="inlineStr">
        <is>
          <t>Banco egreso no Flexxus</t>
        </is>
      </c>
      <c r="D156" s="8" t="inlineStr">
        <is>
          <t>23/04/2026</t>
        </is>
      </c>
      <c r="E156" s="8" t="inlineStr">
        <is>
          <t>108421</t>
        </is>
      </c>
      <c r="F156" s="8" t="inlineStr">
        <is>
          <t>GRAVAMEN LEY 25413 S/DEB</t>
        </is>
      </c>
      <c r="G156" s="8" t="inlineStr">
        <is>
          <t>Anticipo Ganancias Ley 25.413 débitos</t>
        </is>
      </c>
      <c r="H156" s="8" t="inlineStr">
        <is>
          <t>Anticipo Impuesto a las Ganancias</t>
        </is>
      </c>
      <c r="I156" s="9" t="n">
        <v>3.78</v>
      </c>
      <c r="J156" s="9" t="inlineStr"/>
      <c r="K156" s="8" t="inlineStr">
        <is>
          <t>Copiar en Flexxus: Tipo=MB-EXT | Movimiento=GRAVAMEN LEY 25.413 S/DEB | Monto=3,78 | Fecha: 23/04/2026</t>
        </is>
      </c>
    </row>
    <row r="157">
      <c r="A157" s="8" t="inlineStr">
        <is>
          <t>PEND-3778A0D08735-A001</t>
        </is>
      </c>
      <c r="B157" s="8" t="inlineStr">
        <is>
          <t>ABIERTO_NUEVO</t>
        </is>
      </c>
      <c r="C157" s="8" t="inlineStr">
        <is>
          <t>Banco egreso no Flexxus</t>
        </is>
      </c>
      <c r="D157" s="8" t="inlineStr">
        <is>
          <t>23/04/2026</t>
        </is>
      </c>
      <c r="E157" s="8" t="inlineStr">
        <is>
          <t>32032899</t>
        </is>
      </c>
      <c r="F157" s="8" t="inlineStr">
        <is>
          <t>GRAVAMEN LEY 25413 S/DEB</t>
        </is>
      </c>
      <c r="G157" s="8" t="inlineStr">
        <is>
          <t>Anticipo Ganancias Ley 25.413 débitos</t>
        </is>
      </c>
      <c r="H157" s="8" t="inlineStr">
        <is>
          <t>Anticipo Impuesto a las Ganancias</t>
        </is>
      </c>
      <c r="I157" s="9" t="n">
        <v>1.07</v>
      </c>
      <c r="J157" s="9" t="inlineStr"/>
      <c r="K157" s="8" t="inlineStr">
        <is>
          <t>Copiar en Flexxus: Tipo=MB-EXT | Movimiento=GRAVAMEN LEY 25.413 S/DEB | Monto=1,07 | Fecha: 23/04/2026</t>
        </is>
      </c>
    </row>
    <row r="158">
      <c r="A158" s="8" t="inlineStr">
        <is>
          <t>PEND-79FE6ACB1DE1-A001</t>
        </is>
      </c>
      <c r="B158" s="8" t="inlineStr">
        <is>
          <t>ABIERTO_NUEVO</t>
        </is>
      </c>
      <c r="C158" s="8" t="inlineStr">
        <is>
          <t>Banco egreso no Flexxus</t>
        </is>
      </c>
      <c r="D158" s="8" t="inlineStr">
        <is>
          <t>23/04/2026</t>
        </is>
      </c>
      <c r="E158" s="8" t="inlineStr">
        <is>
          <t>31995644</t>
        </is>
      </c>
      <c r="F158" s="8" t="inlineStr">
        <is>
          <t>GRAVAMEN LEY 25413 S/DEB</t>
        </is>
      </c>
      <c r="G158" s="8" t="inlineStr">
        <is>
          <t>Anticipo Ganancias Ley 25.413 débitos</t>
        </is>
      </c>
      <c r="H158" s="8" t="inlineStr">
        <is>
          <t>Anticipo Impuesto a las Ganancias</t>
        </is>
      </c>
      <c r="I158" s="9" t="n">
        <v>17.29</v>
      </c>
      <c r="J158" s="9" t="inlineStr"/>
      <c r="K158" s="8" t="inlineStr">
        <is>
          <t>Copiar en Flexxus: Tipo=MB-EXT | Movimiento=GRAVAMEN LEY 25.413 S/DEB | Monto=17,29 | Fecha: 23/04/2026</t>
        </is>
      </c>
    </row>
    <row r="159">
      <c r="A159" s="8" t="inlineStr">
        <is>
          <t>PEND-10C03F130487-A001</t>
        </is>
      </c>
      <c r="B159" s="8" t="inlineStr">
        <is>
          <t>ABIERTO_NUEVO</t>
        </is>
      </c>
      <c r="C159" s="8" t="inlineStr">
        <is>
          <t>Banco egreso no Flexxus</t>
        </is>
      </c>
      <c r="D159" s="8" t="inlineStr">
        <is>
          <t>23/04/2026</t>
        </is>
      </c>
      <c r="E159" s="8" t="inlineStr">
        <is>
          <t>29841705</t>
        </is>
      </c>
      <c r="F159" s="8" t="inlineStr">
        <is>
          <t>GRAVAMEN LEY 25413 S/DEB</t>
        </is>
      </c>
      <c r="G159" s="8" t="inlineStr">
        <is>
          <t>Anticipo Ganancias Ley 25.413 débitos</t>
        </is>
      </c>
      <c r="H159" s="8" t="inlineStr">
        <is>
          <t>Anticipo Impuesto a las Ganancias</t>
        </is>
      </c>
      <c r="I159" s="9" t="n">
        <v>2.42</v>
      </c>
      <c r="J159" s="9" t="inlineStr"/>
      <c r="K159" s="8" t="inlineStr">
        <is>
          <t>Copiar en Flexxus: Tipo=MB-EXT | Movimiento=GRAVAMEN LEY 25.413 S/DEB | Monto=2,42 | Fecha: 23/04/2026</t>
        </is>
      </c>
    </row>
    <row r="160">
      <c r="A160" s="8" t="inlineStr">
        <is>
          <t>PEND-88A4B651B502-A001</t>
        </is>
      </c>
      <c r="B160" s="8" t="inlineStr">
        <is>
          <t>ABIERTO_NUEVO</t>
        </is>
      </c>
      <c r="C160" s="8" t="inlineStr">
        <is>
          <t>Banco egreso no Flexxus</t>
        </is>
      </c>
      <c r="D160" s="8" t="inlineStr">
        <is>
          <t>23/04/2026</t>
        </is>
      </c>
      <c r="E160" s="8" t="inlineStr">
        <is>
          <t>29841683</t>
        </is>
      </c>
      <c r="F160" s="8" t="inlineStr">
        <is>
          <t>GRAVAMEN LEY 25413 S/DEB</t>
        </is>
      </c>
      <c r="G160" s="8" t="inlineStr">
        <is>
          <t>Anticipo Ganancias Ley 25.413 débitos</t>
        </is>
      </c>
      <c r="H160" s="8" t="inlineStr">
        <is>
          <t>Anticipo Impuesto a las Ganancias</t>
        </is>
      </c>
      <c r="I160" s="9" t="n">
        <v>2.01</v>
      </c>
      <c r="J160" s="9" t="inlineStr"/>
      <c r="K160" s="8" t="inlineStr">
        <is>
          <t>Copiar en Flexxus: Tipo=MB-EXT | Movimiento=GRAVAMEN LEY 25.413 S/DEB | Monto=2,01 | Fecha: 23/04/2026</t>
        </is>
      </c>
    </row>
    <row r="161">
      <c r="A161" s="8" t="inlineStr">
        <is>
          <t>PEND-5EDC2DC1772A-A001</t>
        </is>
      </c>
      <c r="B161" s="8" t="inlineStr">
        <is>
          <t>ABIERTO_NUEVO</t>
        </is>
      </c>
      <c r="C161" s="8" t="inlineStr">
        <is>
          <t>Banco egreso no Flexxus</t>
        </is>
      </c>
      <c r="D161" s="8" t="inlineStr">
        <is>
          <t>23/04/2026</t>
        </is>
      </c>
      <c r="E161" s="8" t="inlineStr">
        <is>
          <t>29841670</t>
        </is>
      </c>
      <c r="F161" s="8" t="inlineStr">
        <is>
          <t>GRAVAMEN LEY 25413 S/DEB</t>
        </is>
      </c>
      <c r="G161" s="8" t="inlineStr">
        <is>
          <t>Anticipo Ganancias Ley 25.413 débitos</t>
        </is>
      </c>
      <c r="H161" s="8" t="inlineStr">
        <is>
          <t>Anticipo Impuesto a las Ganancias</t>
        </is>
      </c>
      <c r="I161" s="9" t="n">
        <v>1.48</v>
      </c>
      <c r="J161" s="9" t="inlineStr"/>
      <c r="K161" s="8" t="inlineStr">
        <is>
          <t>Copiar en Flexxus: Tipo=MB-EXT | Movimiento=GRAVAMEN LEY 25.413 S/DEB | Monto=1,48 | Fecha: 23/04/2026</t>
        </is>
      </c>
    </row>
    <row r="162">
      <c r="A162" s="8" t="inlineStr">
        <is>
          <t>PEND-FEB72A4C577B-A001</t>
        </is>
      </c>
      <c r="B162" s="8" t="inlineStr">
        <is>
          <t>ABIERTO_NUEVO</t>
        </is>
      </c>
      <c r="C162" s="8" t="inlineStr">
        <is>
          <t>Banco egreso no Flexxus</t>
        </is>
      </c>
      <c r="D162" s="8" t="inlineStr">
        <is>
          <t>23/04/2026</t>
        </is>
      </c>
      <c r="E162" s="8" t="inlineStr">
        <is>
          <t>29841642</t>
        </is>
      </c>
      <c r="F162" s="8" t="inlineStr">
        <is>
          <t>GRAVAMEN LEY 25413 S/DEB</t>
        </is>
      </c>
      <c r="G162" s="8" t="inlineStr">
        <is>
          <t>Anticipo Ganancias Ley 25.413 débitos</t>
        </is>
      </c>
      <c r="H162" s="8" t="inlineStr">
        <is>
          <t>Anticipo Impuesto a las Ganancias</t>
        </is>
      </c>
      <c r="I162" s="9" t="n">
        <v>4.97</v>
      </c>
      <c r="J162" s="9" t="inlineStr"/>
      <c r="K162" s="8" t="inlineStr">
        <is>
          <t>Copiar en Flexxus: Tipo=MB-EXT | Movimiento=GRAVAMEN LEY 25.413 S/DEB | Monto=4,97 | Fecha: 23/04/2026</t>
        </is>
      </c>
    </row>
    <row r="163">
      <c r="A163" s="8" t="inlineStr">
        <is>
          <t>PEND-FF2B1719274B-A001</t>
        </is>
      </c>
      <c r="B163" s="8" t="inlineStr">
        <is>
          <t>ABIERTO_NUEVO</t>
        </is>
      </c>
      <c r="C163" s="8" t="inlineStr">
        <is>
          <t>Banco egreso no Flexxus</t>
        </is>
      </c>
      <c r="D163" s="8" t="inlineStr">
        <is>
          <t>23/04/2026</t>
        </is>
      </c>
      <c r="E163" s="8" t="inlineStr">
        <is>
          <t>29841627</t>
        </is>
      </c>
      <c r="F163" s="8" t="inlineStr">
        <is>
          <t>GRAVAMEN LEY 25413 S/DEB</t>
        </is>
      </c>
      <c r="G163" s="8" t="inlineStr">
        <is>
          <t>Anticipo Ganancias Ley 25.413 débitos</t>
        </is>
      </c>
      <c r="H163" s="8" t="inlineStr">
        <is>
          <t>Anticipo Impuesto a las Ganancias</t>
        </is>
      </c>
      <c r="I163" s="9" t="n">
        <v>2.73</v>
      </c>
      <c r="J163" s="9" t="inlineStr"/>
      <c r="K163" s="8" t="inlineStr">
        <is>
          <t>Copiar en Flexxus: Tipo=MB-EXT | Movimiento=GRAVAMEN LEY 25.413 S/DEB | Monto=2,73 | Fecha: 23/04/2026</t>
        </is>
      </c>
    </row>
    <row r="164">
      <c r="A164" s="8" t="inlineStr">
        <is>
          <t>PEND-0AFCA19F61DD-A001</t>
        </is>
      </c>
      <c r="B164" s="8" t="inlineStr">
        <is>
          <t>ABIERTO_NUEVO</t>
        </is>
      </c>
      <c r="C164" s="8" t="inlineStr">
        <is>
          <t>Banco egreso no Flexxus</t>
        </is>
      </c>
      <c r="D164" s="8" t="inlineStr">
        <is>
          <t>23/04/2026</t>
        </is>
      </c>
      <c r="E164" s="8" t="inlineStr">
        <is>
          <t>31995644</t>
        </is>
      </c>
      <c r="F164" s="8" t="inlineStr">
        <is>
          <t>GRAVAMEN LEY 25413 S/DEB</t>
        </is>
      </c>
      <c r="G164" s="8" t="inlineStr">
        <is>
          <t>Anticipo Ganancias Ley 25.413 débitos</t>
        </is>
      </c>
      <c r="H164" s="8" t="inlineStr">
        <is>
          <t>Anticipo Impuesto a las Ganancias</t>
        </is>
      </c>
      <c r="I164" s="9" t="n">
        <v>2.86</v>
      </c>
      <c r="J164" s="9" t="inlineStr"/>
      <c r="K164" s="8" t="inlineStr">
        <is>
          <t>Copiar en Flexxus: Tipo=MB-EXT | Movimiento=GRAVAMEN LEY 25.413 S/DEB | Monto=2,86 | Fecha: 23/04/2026</t>
        </is>
      </c>
    </row>
    <row r="165">
      <c r="A165" s="8" t="inlineStr">
        <is>
          <t>PEND-BB1B3298F175-A001</t>
        </is>
      </c>
      <c r="B165" s="8" t="inlineStr">
        <is>
          <t>ABIERTO_NUEVO</t>
        </is>
      </c>
      <c r="C165" s="8" t="inlineStr">
        <is>
          <t>Banco egreso no Flexxus</t>
        </is>
      </c>
      <c r="D165" s="8" t="inlineStr">
        <is>
          <t>23/04/2026</t>
        </is>
      </c>
      <c r="E165" s="8" t="inlineStr">
        <is>
          <t>108412</t>
        </is>
      </c>
      <c r="F165" s="8" t="inlineStr">
        <is>
          <t>GRAVAMEN LEY 25413 S/DEB</t>
        </is>
      </c>
      <c r="G165" s="8" t="inlineStr">
        <is>
          <t>Anticipo Ganancias Ley 25.413 débitos</t>
        </is>
      </c>
      <c r="H165" s="8" t="inlineStr">
        <is>
          <t>Anticipo Impuesto a las Ganancias</t>
        </is>
      </c>
      <c r="I165" s="9" t="n">
        <v>0.89</v>
      </c>
      <c r="J165" s="9" t="inlineStr"/>
      <c r="K165" s="8" t="inlineStr">
        <is>
          <t>Copiar en Flexxus: Tipo=MB-EXT | Movimiento=GRAVAMEN LEY 25.413 S/DEB | Monto=0,89 | Fecha: 23/04/2026</t>
        </is>
      </c>
    </row>
    <row r="166">
      <c r="A166" s="8" t="inlineStr">
        <is>
          <t>PEND-60101F91AA09-A001</t>
        </is>
      </c>
      <c r="B166" s="8" t="inlineStr">
        <is>
          <t>ABIERTO_NUEVO</t>
        </is>
      </c>
      <c r="C166" s="8" t="inlineStr">
        <is>
          <t>Banco egreso no Flexxus</t>
        </is>
      </c>
      <c r="D166" s="8" t="inlineStr">
        <is>
          <t>23/04/2026</t>
        </is>
      </c>
      <c r="E166" s="8" t="inlineStr">
        <is>
          <t>29841705</t>
        </is>
      </c>
      <c r="F166" s="8" t="inlineStr">
        <is>
          <t>GRAVAMEN LEY 25413 S/DEB</t>
        </is>
      </c>
      <c r="G166" s="8" t="inlineStr">
        <is>
          <t>Anticipo Ganancias Ley 25.413 débitos</t>
        </is>
      </c>
      <c r="H166" s="8" t="inlineStr">
        <is>
          <t>Anticipo Impuesto a las Ganancias</t>
        </is>
      </c>
      <c r="I166" s="9" t="n">
        <v>2.8</v>
      </c>
      <c r="J166" s="9" t="inlineStr"/>
      <c r="K166" s="8" t="inlineStr">
        <is>
          <t>Copiar en Flexxus: Tipo=MB-EXT | Movimiento=GRAVAMEN LEY 25.413 S/DEB | Monto=2,80 | Fecha: 23/04/2026</t>
        </is>
      </c>
    </row>
    <row r="167">
      <c r="A167" s="8" t="inlineStr">
        <is>
          <t>PEND-BF782C367C67-A001</t>
        </is>
      </c>
      <c r="B167" s="8" t="inlineStr">
        <is>
          <t>ABIERTO_NUEVO</t>
        </is>
      </c>
      <c r="C167" s="8" t="inlineStr">
        <is>
          <t>Banco egreso no Flexxus</t>
        </is>
      </c>
      <c r="D167" s="8" t="inlineStr">
        <is>
          <t>23/04/2026</t>
        </is>
      </c>
      <c r="E167" s="8" t="inlineStr">
        <is>
          <t>29841670</t>
        </is>
      </c>
      <c r="F167" s="8" t="inlineStr">
        <is>
          <t>GRAVAMEN LEY 25413 S/DEB</t>
        </is>
      </c>
      <c r="G167" s="8" t="inlineStr">
        <is>
          <t>Anticipo Ganancias Ley 25.413 débitos</t>
        </is>
      </c>
      <c r="H167" s="8" t="inlineStr">
        <is>
          <t>Anticipo Impuesto a las Ganancias</t>
        </is>
      </c>
      <c r="I167" s="9" t="n">
        <v>1.81</v>
      </c>
      <c r="J167" s="9" t="inlineStr"/>
      <c r="K167" s="8" t="inlineStr">
        <is>
          <t>Copiar en Flexxus: Tipo=MB-EXT | Movimiento=GRAVAMEN LEY 25.413 S/DEB | Monto=1,81 | Fecha: 23/04/2026</t>
        </is>
      </c>
    </row>
    <row r="168">
      <c r="A168" s="8" t="inlineStr">
        <is>
          <t>PEND-5E3753D7443A-A001</t>
        </is>
      </c>
      <c r="B168" s="8" t="inlineStr">
        <is>
          <t>ABIERTO_NUEVO</t>
        </is>
      </c>
      <c r="C168" s="8" t="inlineStr">
        <is>
          <t>Banco egreso no Flexxus</t>
        </is>
      </c>
      <c r="D168" s="8" t="inlineStr">
        <is>
          <t>23/04/2026</t>
        </is>
      </c>
      <c r="E168" s="8" t="inlineStr">
        <is>
          <t>29841627</t>
        </is>
      </c>
      <c r="F168" s="8" t="inlineStr">
        <is>
          <t>GRAVAMEN LEY 25413 S/DEB</t>
        </is>
      </c>
      <c r="G168" s="8" t="inlineStr">
        <is>
          <t>Anticipo Ganancias Ley 25.413 débitos</t>
        </is>
      </c>
      <c r="H168" s="8" t="inlineStr">
        <is>
          <t>Anticipo Impuesto a las Ganancias</t>
        </is>
      </c>
      <c r="I168" s="9" t="n">
        <v>1.36</v>
      </c>
      <c r="J168" s="9" t="inlineStr"/>
      <c r="K168" s="8" t="inlineStr">
        <is>
          <t>Copiar en Flexxus: Tipo=MB-EXT | Movimiento=GRAVAMEN LEY 25.413 S/DEB | Monto=1,36 | Fecha: 23/04/2026</t>
        </is>
      </c>
    </row>
    <row r="169">
      <c r="A169" s="8" t="inlineStr">
        <is>
          <t>PEND-85A1E8816F82-A001</t>
        </is>
      </c>
      <c r="B169" s="8" t="inlineStr">
        <is>
          <t>ABIERTO_NUEVO</t>
        </is>
      </c>
      <c r="C169" s="8" t="inlineStr">
        <is>
          <t>Banco egreso no Flexxus</t>
        </is>
      </c>
      <c r="D169" s="8" t="inlineStr">
        <is>
          <t>23/04/2026</t>
        </is>
      </c>
      <c r="E169" s="8" t="inlineStr">
        <is>
          <t>32032899</t>
        </is>
      </c>
      <c r="F169" s="8" t="inlineStr">
        <is>
          <t>GRAVAMEN LEY 25413 S/DEB</t>
        </is>
      </c>
      <c r="G169" s="8" t="inlineStr">
        <is>
          <t>Anticipo Ganancias Ley 25.413 débitos</t>
        </is>
      </c>
      <c r="H169" s="8" t="inlineStr">
        <is>
          <t>Anticipo Impuesto a las Ganancias</t>
        </is>
      </c>
      <c r="I169" s="9" t="n">
        <v>149.63</v>
      </c>
      <c r="J169" s="9" t="inlineStr"/>
      <c r="K169" s="8" t="inlineStr">
        <is>
          <t>Copiar en Flexxus: Tipo=MB-EXT | Movimiento=GRAVAMEN LEY 25.413 S/DEB | Monto=149,63 | Fecha: 23/04/2026</t>
        </is>
      </c>
    </row>
    <row r="170">
      <c r="A170" s="8" t="inlineStr">
        <is>
          <t>PEND-25768D3D8A94-A001</t>
        </is>
      </c>
      <c r="B170" s="8" t="inlineStr">
        <is>
          <t>ABIERTO_NUEVO</t>
        </is>
      </c>
      <c r="C170" s="8" t="inlineStr">
        <is>
          <t>Banco egreso no Flexxus</t>
        </is>
      </c>
      <c r="D170" s="8" t="inlineStr">
        <is>
          <t>23/04/2026</t>
        </is>
      </c>
      <c r="E170" s="8" t="inlineStr">
        <is>
          <t>32032899</t>
        </is>
      </c>
      <c r="F170" s="8" t="inlineStr">
        <is>
          <t>GRAVAMEN LEY 25413 S/DEB</t>
        </is>
      </c>
      <c r="G170" s="8" t="inlineStr">
        <is>
          <t>Anticipo Ganancias Ley 25.413 débitos</t>
        </is>
      </c>
      <c r="H170" s="8" t="inlineStr">
        <is>
          <t>Anticipo Impuesto a las Ganancias</t>
        </is>
      </c>
      <c r="I170" s="9" t="n">
        <v>17.38</v>
      </c>
      <c r="J170" s="9" t="inlineStr"/>
      <c r="K170" s="8" t="inlineStr">
        <is>
          <t>Copiar en Flexxus: Tipo=MB-EXT | Movimiento=GRAVAMEN LEY 25.413 S/DEB | Monto=17,38 | Fecha: 23/04/2026</t>
        </is>
      </c>
    </row>
    <row r="171">
      <c r="A171" s="8" t="inlineStr">
        <is>
          <t>PEND-9D74A8A1275D-A001</t>
        </is>
      </c>
      <c r="B171" s="8" t="inlineStr">
        <is>
          <t>ABIERTO_NUEVO</t>
        </is>
      </c>
      <c r="C171" s="8" t="inlineStr">
        <is>
          <t>Banco egreso no Flexxus</t>
        </is>
      </c>
      <c r="D171" s="8" t="inlineStr">
        <is>
          <t>23/04/2026</t>
        </is>
      </c>
      <c r="E171" s="8" t="inlineStr">
        <is>
          <t>31995644</t>
        </is>
      </c>
      <c r="F171" s="8" t="inlineStr">
        <is>
          <t>GRAVAMEN LEY 25413 S/DEB</t>
        </is>
      </c>
      <c r="G171" s="8" t="inlineStr">
        <is>
          <t>Anticipo Ganancias Ley 25.413 débitos</t>
        </is>
      </c>
      <c r="H171" s="8" t="inlineStr">
        <is>
          <t>Anticipo Impuesto a las Ganancias</t>
        </is>
      </c>
      <c r="I171" s="9" t="n">
        <v>132.92</v>
      </c>
      <c r="J171" s="9" t="inlineStr"/>
      <c r="K171" s="8" t="inlineStr">
        <is>
          <t>Copiar en Flexxus: Tipo=MB-EXT | Movimiento=GRAVAMEN LEY 25.413 S/DEB | Monto=132,92 | Fecha: 23/04/2026</t>
        </is>
      </c>
    </row>
    <row r="172">
      <c r="A172" s="8" t="inlineStr">
        <is>
          <t>PEND-ABDBA00A05FB-A001</t>
        </is>
      </c>
      <c r="B172" s="8" t="inlineStr">
        <is>
          <t>ABIERTO_NUEVO</t>
        </is>
      </c>
      <c r="C172" s="8" t="inlineStr">
        <is>
          <t>Banco egreso no Flexxus</t>
        </is>
      </c>
      <c r="D172" s="8" t="inlineStr">
        <is>
          <t>23/04/2026</t>
        </is>
      </c>
      <c r="E172" s="8" t="inlineStr">
        <is>
          <t>31995644</t>
        </is>
      </c>
      <c r="F172" s="8" t="inlineStr">
        <is>
          <t>GRAVAMEN LEY 25413 S/DEB</t>
        </is>
      </c>
      <c r="G172" s="8" t="inlineStr">
        <is>
          <t>Anticipo Ganancias Ley 25.413 débitos</t>
        </is>
      </c>
      <c r="H172" s="8" t="inlineStr">
        <is>
          <t>Anticipo Impuesto a las Ganancias</t>
        </is>
      </c>
      <c r="I172" s="9" t="n">
        <v>4.31</v>
      </c>
      <c r="J172" s="9" t="inlineStr"/>
      <c r="K172" s="8" t="inlineStr">
        <is>
          <t>Copiar en Flexxus: Tipo=MB-EXT | Movimiento=GRAVAMEN LEY 25.413 S/DEB | Monto=4,31 | Fecha: 23/04/2026</t>
        </is>
      </c>
    </row>
    <row r="173">
      <c r="A173" s="8" t="inlineStr">
        <is>
          <t>PEND-4065F1EF5CDE-A001</t>
        </is>
      </c>
      <c r="B173" s="8" t="inlineStr">
        <is>
          <t>ABIERTO_NUEVO</t>
        </is>
      </c>
      <c r="C173" s="8" t="inlineStr">
        <is>
          <t>Banco egreso no Flexxus</t>
        </is>
      </c>
      <c r="D173" s="8" t="inlineStr">
        <is>
          <t>23/04/2026</t>
        </is>
      </c>
      <c r="E173" s="8" t="inlineStr">
        <is>
          <t>29841705</t>
        </is>
      </c>
      <c r="F173" s="8" t="inlineStr">
        <is>
          <t>GRAVAMEN LEY 25413 S/DEB</t>
        </is>
      </c>
      <c r="G173" s="8" t="inlineStr">
        <is>
          <t>Anticipo Ganancias Ley 25.413 débitos</t>
        </is>
      </c>
      <c r="H173" s="8" t="inlineStr">
        <is>
          <t>Anticipo Impuesto a las Ganancias</t>
        </is>
      </c>
      <c r="I173" s="9" t="n">
        <v>27.41</v>
      </c>
      <c r="J173" s="9" t="inlineStr"/>
      <c r="K173" s="8" t="inlineStr">
        <is>
          <t>Copiar en Flexxus: Tipo=MB-EXT | Movimiento=GRAVAMEN LEY 25.413 S/DEB | Monto=27,41 | Fecha: 23/04/2026</t>
        </is>
      </c>
    </row>
    <row r="174">
      <c r="A174" s="8" t="inlineStr">
        <is>
          <t>PEND-0790E56D08DB-A001</t>
        </is>
      </c>
      <c r="B174" s="8" t="inlineStr">
        <is>
          <t>ABIERTO_NUEVO</t>
        </is>
      </c>
      <c r="C174" s="8" t="inlineStr">
        <is>
          <t>Banco egreso no Flexxus</t>
        </is>
      </c>
      <c r="D174" s="8" t="inlineStr">
        <is>
          <t>23/04/2026</t>
        </is>
      </c>
      <c r="E174" s="8" t="inlineStr">
        <is>
          <t>29841683</t>
        </is>
      </c>
      <c r="F174" s="8" t="inlineStr">
        <is>
          <t>GRAVAMEN LEY 25413 S/DEB</t>
        </is>
      </c>
      <c r="G174" s="8" t="inlineStr">
        <is>
          <t>Anticipo Ganancias Ley 25.413 débitos</t>
        </is>
      </c>
      <c r="H174" s="8" t="inlineStr">
        <is>
          <t>Anticipo Impuesto a las Ganancias</t>
        </is>
      </c>
      <c r="I174" s="9" t="n">
        <v>6.2</v>
      </c>
      <c r="J174" s="9" t="inlineStr"/>
      <c r="K174" s="8" t="inlineStr">
        <is>
          <t>Copiar en Flexxus: Tipo=MB-EXT | Movimiento=GRAVAMEN LEY 25.413 S/DEB | Monto=6,20 | Fecha: 23/04/2026</t>
        </is>
      </c>
    </row>
    <row r="175">
      <c r="A175" s="8" t="inlineStr">
        <is>
          <t>PEND-FA9416E4BEB1-A001</t>
        </is>
      </c>
      <c r="B175" s="8" t="inlineStr">
        <is>
          <t>ABIERTO_NUEVO</t>
        </is>
      </c>
      <c r="C175" s="8" t="inlineStr">
        <is>
          <t>Banco egreso no Flexxus</t>
        </is>
      </c>
      <c r="D175" s="8" t="inlineStr">
        <is>
          <t>23/04/2026</t>
        </is>
      </c>
      <c r="E175" s="8" t="inlineStr">
        <is>
          <t>29841670</t>
        </is>
      </c>
      <c r="F175" s="8" t="inlineStr">
        <is>
          <t>GRAVAMEN LEY 25413 S/DEB</t>
        </is>
      </c>
      <c r="G175" s="8" t="inlineStr">
        <is>
          <t>Anticipo Ganancias Ley 25.413 débitos</t>
        </is>
      </c>
      <c r="H175" s="8" t="inlineStr">
        <is>
          <t>Anticipo Impuesto a las Ganancias</t>
        </is>
      </c>
      <c r="I175" s="9" t="n">
        <v>11.39</v>
      </c>
      <c r="J175" s="9" t="inlineStr"/>
      <c r="K175" s="8" t="inlineStr">
        <is>
          <t>Copiar en Flexxus: Tipo=MB-EXT | Movimiento=GRAVAMEN LEY 25.413 S/DEB | Monto=11,39 | Fecha: 23/04/2026</t>
        </is>
      </c>
    </row>
    <row r="176">
      <c r="A176" s="8" t="inlineStr">
        <is>
          <t>PEND-7D6686DA04E7-A001</t>
        </is>
      </c>
      <c r="B176" s="8" t="inlineStr">
        <is>
          <t>ABIERTO_NUEVO</t>
        </is>
      </c>
      <c r="C176" s="8" t="inlineStr">
        <is>
          <t>Banco egreso no Flexxus</t>
        </is>
      </c>
      <c r="D176" s="8" t="inlineStr">
        <is>
          <t>23/04/2026</t>
        </is>
      </c>
      <c r="E176" s="8" t="inlineStr">
        <is>
          <t>29841642</t>
        </is>
      </c>
      <c r="F176" s="8" t="inlineStr">
        <is>
          <t>GRAVAMEN LEY 25413 S/DEB</t>
        </is>
      </c>
      <c r="G176" s="8" t="inlineStr">
        <is>
          <t>Anticipo Ganancias Ley 25.413 débitos</t>
        </is>
      </c>
      <c r="H176" s="8" t="inlineStr">
        <is>
          <t>Anticipo Impuesto a las Ganancias</t>
        </is>
      </c>
      <c r="I176" s="9" t="n">
        <v>26.32</v>
      </c>
      <c r="J176" s="9" t="inlineStr"/>
      <c r="K176" s="8" t="inlineStr">
        <is>
          <t>Copiar en Flexxus: Tipo=MB-EXT | Movimiento=GRAVAMEN LEY 25.413 S/DEB | Monto=26,32 | Fecha: 23/04/2026</t>
        </is>
      </c>
    </row>
    <row r="177">
      <c r="A177" s="8" t="inlineStr">
        <is>
          <t>PEND-E8DF8813FC28-A001</t>
        </is>
      </c>
      <c r="B177" s="8" t="inlineStr">
        <is>
          <t>ABIERTO_NUEVO</t>
        </is>
      </c>
      <c r="C177" s="8" t="inlineStr">
        <is>
          <t>Banco egreso no Flexxus</t>
        </is>
      </c>
      <c r="D177" s="8" t="inlineStr">
        <is>
          <t>23/04/2026</t>
        </is>
      </c>
      <c r="E177" s="8" t="inlineStr">
        <is>
          <t>29841627</t>
        </is>
      </c>
      <c r="F177" s="8" t="inlineStr">
        <is>
          <t>GRAVAMEN LEY 25413 S/DEB</t>
        </is>
      </c>
      <c r="G177" s="8" t="inlineStr">
        <is>
          <t>Anticipo Ganancias Ley 25.413 débitos</t>
        </is>
      </c>
      <c r="H177" s="8" t="inlineStr">
        <is>
          <t>Anticipo Impuesto a las Ganancias</t>
        </is>
      </c>
      <c r="I177" s="9" t="n">
        <v>13.93</v>
      </c>
      <c r="J177" s="9" t="inlineStr"/>
      <c r="K177" s="8" t="inlineStr">
        <is>
          <t>Copiar en Flexxus: Tipo=MB-EXT | Movimiento=GRAVAMEN LEY 25.413 S/DEB | Monto=13,93 | Fecha: 23/04/2026</t>
        </is>
      </c>
    </row>
    <row r="178">
      <c r="A178" s="8" t="inlineStr">
        <is>
          <t>PEND-032FD5BC3C03-A001</t>
        </is>
      </c>
      <c r="B178" s="8" t="inlineStr">
        <is>
          <t>ABIERTO_NUEVO</t>
        </is>
      </c>
      <c r="C178" s="8" t="inlineStr">
        <is>
          <t>Banco egreso no Flexxus</t>
        </is>
      </c>
      <c r="D178" s="8" t="inlineStr">
        <is>
          <t>23/04/2026</t>
        </is>
      </c>
      <c r="E178" s="8" t="inlineStr">
        <is>
          <t>32032899</t>
        </is>
      </c>
      <c r="F178" s="8" t="inlineStr">
        <is>
          <t>GRAVAMEN LEY 25413 S/DEB</t>
        </is>
      </c>
      <c r="G178" s="8" t="inlineStr">
        <is>
          <t>Anticipo Ganancias Ley 25.413 débitos</t>
        </is>
      </c>
      <c r="H178" s="8" t="inlineStr">
        <is>
          <t>Anticipo Impuesto a las Ganancias</t>
        </is>
      </c>
      <c r="I178" s="9" t="n">
        <v>50.21</v>
      </c>
      <c r="J178" s="9" t="inlineStr"/>
      <c r="K178" s="8" t="inlineStr">
        <is>
          <t>Copiar en Flexxus: Tipo=MB-EXT | Movimiento=GRAVAMEN LEY 25.413 S/DEB | Monto=50,21 | Fecha: 23/04/2026</t>
        </is>
      </c>
    </row>
    <row r="179">
      <c r="A179" s="8" t="inlineStr">
        <is>
          <t>PEND-578415FFBA91-A001</t>
        </is>
      </c>
      <c r="B179" s="8" t="inlineStr">
        <is>
          <t>ABIERTO_NUEVO</t>
        </is>
      </c>
      <c r="C179" s="8" t="inlineStr">
        <is>
          <t>Banco egreso no Flexxus</t>
        </is>
      </c>
      <c r="D179" s="8" t="inlineStr">
        <is>
          <t>23/04/2026</t>
        </is>
      </c>
      <c r="E179" s="8" t="inlineStr">
        <is>
          <t>31995644</t>
        </is>
      </c>
      <c r="F179" s="8" t="inlineStr">
        <is>
          <t>GRAVAMEN LEY 25413 S/DEB</t>
        </is>
      </c>
      <c r="G179" s="8" t="inlineStr">
        <is>
          <t>Anticipo Ganancias Ley 25.413 débitos</t>
        </is>
      </c>
      <c r="H179" s="8" t="inlineStr">
        <is>
          <t>Anticipo Impuesto a las Ganancias</t>
        </is>
      </c>
      <c r="I179" s="9" t="n">
        <v>41.74</v>
      </c>
      <c r="J179" s="9" t="inlineStr"/>
      <c r="K179" s="8" t="inlineStr">
        <is>
          <t>Copiar en Flexxus: Tipo=MB-EXT | Movimiento=GRAVAMEN LEY 25.413 S/DEB | Monto=41,74 | Fecha: 23/04/2026</t>
        </is>
      </c>
    </row>
    <row r="180">
      <c r="A180" s="8" t="inlineStr">
        <is>
          <t>PEND-55678E945622-A001</t>
        </is>
      </c>
      <c r="B180" s="8" t="inlineStr">
        <is>
          <t>ABIERTO_NUEVO</t>
        </is>
      </c>
      <c r="C180" s="8" t="inlineStr">
        <is>
          <t>Banco egreso no Flexxus</t>
        </is>
      </c>
      <c r="D180" s="8" t="inlineStr">
        <is>
          <t>23/04/2026</t>
        </is>
      </c>
      <c r="E180" s="8" t="inlineStr">
        <is>
          <t>29841705</t>
        </is>
      </c>
      <c r="F180" s="8" t="inlineStr">
        <is>
          <t>GRAVAMEN LEY 25413 S/DEB</t>
        </is>
      </c>
      <c r="G180" s="8" t="inlineStr">
        <is>
          <t>Anticipo Ganancias Ley 25.413 débitos</t>
        </is>
      </c>
      <c r="H180" s="8" t="inlineStr">
        <is>
          <t>Anticipo Impuesto a las Ganancias</t>
        </is>
      </c>
      <c r="I180" s="9" t="n">
        <v>2.59</v>
      </c>
      <c r="J180" s="9" t="inlineStr"/>
      <c r="K180" s="8" t="inlineStr">
        <is>
          <t>Copiar en Flexxus: Tipo=MB-EXT | Movimiento=GRAVAMEN LEY 25.413 S/DEB | Monto=2,59 | Fecha: 23/04/2026</t>
        </is>
      </c>
    </row>
    <row r="181">
      <c r="A181" s="8" t="inlineStr">
        <is>
          <t>PEND-20750F8BA1EF-A001</t>
        </is>
      </c>
      <c r="B181" s="8" t="inlineStr">
        <is>
          <t>ABIERTO_NUEVO</t>
        </is>
      </c>
      <c r="C181" s="8" t="inlineStr">
        <is>
          <t>Banco egreso no Flexxus</t>
        </is>
      </c>
      <c r="D181" s="8" t="inlineStr">
        <is>
          <t>23/04/2026</t>
        </is>
      </c>
      <c r="E181" s="8" t="inlineStr">
        <is>
          <t>29841683</t>
        </is>
      </c>
      <c r="F181" s="8" t="inlineStr">
        <is>
          <t>GRAVAMEN LEY 25413 S/DEB</t>
        </is>
      </c>
      <c r="G181" s="8" t="inlineStr">
        <is>
          <t>Anticipo Ganancias Ley 25.413 débitos</t>
        </is>
      </c>
      <c r="H181" s="8" t="inlineStr">
        <is>
          <t>Anticipo Impuesto a las Ganancias</t>
        </is>
      </c>
      <c r="I181" s="9" t="n">
        <v>7.2</v>
      </c>
      <c r="J181" s="9" t="inlineStr"/>
      <c r="K181" s="8" t="inlineStr">
        <is>
          <t>Copiar en Flexxus: Tipo=MB-EXT | Movimiento=GRAVAMEN LEY 25.413 S/DEB | Monto=7,20 | Fecha: 23/04/2026</t>
        </is>
      </c>
    </row>
    <row r="182">
      <c r="A182" s="8" t="inlineStr">
        <is>
          <t>PEND-5EDC57276D8A-A001</t>
        </is>
      </c>
      <c r="B182" s="8" t="inlineStr">
        <is>
          <t>ABIERTO_NUEVO</t>
        </is>
      </c>
      <c r="C182" s="8" t="inlineStr">
        <is>
          <t>Banco egreso no Flexxus</t>
        </is>
      </c>
      <c r="D182" s="8" t="inlineStr">
        <is>
          <t>23/04/2026</t>
        </is>
      </c>
      <c r="E182" s="8" t="inlineStr">
        <is>
          <t>29841670</t>
        </is>
      </c>
      <c r="F182" s="8" t="inlineStr">
        <is>
          <t>GRAVAMEN LEY 25413 S/DEB</t>
        </is>
      </c>
      <c r="G182" s="8" t="inlineStr">
        <is>
          <t>Anticipo Ganancias Ley 25.413 débitos</t>
        </is>
      </c>
      <c r="H182" s="8" t="inlineStr">
        <is>
          <t>Anticipo Impuesto a las Ganancias</t>
        </is>
      </c>
      <c r="I182" s="9" t="n">
        <v>10.2</v>
      </c>
      <c r="J182" s="9" t="inlineStr"/>
      <c r="K182" s="8" t="inlineStr">
        <is>
          <t>Copiar en Flexxus: Tipo=MB-EXT | Movimiento=GRAVAMEN LEY 25.413 S/DEB | Monto=10,20 | Fecha: 23/04/2026</t>
        </is>
      </c>
    </row>
    <row r="183">
      <c r="A183" s="8" t="inlineStr">
        <is>
          <t>PEND-B163276682DD-A001</t>
        </is>
      </c>
      <c r="B183" s="8" t="inlineStr">
        <is>
          <t>ABIERTO_NUEVO</t>
        </is>
      </c>
      <c r="C183" s="8" t="inlineStr">
        <is>
          <t>Banco egreso no Flexxus</t>
        </is>
      </c>
      <c r="D183" s="8" t="inlineStr">
        <is>
          <t>23/04/2026</t>
        </is>
      </c>
      <c r="E183" s="8" t="inlineStr">
        <is>
          <t>29841642</t>
        </is>
      </c>
      <c r="F183" s="8" t="inlineStr">
        <is>
          <t>GRAVAMEN LEY 25413 S/DEB</t>
        </is>
      </c>
      <c r="G183" s="8" t="inlineStr">
        <is>
          <t>Anticipo Ganancias Ley 25.413 débitos</t>
        </is>
      </c>
      <c r="H183" s="8" t="inlineStr">
        <is>
          <t>Anticipo Impuesto a las Ganancias</t>
        </is>
      </c>
      <c r="I183" s="9" t="n">
        <v>4.94</v>
      </c>
      <c r="J183" s="9" t="inlineStr"/>
      <c r="K183" s="8" t="inlineStr">
        <is>
          <t>Copiar en Flexxus: Tipo=MB-EXT | Movimiento=GRAVAMEN LEY 25.413 S/DEB | Monto=4,94 | Fecha: 23/04/2026</t>
        </is>
      </c>
    </row>
    <row r="184">
      <c r="A184" s="8" t="inlineStr">
        <is>
          <t>PEND-1CD7FE1A62DB-A001</t>
        </is>
      </c>
      <c r="B184" s="8" t="inlineStr">
        <is>
          <t>ABIERTO_NUEVO</t>
        </is>
      </c>
      <c r="C184" s="8" t="inlineStr">
        <is>
          <t>Banco egreso no Flexxus</t>
        </is>
      </c>
      <c r="D184" s="8" t="inlineStr">
        <is>
          <t>23/04/2026</t>
        </is>
      </c>
      <c r="E184" s="8" t="inlineStr">
        <is>
          <t>29841642</t>
        </is>
      </c>
      <c r="F184" s="8" t="inlineStr">
        <is>
          <t>GRAVAMEN LEY 25413 S/DEB</t>
        </is>
      </c>
      <c r="G184" s="8" t="inlineStr">
        <is>
          <t>Anticipo Ganancias Ley 25.413 débitos</t>
        </is>
      </c>
      <c r="H184" s="8" t="inlineStr">
        <is>
          <t>Anticipo Impuesto a las Ganancias</t>
        </is>
      </c>
      <c r="I184" s="9" t="n">
        <v>0.68</v>
      </c>
      <c r="J184" s="9" t="inlineStr"/>
      <c r="K184" s="8" t="inlineStr">
        <is>
          <t>Copiar en Flexxus: Tipo=MB-EXT | Movimiento=GRAVAMEN LEY 25.413 S/DEB | Monto=0,68 | Fecha: 23/04/2026</t>
        </is>
      </c>
    </row>
    <row r="185">
      <c r="A185" s="8" t="inlineStr">
        <is>
          <t>PEND-F5F2BA08B809-A001</t>
        </is>
      </c>
      <c r="B185" s="8" t="inlineStr">
        <is>
          <t>ABIERTO_NUEVO</t>
        </is>
      </c>
      <c r="C185" s="8" t="inlineStr">
        <is>
          <t>Banco egreso no Flexxus</t>
        </is>
      </c>
      <c r="D185" s="8" t="inlineStr">
        <is>
          <t>23/04/2026</t>
        </is>
      </c>
      <c r="E185" s="8" t="inlineStr">
        <is>
          <t>29841627</t>
        </is>
      </c>
      <c r="F185" s="8" t="inlineStr">
        <is>
          <t>GRAVAMEN LEY 25413 S/DEB</t>
        </is>
      </c>
      <c r="G185" s="8" t="inlineStr">
        <is>
          <t>Anticipo Ganancias Ley 25.413 débitos</t>
        </is>
      </c>
      <c r="H185" s="8" t="inlineStr">
        <is>
          <t>Anticipo Impuesto a las Ganancias</t>
        </is>
      </c>
      <c r="I185" s="9" t="n">
        <v>3.84</v>
      </c>
      <c r="J185" s="9" t="inlineStr"/>
      <c r="K185" s="8" t="inlineStr">
        <is>
          <t>Copiar en Flexxus: Tipo=MB-EXT | Movimiento=GRAVAMEN LEY 25.413 S/DEB | Monto=3,84 | Fecha: 23/04/2026</t>
        </is>
      </c>
    </row>
    <row r="186">
      <c r="A186" s="8" t="inlineStr">
        <is>
          <t>PEND-0AD26FC61420-A001</t>
        </is>
      </c>
      <c r="B186" s="8" t="inlineStr">
        <is>
          <t>ABIERTO_NUEVO</t>
        </is>
      </c>
      <c r="C186" s="8" t="inlineStr">
        <is>
          <t>Banco egreso no Flexxus</t>
        </is>
      </c>
      <c r="D186" s="8" t="inlineStr">
        <is>
          <t>23/04/2026</t>
        </is>
      </c>
      <c r="E186" s="8" t="inlineStr">
        <is>
          <t>108389</t>
        </is>
      </c>
      <c r="F186" s="8" t="inlineStr">
        <is>
          <t>GRAVAMEN LEY 25413 S/DEB</t>
        </is>
      </c>
      <c r="G186" s="8" t="inlineStr">
        <is>
          <t>Anticipo Ganancias Ley 25.413 débitos</t>
        </is>
      </c>
      <c r="H186" s="8" t="inlineStr">
        <is>
          <t>Anticipo Impuesto a las Ganancias</t>
        </is>
      </c>
      <c r="I186" s="9" t="n">
        <v>1.3</v>
      </c>
      <c r="J186" s="9" t="inlineStr"/>
      <c r="K186" s="8" t="inlineStr">
        <is>
          <t>Copiar en Flexxus: Tipo=MB-EXT | Movimiento=GRAVAMEN LEY 25.413 S/DEB | Monto=1,30 | Fecha: 23/04/2026</t>
        </is>
      </c>
    </row>
    <row r="187">
      <c r="A187" s="8" t="inlineStr">
        <is>
          <t>PEND-57AAE391F279-A001</t>
        </is>
      </c>
      <c r="B187" s="8" t="inlineStr">
        <is>
          <t>ABIERTO_NUEVO</t>
        </is>
      </c>
      <c r="C187" s="8" t="inlineStr">
        <is>
          <t>Banco egreso no Flexxus</t>
        </is>
      </c>
      <c r="D187" s="8" t="inlineStr">
        <is>
          <t>23/04/2026</t>
        </is>
      </c>
      <c r="E187" s="8" t="inlineStr">
        <is>
          <t>108388</t>
        </is>
      </c>
      <c r="F187" s="8" t="inlineStr">
        <is>
          <t>GRAVAMEN LEY 25413 S/DEB</t>
        </is>
      </c>
      <c r="G187" s="8" t="inlineStr">
        <is>
          <t>Anticipo Ganancias Ley 25.413 débitos</t>
        </is>
      </c>
      <c r="H187" s="8" t="inlineStr">
        <is>
          <t>Anticipo Impuesto a las Ganancias</t>
        </is>
      </c>
      <c r="I187" s="9" t="n">
        <v>2.05</v>
      </c>
      <c r="J187" s="9" t="inlineStr"/>
      <c r="K187" s="8" t="inlineStr">
        <is>
          <t>Copiar en Flexxus: Tipo=MB-EXT | Movimiento=GRAVAMEN LEY 25.413 S/DEB | Monto=2,05 | Fecha: 23/04/2026</t>
        </is>
      </c>
    </row>
    <row r="188">
      <c r="A188" s="8" t="inlineStr">
        <is>
          <t>PEND-AF102C16621A-A001</t>
        </is>
      </c>
      <c r="B188" s="8" t="inlineStr">
        <is>
          <t>ABIERTO_NUEVO</t>
        </is>
      </c>
      <c r="C188" s="8" t="inlineStr">
        <is>
          <t>Banco egreso no Flexxus</t>
        </is>
      </c>
      <c r="D188" s="8" t="inlineStr">
        <is>
          <t>23/04/2026</t>
        </is>
      </c>
      <c r="E188" s="8" t="inlineStr">
        <is>
          <t>108387</t>
        </is>
      </c>
      <c r="F188" s="8" t="inlineStr">
        <is>
          <t>GRAVAMEN LEY 25413 S/DEB</t>
        </is>
      </c>
      <c r="G188" s="8" t="inlineStr">
        <is>
          <t>Anticipo Ganancias Ley 25.413 débitos</t>
        </is>
      </c>
      <c r="H188" s="8" t="inlineStr">
        <is>
          <t>Anticipo Impuesto a las Ganancias</t>
        </is>
      </c>
      <c r="I188" s="9" t="n">
        <v>0.68</v>
      </c>
      <c r="J188" s="9" t="inlineStr"/>
      <c r="K188" s="8" t="inlineStr">
        <is>
          <t>Copiar en Flexxus: Tipo=MB-EXT | Movimiento=GRAVAMEN LEY 25.413 S/DEB | Monto=0,68 | Fecha: 23/04/2026</t>
        </is>
      </c>
    </row>
    <row r="189">
      <c r="A189" s="8" t="inlineStr">
        <is>
          <t>PEND-0563C189A26B-A001</t>
        </is>
      </c>
      <c r="B189" s="8" t="inlineStr">
        <is>
          <t>ABIERTO_NUEVO</t>
        </is>
      </c>
      <c r="C189" s="8" t="inlineStr">
        <is>
          <t>Banco egreso no Flexxus</t>
        </is>
      </c>
      <c r="D189" s="8" t="inlineStr">
        <is>
          <t>23/04/2026</t>
        </is>
      </c>
      <c r="E189" s="8" t="inlineStr">
        <is>
          <t>108386</t>
        </is>
      </c>
      <c r="F189" s="8" t="inlineStr">
        <is>
          <t>GRAVAMEN LEY 25413 S/DEB</t>
        </is>
      </c>
      <c r="G189" s="8" t="inlineStr">
        <is>
          <t>Anticipo Ganancias Ley 25.413 débitos</t>
        </is>
      </c>
      <c r="H189" s="8" t="inlineStr">
        <is>
          <t>Anticipo Impuesto a las Ganancias</t>
        </is>
      </c>
      <c r="I189" s="9" t="n">
        <v>2</v>
      </c>
      <c r="J189" s="9" t="inlineStr"/>
      <c r="K189" s="8" t="inlineStr">
        <is>
          <t>Copiar en Flexxus: Tipo=MB-EXT | Movimiento=GRAVAMEN LEY 25.413 S/DEB | Monto=2,00 | Fecha: 23/04/2026</t>
        </is>
      </c>
    </row>
    <row r="190">
      <c r="A190" s="8" t="inlineStr">
        <is>
          <t>PEND-09A294D980B8-A001</t>
        </is>
      </c>
      <c r="B190" s="8" t="inlineStr">
        <is>
          <t>ABIERTO_NUEVO</t>
        </is>
      </c>
      <c r="C190" s="8" t="inlineStr">
        <is>
          <t>Banco egreso no Flexxus</t>
        </is>
      </c>
      <c r="D190" s="8" t="inlineStr">
        <is>
          <t>23/04/2026</t>
        </is>
      </c>
      <c r="E190" s="8" t="inlineStr">
        <is>
          <t>108385</t>
        </is>
      </c>
      <c r="F190" s="8" t="inlineStr">
        <is>
          <t>GRAVAMEN LEY 25413 S/DEB</t>
        </is>
      </c>
      <c r="G190" s="8" t="inlineStr">
        <is>
          <t>Anticipo Ganancias Ley 25.413 débitos</t>
        </is>
      </c>
      <c r="H190" s="8" t="inlineStr">
        <is>
          <t>Anticipo Impuesto a las Ganancias</t>
        </is>
      </c>
      <c r="I190" s="9" t="n">
        <v>0.95</v>
      </c>
      <c r="J190" s="9" t="inlineStr"/>
      <c r="K190" s="8" t="inlineStr">
        <is>
          <t>Copiar en Flexxus: Tipo=MB-EXT | Movimiento=GRAVAMEN LEY 25.413 S/DEB | Monto=0,95 | Fecha: 23/04/2026</t>
        </is>
      </c>
    </row>
    <row r="191">
      <c r="A191" s="8" t="inlineStr">
        <is>
          <t>PEND-2B60277C4DAA-A001</t>
        </is>
      </c>
      <c r="B191" s="8" t="inlineStr">
        <is>
          <t>ABIERTO_NUEVO</t>
        </is>
      </c>
      <c r="C191" s="8" t="inlineStr">
        <is>
          <t>Banco egreso no Flexxus</t>
        </is>
      </c>
      <c r="D191" s="8" t="inlineStr">
        <is>
          <t>23/04/2026</t>
        </is>
      </c>
      <c r="E191" s="8" t="inlineStr">
        <is>
          <t>108384</t>
        </is>
      </c>
      <c r="F191" s="8" t="inlineStr">
        <is>
          <t>GRAVAMEN LEY 25413 S/DEB</t>
        </is>
      </c>
      <c r="G191" s="8" t="inlineStr">
        <is>
          <t>Anticipo Ganancias Ley 25.413 débitos</t>
        </is>
      </c>
      <c r="H191" s="8" t="inlineStr">
        <is>
          <t>Anticipo Impuesto a las Ganancias</t>
        </is>
      </c>
      <c r="I191" s="9" t="n">
        <v>1.08</v>
      </c>
      <c r="J191" s="9" t="inlineStr"/>
      <c r="K191" s="8" t="inlineStr">
        <is>
          <t>Copiar en Flexxus: Tipo=MB-EXT | Movimiento=GRAVAMEN LEY 25.413 S/DEB | Monto=1,08 | Fecha: 23/04/2026</t>
        </is>
      </c>
    </row>
    <row r="192">
      <c r="A192" s="8" t="inlineStr">
        <is>
          <t>PEND-B13F54BFF22D-A001</t>
        </is>
      </c>
      <c r="B192" s="8" t="inlineStr">
        <is>
          <t>ABIERTO_NUEVO</t>
        </is>
      </c>
      <c r="C192" s="8" t="inlineStr">
        <is>
          <t>Banco egreso no Flexxus</t>
        </is>
      </c>
      <c r="D192" s="8" t="inlineStr">
        <is>
          <t>23/04/2026</t>
        </is>
      </c>
      <c r="E192" s="8" t="inlineStr">
        <is>
          <t>108383</t>
        </is>
      </c>
      <c r="F192" s="8" t="inlineStr">
        <is>
          <t>GRAVAMEN LEY 25413 S/DEB</t>
        </is>
      </c>
      <c r="G192" s="8" t="inlineStr">
        <is>
          <t>Anticipo Ganancias Ley 25.413 débitos</t>
        </is>
      </c>
      <c r="H192" s="8" t="inlineStr">
        <is>
          <t>Anticipo Impuesto a las Ganancias</t>
        </is>
      </c>
      <c r="I192" s="9" t="n">
        <v>1.46</v>
      </c>
      <c r="J192" s="9" t="inlineStr"/>
      <c r="K192" s="8" t="inlineStr">
        <is>
          <t>Copiar en Flexxus: Tipo=MB-EXT | Movimiento=GRAVAMEN LEY 25.413 S/DEB | Monto=1,46 | Fecha: 23/04/2026</t>
        </is>
      </c>
    </row>
    <row r="193">
      <c r="A193" s="8" t="inlineStr">
        <is>
          <t>PEND-55BE4BE1DD6B-A001</t>
        </is>
      </c>
      <c r="B193" s="8" t="inlineStr">
        <is>
          <t>ABIERTO_NUEVO</t>
        </is>
      </c>
      <c r="C193" s="8" t="inlineStr">
        <is>
          <t>Banco egreso no Flexxus</t>
        </is>
      </c>
      <c r="D193" s="8" t="inlineStr">
        <is>
          <t>23/04/2026</t>
        </is>
      </c>
      <c r="E193" s="8" t="inlineStr">
        <is>
          <t>108382</t>
        </is>
      </c>
      <c r="F193" s="8" t="inlineStr">
        <is>
          <t>GRAVAMEN LEY 25413 S/DEB</t>
        </is>
      </c>
      <c r="G193" s="8" t="inlineStr">
        <is>
          <t>Anticipo Ganancias Ley 25.413 débitos</t>
        </is>
      </c>
      <c r="H193" s="8" t="inlineStr">
        <is>
          <t>Anticipo Impuesto a las Ganancias</t>
        </is>
      </c>
      <c r="I193" s="9" t="n">
        <v>9.24</v>
      </c>
      <c r="J193" s="9" t="inlineStr"/>
      <c r="K193" s="8" t="inlineStr">
        <is>
          <t>Copiar en Flexxus: Tipo=MB-EXT | Movimiento=GRAVAMEN LEY 25.413 S/DEB | Monto=9,24 | Fecha: 23/04/2026</t>
        </is>
      </c>
    </row>
    <row r="194">
      <c r="A194" s="8" t="inlineStr">
        <is>
          <t>PEND-464CD6D7402F-A001</t>
        </is>
      </c>
      <c r="B194" s="8" t="inlineStr">
        <is>
          <t>ABIERTO_NUEVO</t>
        </is>
      </c>
      <c r="C194" s="8" t="inlineStr">
        <is>
          <t>Banco egreso no Flexxus</t>
        </is>
      </c>
      <c r="D194" s="8" t="inlineStr">
        <is>
          <t>23/04/2026</t>
        </is>
      </c>
      <c r="E194" s="8" t="inlineStr">
        <is>
          <t>108428</t>
        </is>
      </c>
      <c r="F194" s="8" t="inlineStr">
        <is>
          <t>GRAVAMEN LEY 25413 S/DEB</t>
        </is>
      </c>
      <c r="G194" s="8" t="inlineStr">
        <is>
          <t>Anticipo Ganancias Ley 25.413 débitos</t>
        </is>
      </c>
      <c r="H194" s="8" t="inlineStr">
        <is>
          <t>Anticipo Impuesto a las Ganancias</t>
        </is>
      </c>
      <c r="I194" s="9" t="n">
        <v>1.2</v>
      </c>
      <c r="J194" s="9" t="inlineStr"/>
      <c r="K194" s="8" t="inlineStr">
        <is>
          <t>Copiar en Flexxus: Tipo=MB-EXT | Movimiento=GRAVAMEN LEY 25.413 S/DEB | Monto=1,20 | Fecha: 23/04/2026</t>
        </is>
      </c>
    </row>
    <row r="195">
      <c r="A195" s="8" t="inlineStr">
        <is>
          <t>PEND-F12E841A7246-A001</t>
        </is>
      </c>
      <c r="B195" s="8" t="inlineStr">
        <is>
          <t>ABIERTO_NUEVO</t>
        </is>
      </c>
      <c r="C195" s="8" t="inlineStr">
        <is>
          <t>Banco egreso no Flexxus</t>
        </is>
      </c>
      <c r="D195" s="8" t="inlineStr">
        <is>
          <t>23/04/2026</t>
        </is>
      </c>
      <c r="E195" s="8" t="inlineStr">
        <is>
          <t>108427</t>
        </is>
      </c>
      <c r="F195" s="8" t="inlineStr">
        <is>
          <t>GRAVAMEN LEY 25413 S/DEB</t>
        </is>
      </c>
      <c r="G195" s="8" t="inlineStr">
        <is>
          <t>Anticipo Ganancias Ley 25.413 débitos</t>
        </is>
      </c>
      <c r="H195" s="8" t="inlineStr">
        <is>
          <t>Anticipo Impuesto a las Ganancias</t>
        </is>
      </c>
      <c r="I195" s="9" t="n">
        <v>5.74</v>
      </c>
      <c r="J195" s="9" t="inlineStr"/>
      <c r="K195" s="8" t="inlineStr">
        <is>
          <t>Copiar en Flexxus: Tipo=MB-EXT | Movimiento=GRAVAMEN LEY 25.413 S/DEB | Monto=5,74 | Fecha: 23/04/2026</t>
        </is>
      </c>
    </row>
    <row r="196">
      <c r="A196" s="8" t="inlineStr">
        <is>
          <t>PEND-36A4BCF545A4-A001</t>
        </is>
      </c>
      <c r="B196" s="8" t="inlineStr">
        <is>
          <t>ABIERTO_NUEVO</t>
        </is>
      </c>
      <c r="C196" s="8" t="inlineStr">
        <is>
          <t>Banco egreso no Flexxus</t>
        </is>
      </c>
      <c r="D196" s="8" t="inlineStr">
        <is>
          <t>23/04/2026</t>
        </is>
      </c>
      <c r="E196" s="8" t="inlineStr">
        <is>
          <t>108426</t>
        </is>
      </c>
      <c r="F196" s="8" t="inlineStr">
        <is>
          <t>INGRESOS BRUTOS MENDOZA</t>
        </is>
      </c>
      <c r="G196" s="8" t="inlineStr">
        <is>
          <t>Retención Ingresos Brutos Mendoza</t>
        </is>
      </c>
      <c r="H196" s="8" t="inlineStr">
        <is>
          <t>Retención de Ingresos Brutos</t>
        </is>
      </c>
      <c r="I196" s="9" t="n">
        <v>738.78</v>
      </c>
      <c r="J196" s="9" t="inlineStr"/>
      <c r="K196" s="8" t="inlineStr">
        <is>
          <t>Copiar en Flexxus: Tipo=MB-EXT | Movimiento=INGRESOS BRUTOS MENDOZA | Monto=738,78 | Fecha: 23/04/2026</t>
        </is>
      </c>
    </row>
    <row r="197">
      <c r="A197" s="8" t="inlineStr">
        <is>
          <t>PEND-77EBAFE1EC60-A001</t>
        </is>
      </c>
      <c r="B197" s="8" t="inlineStr">
        <is>
          <t>ABIERTO_NUEVO</t>
        </is>
      </c>
      <c r="C197" s="8" t="inlineStr">
        <is>
          <t>Banco egreso no Flexxus</t>
        </is>
      </c>
      <c r="D197" s="8" t="inlineStr">
        <is>
          <t>23/04/2026</t>
        </is>
      </c>
      <c r="E197" s="8" t="inlineStr">
        <is>
          <t>108426</t>
        </is>
      </c>
      <c r="F197" s="8" t="inlineStr">
        <is>
          <t>GRAVAMEN LEY 25413 S/CRED</t>
        </is>
      </c>
      <c r="G197" s="8" t="inlineStr">
        <is>
          <t>Anticipo Ganancias Ley 25.413 créditos</t>
        </is>
      </c>
      <c r="H197" s="8" t="inlineStr">
        <is>
          <t>Anticipo Impuesto a las Ganancias</t>
        </is>
      </c>
      <c r="I197" s="9" t="n">
        <v>443.27</v>
      </c>
      <c r="J197" s="9" t="inlineStr"/>
      <c r="K197" s="8" t="inlineStr">
        <is>
          <t>Copiar en Flexxus: Tipo=MB-EXT | Movimiento=GRAVAMEN LEY 25.413 S/CRED | Monto=443,27 | Fecha: 23/04/2026</t>
        </is>
      </c>
    </row>
    <row r="198">
      <c r="A198" s="8" t="inlineStr">
        <is>
          <t>PEND-AC95B7294660-A001</t>
        </is>
      </c>
      <c r="B198" s="8" t="inlineStr">
        <is>
          <t>ABIERTO_NUEVO</t>
        </is>
      </c>
      <c r="C198" s="8" t="inlineStr">
        <is>
          <t>Banco egreso no Flexxus</t>
        </is>
      </c>
      <c r="D198" s="8" t="inlineStr">
        <is>
          <t>23/04/2026</t>
        </is>
      </c>
      <c r="E198" s="8" t="inlineStr">
        <is>
          <t>108425</t>
        </is>
      </c>
      <c r="F198" s="8" t="inlineStr">
        <is>
          <t>INGRESOS BRUTOS MENDOZA</t>
        </is>
      </c>
      <c r="G198" s="8" t="inlineStr">
        <is>
          <t>Retención Ingresos Brutos Mendoza</t>
        </is>
      </c>
      <c r="H198" s="8" t="inlineStr">
        <is>
          <t>Retención de Ingresos Brutos</t>
        </is>
      </c>
      <c r="I198" s="9" t="n">
        <v>89.13</v>
      </c>
      <c r="J198" s="9" t="inlineStr"/>
      <c r="K198" s="8" t="inlineStr">
        <is>
          <t>Copiar en Flexxus: Tipo=MB-EXT | Movimiento=INGRESOS BRUTOS MENDOZA | Monto=89,13 | Fecha: 23/04/2026</t>
        </is>
      </c>
    </row>
    <row r="199">
      <c r="A199" s="8" t="inlineStr">
        <is>
          <t>PEND-58B6A98E42E4-A001</t>
        </is>
      </c>
      <c r="B199" s="8" t="inlineStr">
        <is>
          <t>ABIERTO_NUEVO</t>
        </is>
      </c>
      <c r="C199" s="8" t="inlineStr">
        <is>
          <t>Banco egreso no Flexxus</t>
        </is>
      </c>
      <c r="D199" s="8" t="inlineStr">
        <is>
          <t>23/04/2026</t>
        </is>
      </c>
      <c r="E199" s="8" t="inlineStr">
        <is>
          <t>108425</t>
        </is>
      </c>
      <c r="F199" s="8" t="inlineStr">
        <is>
          <t>GRAVAMEN LEY 25413 S/CRED</t>
        </is>
      </c>
      <c r="G199" s="8" t="inlineStr">
        <is>
          <t>Anticipo Ganancias Ley 25.413 créditos</t>
        </is>
      </c>
      <c r="H199" s="8" t="inlineStr">
        <is>
          <t>Anticipo Impuesto a las Ganancias</t>
        </is>
      </c>
      <c r="I199" s="9" t="n">
        <v>53.48</v>
      </c>
      <c r="J199" s="9" t="inlineStr"/>
      <c r="K199" s="8" t="inlineStr">
        <is>
          <t>Copiar en Flexxus: Tipo=MB-EXT | Movimiento=GRAVAMEN LEY 25.413 S/CRED | Monto=53,48 | Fecha: 23/04/2026</t>
        </is>
      </c>
    </row>
    <row r="200">
      <c r="A200" s="8" t="inlineStr">
        <is>
          <t>PEND-02B9AA37D8AC-A001</t>
        </is>
      </c>
      <c r="B200" s="8" t="inlineStr">
        <is>
          <t>ABIERTO_NUEVO</t>
        </is>
      </c>
      <c r="C200" s="8" t="inlineStr">
        <is>
          <t>Banco egreso no Flexxus</t>
        </is>
      </c>
      <c r="D200" s="8" t="inlineStr">
        <is>
          <t>23/04/2026</t>
        </is>
      </c>
      <c r="E200" s="8" t="inlineStr">
        <is>
          <t>108423</t>
        </is>
      </c>
      <c r="F200" s="8" t="inlineStr">
        <is>
          <t>INGRESOS BRUTOS MENDOZA</t>
        </is>
      </c>
      <c r="G200" s="8" t="inlineStr">
        <is>
          <t>Retención Ingresos Brutos Mendoza</t>
        </is>
      </c>
      <c r="H200" s="8" t="inlineStr">
        <is>
          <t>Retención de Ingresos Brutos</t>
        </is>
      </c>
      <c r="I200" s="9" t="n">
        <v>113.89</v>
      </c>
      <c r="J200" s="9" t="inlineStr"/>
      <c r="K200" s="8" t="inlineStr">
        <is>
          <t>Copiar en Flexxus: Tipo=MB-EXT | Movimiento=INGRESOS BRUTOS MENDOZA | Monto=113,89 | Fecha: 23/04/2026</t>
        </is>
      </c>
    </row>
    <row r="201">
      <c r="A201" s="8" t="inlineStr">
        <is>
          <t>PEND-3DA753CD875E-A001</t>
        </is>
      </c>
      <c r="B201" s="8" t="inlineStr">
        <is>
          <t>ABIERTO_NUEVO</t>
        </is>
      </c>
      <c r="C201" s="8" t="inlineStr">
        <is>
          <t>Banco egreso no Flexxus</t>
        </is>
      </c>
      <c r="D201" s="8" t="inlineStr">
        <is>
          <t>23/04/2026</t>
        </is>
      </c>
      <c r="E201" s="8" t="inlineStr">
        <is>
          <t>108423</t>
        </is>
      </c>
      <c r="F201" s="8" t="inlineStr">
        <is>
          <t>GRAVAMEN LEY 25413 S/CRED</t>
        </is>
      </c>
      <c r="G201" s="8" t="inlineStr">
        <is>
          <t>Anticipo Ganancias Ley 25.413 créditos</t>
        </is>
      </c>
      <c r="H201" s="8" t="inlineStr">
        <is>
          <t>Anticipo Impuesto a las Ganancias</t>
        </is>
      </c>
      <c r="I201" s="9" t="n">
        <v>68.33</v>
      </c>
      <c r="J201" s="9" t="inlineStr"/>
      <c r="K201" s="8" t="inlineStr">
        <is>
          <t>Copiar en Flexxus: Tipo=MB-EXT | Movimiento=GRAVAMEN LEY 25.413 S/CRED | Monto=68,33 | Fecha: 23/04/2026</t>
        </is>
      </c>
    </row>
    <row r="202">
      <c r="A202" s="8" t="inlineStr">
        <is>
          <t>PEND-E49DC3A3901D-A001</t>
        </is>
      </c>
      <c r="B202" s="8" t="inlineStr">
        <is>
          <t>ABIERTO_NUEVO</t>
        </is>
      </c>
      <c r="C202" s="8" t="inlineStr">
        <is>
          <t>Banco egreso no Flexxus</t>
        </is>
      </c>
      <c r="D202" s="8" t="inlineStr">
        <is>
          <t>23/04/2026</t>
        </is>
      </c>
      <c r="E202" s="8" t="inlineStr">
        <is>
          <t>108422</t>
        </is>
      </c>
      <c r="F202" s="8" t="inlineStr">
        <is>
          <t>INGRESOS BRUTOS MENDOZA</t>
        </is>
      </c>
      <c r="G202" s="8" t="inlineStr">
        <is>
          <t>Retención Ingresos Brutos Mendoza</t>
        </is>
      </c>
      <c r="H202" s="8" t="inlineStr">
        <is>
          <t>Retención de Ingresos Brutos</t>
        </is>
      </c>
      <c r="I202" s="9" t="n">
        <v>495.16</v>
      </c>
      <c r="J202" s="9" t="inlineStr"/>
      <c r="K202" s="8" t="inlineStr">
        <is>
          <t>Copiar en Flexxus: Tipo=MB-EXT | Movimiento=INGRESOS BRUTOS MENDOZA | Monto=495,16 | Fecha: 23/04/2026</t>
        </is>
      </c>
    </row>
    <row r="203">
      <c r="A203" s="8" t="inlineStr">
        <is>
          <t>PEND-5D7828CDCE7E-A001</t>
        </is>
      </c>
      <c r="B203" s="8" t="inlineStr">
        <is>
          <t>ABIERTO_NUEVO</t>
        </is>
      </c>
      <c r="C203" s="8" t="inlineStr">
        <is>
          <t>Banco egreso no Flexxus</t>
        </is>
      </c>
      <c r="D203" s="8" t="inlineStr">
        <is>
          <t>23/04/2026</t>
        </is>
      </c>
      <c r="E203" s="8" t="inlineStr">
        <is>
          <t>108422</t>
        </is>
      </c>
      <c r="F203" s="8" t="inlineStr">
        <is>
          <t>GRAVAMEN LEY 25413 S/CRED</t>
        </is>
      </c>
      <c r="G203" s="8" t="inlineStr">
        <is>
          <t>Anticipo Ganancias Ley 25.413 créditos</t>
        </is>
      </c>
      <c r="H203" s="8" t="inlineStr">
        <is>
          <t>Anticipo Impuesto a las Ganancias</t>
        </is>
      </c>
      <c r="I203" s="9" t="n">
        <v>297.1</v>
      </c>
      <c r="J203" s="9" t="inlineStr"/>
      <c r="K203" s="8" t="inlineStr">
        <is>
          <t>Copiar en Flexxus: Tipo=MB-EXT | Movimiento=GRAVAMEN LEY 25.413 S/CRED | Monto=297,10 | Fecha: 23/04/2026</t>
        </is>
      </c>
    </row>
    <row r="204">
      <c r="A204" s="8" t="inlineStr">
        <is>
          <t>PEND-B839B1FA27A6-A001</t>
        </is>
      </c>
      <c r="B204" s="8" t="inlineStr">
        <is>
          <t>ABIERTO_NUEVO</t>
        </is>
      </c>
      <c r="C204" s="8" t="inlineStr">
        <is>
          <t>Banco egreso no Flexxus</t>
        </is>
      </c>
      <c r="D204" s="8" t="inlineStr">
        <is>
          <t>23/04/2026</t>
        </is>
      </c>
      <c r="E204" s="8" t="inlineStr">
        <is>
          <t>108421</t>
        </is>
      </c>
      <c r="F204" s="8" t="inlineStr">
        <is>
          <t>INGRESOS BRUTOS MENDOZA</t>
        </is>
      </c>
      <c r="G204" s="8" t="inlineStr">
        <is>
          <t>Retención Ingresos Brutos Mendoza</t>
        </is>
      </c>
      <c r="H204" s="8" t="inlineStr">
        <is>
          <t>Retención de Ingresos Brutos</t>
        </is>
      </c>
      <c r="I204" s="9" t="n">
        <v>629.84</v>
      </c>
      <c r="J204" s="9" t="inlineStr"/>
      <c r="K204" s="8" t="inlineStr">
        <is>
          <t>Copiar en Flexxus: Tipo=MB-EXT | Movimiento=INGRESOS BRUTOS MENDOZA | Monto=629,84 | Fecha: 23/04/2026</t>
        </is>
      </c>
    </row>
    <row r="205">
      <c r="A205" s="8" t="inlineStr">
        <is>
          <t>PEND-05DDF45DA584-A001</t>
        </is>
      </c>
      <c r="B205" s="8" t="inlineStr">
        <is>
          <t>ABIERTO_NUEVO</t>
        </is>
      </c>
      <c r="C205" s="8" t="inlineStr">
        <is>
          <t>Banco egreso no Flexxus</t>
        </is>
      </c>
      <c r="D205" s="8" t="inlineStr">
        <is>
          <t>23/04/2026</t>
        </is>
      </c>
      <c r="E205" s="8" t="inlineStr">
        <is>
          <t>108421</t>
        </is>
      </c>
      <c r="F205" s="8" t="inlineStr">
        <is>
          <t>GRAVAMEN LEY 25413 S/CRED</t>
        </is>
      </c>
      <c r="G205" s="8" t="inlineStr">
        <is>
          <t>Anticipo Ganancias Ley 25.413 créditos</t>
        </is>
      </c>
      <c r="H205" s="8" t="inlineStr">
        <is>
          <t>Anticipo Impuesto a las Ganancias</t>
        </is>
      </c>
      <c r="I205" s="9" t="n">
        <v>377.91</v>
      </c>
      <c r="J205" s="9" t="inlineStr"/>
      <c r="K205" s="8" t="inlineStr">
        <is>
          <t>Copiar en Flexxus: Tipo=MB-EXT | Movimiento=GRAVAMEN LEY 25.413 S/CRED | Monto=377,91 | Fecha: 23/04/2026</t>
        </is>
      </c>
    </row>
    <row r="206">
      <c r="A206" s="8" t="inlineStr">
        <is>
          <t>PEND-CE758A0B223F-A001</t>
        </is>
      </c>
      <c r="B206" s="8" t="inlineStr">
        <is>
          <t>ABIERTO_NUEVO</t>
        </is>
      </c>
      <c r="C206" s="8" t="inlineStr">
        <is>
          <t>Banco egreso no Flexxus</t>
        </is>
      </c>
      <c r="D206" s="8" t="inlineStr">
        <is>
          <t>23/04/2026</t>
        </is>
      </c>
      <c r="E206" s="8" t="inlineStr">
        <is>
          <t>32032899</t>
        </is>
      </c>
      <c r="F206" s="8" t="inlineStr">
        <is>
          <t>INGRESOS BRUTOS MENDOZA</t>
        </is>
      </c>
      <c r="G206" s="8" t="inlineStr">
        <is>
          <t>Retención Ingresos Brutos Mendoza</t>
        </is>
      </c>
      <c r="H206" s="8" t="inlineStr">
        <is>
          <t>Retención de Ingresos Brutos</t>
        </is>
      </c>
      <c r="I206" s="9" t="n">
        <v>177.82</v>
      </c>
      <c r="J206" s="9" t="inlineStr"/>
      <c r="K206" s="8" t="inlineStr">
        <is>
          <t>Copiar en Flexxus: Tipo=MB-EXT | Movimiento=INGRESOS BRUTOS MENDOZA | Monto=177,82 | Fecha: 23/04/2026</t>
        </is>
      </c>
    </row>
    <row r="207">
      <c r="A207" s="8" t="inlineStr">
        <is>
          <t>PEND-CB374FF022BB-A001</t>
        </is>
      </c>
      <c r="B207" s="8" t="inlineStr">
        <is>
          <t>ABIERTO_NUEVO</t>
        </is>
      </c>
      <c r="C207" s="8" t="inlineStr">
        <is>
          <t>Banco egreso no Flexxus</t>
        </is>
      </c>
      <c r="D207" s="8" t="inlineStr">
        <is>
          <t>23/04/2026</t>
        </is>
      </c>
      <c r="E207" s="8" t="inlineStr">
        <is>
          <t>32032899</t>
        </is>
      </c>
      <c r="F207" s="8" t="inlineStr">
        <is>
          <t>GRAVAMEN LEY 25413 S/CRED</t>
        </is>
      </c>
      <c r="G207" s="8" t="inlineStr">
        <is>
          <t>Anticipo Ganancias Ley 25.413 créditos</t>
        </is>
      </c>
      <c r="H207" s="8" t="inlineStr">
        <is>
          <t>Anticipo Impuesto a las Ganancias</t>
        </is>
      </c>
      <c r="I207" s="9" t="n">
        <v>106.69</v>
      </c>
      <c r="J207" s="9" t="inlineStr"/>
      <c r="K207" s="8" t="inlineStr">
        <is>
          <t>Copiar en Flexxus: Tipo=MB-EXT | Movimiento=GRAVAMEN LEY 25.413 S/CRED | Monto=106,69 | Fecha: 23/04/2026</t>
        </is>
      </c>
    </row>
    <row r="208">
      <c r="A208" s="8" t="inlineStr">
        <is>
          <t>PEND-30E793F6DBDC-A001</t>
        </is>
      </c>
      <c r="B208" s="8" t="inlineStr">
        <is>
          <t>ABIERTO_NUEVO</t>
        </is>
      </c>
      <c r="C208" s="8" t="inlineStr">
        <is>
          <t>Banco egreso no Flexxus</t>
        </is>
      </c>
      <c r="D208" s="8" t="inlineStr">
        <is>
          <t>23/04/2026</t>
        </is>
      </c>
      <c r="E208" s="8" t="inlineStr">
        <is>
          <t>31995644</t>
        </is>
      </c>
      <c r="F208" s="8" t="inlineStr">
        <is>
          <t>INGRESOS BRUTOS MENDOZA</t>
        </is>
      </c>
      <c r="G208" s="8" t="inlineStr">
        <is>
          <t>Retención Ingresos Brutos Mendoza</t>
        </is>
      </c>
      <c r="H208" s="8" t="inlineStr">
        <is>
          <t>Retención de Ingresos Brutos</t>
        </is>
      </c>
      <c r="I208" s="9" t="n">
        <v>2881.82</v>
      </c>
      <c r="J208" s="9" t="inlineStr"/>
      <c r="K208" s="8" t="inlineStr">
        <is>
          <t>Copiar en Flexxus: Tipo=MB-EXT | Movimiento=INGRESOS BRUTOS MENDOZA | Monto=2.881,82 | Fecha: 23/04/2026</t>
        </is>
      </c>
    </row>
    <row r="209">
      <c r="A209" s="8" t="inlineStr">
        <is>
          <t>PEND-BFC1D97E6F28-A001</t>
        </is>
      </c>
      <c r="B209" s="8" t="inlineStr">
        <is>
          <t>ABIERTO_NUEVO</t>
        </is>
      </c>
      <c r="C209" s="8" t="inlineStr">
        <is>
          <t>Banco egreso no Flexxus</t>
        </is>
      </c>
      <c r="D209" s="8" t="inlineStr">
        <is>
          <t>23/04/2026</t>
        </is>
      </c>
      <c r="E209" s="8" t="inlineStr">
        <is>
          <t>31995644</t>
        </is>
      </c>
      <c r="F209" s="8" t="inlineStr">
        <is>
          <t>GRAVAMEN LEY 25413 S/CRED</t>
        </is>
      </c>
      <c r="G209" s="8" t="inlineStr">
        <is>
          <t>Anticipo Ganancias Ley 25.413 créditos</t>
        </is>
      </c>
      <c r="H209" s="8" t="inlineStr">
        <is>
          <t>Anticipo Impuesto a las Ganancias</t>
        </is>
      </c>
      <c r="I209" s="9" t="n">
        <v>1729.09</v>
      </c>
      <c r="J209" s="9" t="inlineStr"/>
      <c r="K209" s="8" t="inlineStr">
        <is>
          <t>Copiar en Flexxus: Tipo=MB-EXT | Movimiento=GRAVAMEN LEY 25.413 S/CRED | Monto=1.729,09 | Fecha: 23/04/2026</t>
        </is>
      </c>
    </row>
    <row r="210">
      <c r="A210" s="8" t="inlineStr">
        <is>
          <t>PEND-BF06A9C61EAE-A001</t>
        </is>
      </c>
      <c r="B210" s="8" t="inlineStr">
        <is>
          <t>ABIERTO_NUEVO</t>
        </is>
      </c>
      <c r="C210" s="8" t="inlineStr">
        <is>
          <t>Banco egreso no Flexxus</t>
        </is>
      </c>
      <c r="D210" s="8" t="inlineStr">
        <is>
          <t>23/04/2026</t>
        </is>
      </c>
      <c r="E210" s="8" t="inlineStr">
        <is>
          <t>29841705</t>
        </is>
      </c>
      <c r="F210" s="8" t="inlineStr">
        <is>
          <t>INGRESOS BRUTOS MENDOZA</t>
        </is>
      </c>
      <c r="G210" s="8" t="inlineStr">
        <is>
          <t>Retención Ingresos Brutos Mendoza</t>
        </is>
      </c>
      <c r="H210" s="8" t="inlineStr">
        <is>
          <t>Retención de Ingresos Brutos</t>
        </is>
      </c>
      <c r="I210" s="9" t="n">
        <v>403.06</v>
      </c>
      <c r="J210" s="9" t="inlineStr"/>
      <c r="K210" s="8" t="inlineStr">
        <is>
          <t>Copiar en Flexxus: Tipo=MB-EXT | Movimiento=INGRESOS BRUTOS MENDOZA | Monto=403,06 | Fecha: 23/04/2026</t>
        </is>
      </c>
    </row>
    <row r="211">
      <c r="A211" s="8" t="inlineStr">
        <is>
          <t>PEND-4023E4873ABC-A001</t>
        </is>
      </c>
      <c r="B211" s="8" t="inlineStr">
        <is>
          <t>ABIERTO_NUEVO</t>
        </is>
      </c>
      <c r="C211" s="8" t="inlineStr">
        <is>
          <t>Banco egreso no Flexxus</t>
        </is>
      </c>
      <c r="D211" s="8" t="inlineStr">
        <is>
          <t>23/04/2026</t>
        </is>
      </c>
      <c r="E211" s="8" t="inlineStr">
        <is>
          <t>29841705</t>
        </is>
      </c>
      <c r="F211" s="8" t="inlineStr">
        <is>
          <t>GRAVAMEN LEY 25413 S/CRED</t>
        </is>
      </c>
      <c r="G211" s="8" t="inlineStr">
        <is>
          <t>Anticipo Ganancias Ley 25.413 créditos</t>
        </is>
      </c>
      <c r="H211" s="8" t="inlineStr">
        <is>
          <t>Anticipo Impuesto a las Ganancias</t>
        </is>
      </c>
      <c r="I211" s="9" t="n">
        <v>241.84</v>
      </c>
      <c r="J211" s="9" t="inlineStr"/>
      <c r="K211" s="8" t="inlineStr">
        <is>
          <t>Copiar en Flexxus: Tipo=MB-EXT | Movimiento=GRAVAMEN LEY 25.413 S/CRED | Monto=241,84 | Fecha: 23/04/2026</t>
        </is>
      </c>
    </row>
    <row r="212">
      <c r="A212" s="8" t="inlineStr">
        <is>
          <t>PEND-87DE6B85E66F-A001</t>
        </is>
      </c>
      <c r="B212" s="8" t="inlineStr">
        <is>
          <t>ABIERTO_NUEVO</t>
        </is>
      </c>
      <c r="C212" s="8" t="inlineStr">
        <is>
          <t>Banco egreso no Flexxus</t>
        </is>
      </c>
      <c r="D212" s="8" t="inlineStr">
        <is>
          <t>23/04/2026</t>
        </is>
      </c>
      <c r="E212" s="8" t="inlineStr">
        <is>
          <t>29841683</t>
        </is>
      </c>
      <c r="F212" s="8" t="inlineStr">
        <is>
          <t>INGRESOS BRUTOS MENDOZA</t>
        </is>
      </c>
      <c r="G212" s="8" t="inlineStr">
        <is>
          <t>Retención Ingresos Brutos Mendoza</t>
        </is>
      </c>
      <c r="H212" s="8" t="inlineStr">
        <is>
          <t>Retención de Ingresos Brutos</t>
        </is>
      </c>
      <c r="I212" s="9" t="n">
        <v>334.9</v>
      </c>
      <c r="J212" s="9" t="inlineStr"/>
      <c r="K212" s="8" t="inlineStr">
        <is>
          <t>Copiar en Flexxus: Tipo=MB-EXT | Movimiento=INGRESOS BRUTOS MENDOZA | Monto=334,90 | Fecha: 23/04/2026</t>
        </is>
      </c>
    </row>
    <row r="213">
      <c r="A213" s="8" t="inlineStr">
        <is>
          <t>PEND-411189236CC8-A001</t>
        </is>
      </c>
      <c r="B213" s="8" t="inlineStr">
        <is>
          <t>ABIERTO_NUEVO</t>
        </is>
      </c>
      <c r="C213" s="8" t="inlineStr">
        <is>
          <t>Banco egreso no Flexxus</t>
        </is>
      </c>
      <c r="D213" s="8" t="inlineStr">
        <is>
          <t>23/04/2026</t>
        </is>
      </c>
      <c r="E213" s="8" t="inlineStr">
        <is>
          <t>29841683</t>
        </is>
      </c>
      <c r="F213" s="8" t="inlineStr">
        <is>
          <t>GRAVAMEN LEY 25413 S/CRED</t>
        </is>
      </c>
      <c r="G213" s="8" t="inlineStr">
        <is>
          <t>Anticipo Ganancias Ley 25.413 créditos</t>
        </is>
      </c>
      <c r="H213" s="8" t="inlineStr">
        <is>
          <t>Anticipo Impuesto a las Ganancias</t>
        </is>
      </c>
      <c r="I213" s="9" t="n">
        <v>200.94</v>
      </c>
      <c r="J213" s="9" t="inlineStr"/>
      <c r="K213" s="8" t="inlineStr">
        <is>
          <t>Copiar en Flexxus: Tipo=MB-EXT | Movimiento=GRAVAMEN LEY 25.413 S/CRED | Monto=200,94 | Fecha: 23/04/2026</t>
        </is>
      </c>
    </row>
    <row r="214">
      <c r="A214" s="8" t="inlineStr">
        <is>
          <t>PEND-16764461C62F-A001</t>
        </is>
      </c>
      <c r="B214" s="8" t="inlineStr">
        <is>
          <t>ABIERTO_NUEVO</t>
        </is>
      </c>
      <c r="C214" s="8" t="inlineStr">
        <is>
          <t>Banco egreso no Flexxus</t>
        </is>
      </c>
      <c r="D214" s="8" t="inlineStr">
        <is>
          <t>23/04/2026</t>
        </is>
      </c>
      <c r="E214" s="8" t="inlineStr">
        <is>
          <t>29841670</t>
        </is>
      </c>
      <c r="F214" s="8" t="inlineStr">
        <is>
          <t>INGRESOS BRUTOS MENDOZA</t>
        </is>
      </c>
      <c r="G214" s="8" t="inlineStr">
        <is>
          <t>Retención Ingresos Brutos Mendoza</t>
        </is>
      </c>
      <c r="H214" s="8" t="inlineStr">
        <is>
          <t>Retención de Ingresos Brutos</t>
        </is>
      </c>
      <c r="I214" s="9" t="n">
        <v>246.98</v>
      </c>
      <c r="J214" s="9" t="inlineStr"/>
      <c r="K214" s="8" t="inlineStr">
        <is>
          <t>Copiar en Flexxus: Tipo=MB-EXT | Movimiento=INGRESOS BRUTOS MENDOZA | Monto=246,98 | Fecha: 23/04/2026</t>
        </is>
      </c>
    </row>
    <row r="215">
      <c r="A215" s="8" t="inlineStr">
        <is>
          <t>PEND-8293C5CA3B29-A001</t>
        </is>
      </c>
      <c r="B215" s="8" t="inlineStr">
        <is>
          <t>ABIERTO_NUEVO</t>
        </is>
      </c>
      <c r="C215" s="8" t="inlineStr">
        <is>
          <t>Banco egreso no Flexxus</t>
        </is>
      </c>
      <c r="D215" s="8" t="inlineStr">
        <is>
          <t>23/04/2026</t>
        </is>
      </c>
      <c r="E215" s="8" t="inlineStr">
        <is>
          <t>29841670</t>
        </is>
      </c>
      <c r="F215" s="8" t="inlineStr">
        <is>
          <t>GRAVAMEN LEY 25413 S/CRED</t>
        </is>
      </c>
      <c r="G215" s="8" t="inlineStr">
        <is>
          <t>Anticipo Ganancias Ley 25.413 créditos</t>
        </is>
      </c>
      <c r="H215" s="8" t="inlineStr">
        <is>
          <t>Anticipo Impuesto a las Ganancias</t>
        </is>
      </c>
      <c r="I215" s="9" t="n">
        <v>148.19</v>
      </c>
      <c r="J215" s="9" t="inlineStr"/>
      <c r="K215" s="8" t="inlineStr">
        <is>
          <t>Copiar en Flexxus: Tipo=MB-EXT | Movimiento=GRAVAMEN LEY 25.413 S/CRED | Monto=148,19 | Fecha: 23/04/2026</t>
        </is>
      </c>
    </row>
    <row r="216">
      <c r="A216" s="8" t="inlineStr">
        <is>
          <t>PEND-D17A7C7EC270-A001</t>
        </is>
      </c>
      <c r="B216" s="8" t="inlineStr">
        <is>
          <t>ABIERTO_NUEVO</t>
        </is>
      </c>
      <c r="C216" s="8" t="inlineStr">
        <is>
          <t>Banco egreso no Flexxus</t>
        </is>
      </c>
      <c r="D216" s="8" t="inlineStr">
        <is>
          <t>23/04/2026</t>
        </is>
      </c>
      <c r="E216" s="8" t="inlineStr">
        <is>
          <t>29841642</t>
        </is>
      </c>
      <c r="F216" s="8" t="inlineStr">
        <is>
          <t>INGRESOS BRUTOS MENDOZA</t>
        </is>
      </c>
      <c r="G216" s="8" t="inlineStr">
        <is>
          <t>Retención Ingresos Brutos Mendoza</t>
        </is>
      </c>
      <c r="H216" s="8" t="inlineStr">
        <is>
          <t>Retención de Ingresos Brutos</t>
        </is>
      </c>
      <c r="I216" s="9" t="n">
        <v>827.86</v>
      </c>
      <c r="J216" s="9" t="inlineStr"/>
      <c r="K216" s="8" t="inlineStr">
        <is>
          <t>Copiar en Flexxus: Tipo=MB-EXT | Movimiento=INGRESOS BRUTOS MENDOZA | Monto=827,86 | Fecha: 23/04/2026</t>
        </is>
      </c>
    </row>
    <row r="217">
      <c r="A217" s="8" t="inlineStr">
        <is>
          <t>PEND-7E08D5EB3F9B-A001</t>
        </is>
      </c>
      <c r="B217" s="8" t="inlineStr">
        <is>
          <t>ABIERTO_NUEVO</t>
        </is>
      </c>
      <c r="C217" s="8" t="inlineStr">
        <is>
          <t>Banco egreso no Flexxus</t>
        </is>
      </c>
      <c r="D217" s="8" t="inlineStr">
        <is>
          <t>23/04/2026</t>
        </is>
      </c>
      <c r="E217" s="8" t="inlineStr">
        <is>
          <t>29841642</t>
        </is>
      </c>
      <c r="F217" s="8" t="inlineStr">
        <is>
          <t>GRAVAMEN LEY 25413 S/CRED</t>
        </is>
      </c>
      <c r="G217" s="8" t="inlineStr">
        <is>
          <t>Anticipo Ganancias Ley 25.413 créditos</t>
        </is>
      </c>
      <c r="H217" s="8" t="inlineStr">
        <is>
          <t>Anticipo Impuesto a las Ganancias</t>
        </is>
      </c>
      <c r="I217" s="9" t="n">
        <v>496.72</v>
      </c>
      <c r="J217" s="9" t="inlineStr"/>
      <c r="K217" s="8" t="inlineStr">
        <is>
          <t>Copiar en Flexxus: Tipo=MB-EXT | Movimiento=GRAVAMEN LEY 25.413 S/CRED | Monto=496,72 | Fecha: 23/04/2026</t>
        </is>
      </c>
    </row>
    <row r="218">
      <c r="A218" s="8" t="inlineStr">
        <is>
          <t>PEND-6039A428A7D7-A001</t>
        </is>
      </c>
      <c r="B218" s="8" t="inlineStr">
        <is>
          <t>ABIERTO_NUEVO</t>
        </is>
      </c>
      <c r="C218" s="8" t="inlineStr">
        <is>
          <t>Banco egreso no Flexxus</t>
        </is>
      </c>
      <c r="D218" s="8" t="inlineStr">
        <is>
          <t>23/04/2026</t>
        </is>
      </c>
      <c r="E218" s="8" t="inlineStr">
        <is>
          <t>29841627</t>
        </is>
      </c>
      <c r="F218" s="8" t="inlineStr">
        <is>
          <t>INGRESOS BRUTOS MENDOZA</t>
        </is>
      </c>
      <c r="G218" s="8" t="inlineStr">
        <is>
          <t>Retención Ingresos Brutos Mendoza</t>
        </is>
      </c>
      <c r="H218" s="8" t="inlineStr">
        <is>
          <t>Retención de Ingresos Brutos</t>
        </is>
      </c>
      <c r="I218" s="9" t="n">
        <v>454.43</v>
      </c>
      <c r="J218" s="9" t="inlineStr"/>
      <c r="K218" s="8" t="inlineStr">
        <is>
          <t>Copiar en Flexxus: Tipo=MB-EXT | Movimiento=INGRESOS BRUTOS MENDOZA | Monto=454,43 | Fecha: 23/04/2026</t>
        </is>
      </c>
    </row>
    <row r="219">
      <c r="A219" s="8" t="inlineStr">
        <is>
          <t>PEND-55CE9DE919AC-A001</t>
        </is>
      </c>
      <c r="B219" s="8" t="inlineStr">
        <is>
          <t>ABIERTO_NUEVO</t>
        </is>
      </c>
      <c r="C219" s="8" t="inlineStr">
        <is>
          <t>Banco egreso no Flexxus</t>
        </is>
      </c>
      <c r="D219" s="8" t="inlineStr">
        <is>
          <t>23/04/2026</t>
        </is>
      </c>
      <c r="E219" s="8" t="inlineStr">
        <is>
          <t>29841627</t>
        </is>
      </c>
      <c r="F219" s="8" t="inlineStr">
        <is>
          <t>GRAVAMEN LEY 25413 S/CRED</t>
        </is>
      </c>
      <c r="G219" s="8" t="inlineStr">
        <is>
          <t>Anticipo Ganancias Ley 25.413 créditos</t>
        </is>
      </c>
      <c r="H219" s="8" t="inlineStr">
        <is>
          <t>Anticipo Impuesto a las Ganancias</t>
        </is>
      </c>
      <c r="I219" s="9" t="n">
        <v>272.66</v>
      </c>
      <c r="J219" s="9" t="inlineStr"/>
      <c r="K219" s="8" t="inlineStr">
        <is>
          <t>Copiar en Flexxus: Tipo=MB-EXT | Movimiento=GRAVAMEN LEY 25.413 S/CRED | Monto=272,66 | Fecha: 23/04/2026</t>
        </is>
      </c>
    </row>
    <row r="220">
      <c r="A220" s="8" t="inlineStr">
        <is>
          <t>PEND-58AFF2C9F2A3-A001</t>
        </is>
      </c>
      <c r="B220" s="8" t="inlineStr">
        <is>
          <t>ABIERTO_NUEVO</t>
        </is>
      </c>
      <c r="C220" s="8" t="inlineStr">
        <is>
          <t>Banco egreso no Flexxus</t>
        </is>
      </c>
      <c r="D220" s="8" t="inlineStr">
        <is>
          <t>23/04/2026</t>
        </is>
      </c>
      <c r="E220" s="8" t="inlineStr">
        <is>
          <t>31995644</t>
        </is>
      </c>
      <c r="F220" s="8" t="inlineStr">
        <is>
          <t>INGRESOS BRUTOS MENDOZA</t>
        </is>
      </c>
      <c r="G220" s="8" t="inlineStr">
        <is>
          <t>Retención Ingresos Brutos Mendoza</t>
        </is>
      </c>
      <c r="H220" s="8" t="inlineStr">
        <is>
          <t>Retención de Ingresos Brutos</t>
        </is>
      </c>
      <c r="I220" s="9" t="n">
        <v>477.16</v>
      </c>
      <c r="J220" s="9" t="inlineStr"/>
      <c r="K220" s="8" t="inlineStr">
        <is>
          <t>Copiar en Flexxus: Tipo=MB-EXT | Movimiento=INGRESOS BRUTOS MENDOZA | Monto=477,16 | Fecha: 23/04/2026</t>
        </is>
      </c>
    </row>
    <row r="221">
      <c r="A221" s="8" t="inlineStr">
        <is>
          <t>PEND-7C31311EC324-A001</t>
        </is>
      </c>
      <c r="B221" s="8" t="inlineStr">
        <is>
          <t>ABIERTO_NUEVO</t>
        </is>
      </c>
      <c r="C221" s="8" t="inlineStr">
        <is>
          <t>Banco egreso no Flexxus</t>
        </is>
      </c>
      <c r="D221" s="8" t="inlineStr">
        <is>
          <t>23/04/2026</t>
        </is>
      </c>
      <c r="E221" s="8" t="inlineStr">
        <is>
          <t>31995644</t>
        </is>
      </c>
      <c r="F221" s="8" t="inlineStr">
        <is>
          <t>GRAVAMEN LEY 25413 S/CRED</t>
        </is>
      </c>
      <c r="G221" s="8" t="inlineStr">
        <is>
          <t>Anticipo Ganancias Ley 25.413 créditos</t>
        </is>
      </c>
      <c r="H221" s="8" t="inlineStr">
        <is>
          <t>Anticipo Impuesto a las Ganancias</t>
        </is>
      </c>
      <c r="I221" s="9" t="n">
        <v>286.29</v>
      </c>
      <c r="J221" s="9" t="inlineStr"/>
      <c r="K221" s="8" t="inlineStr">
        <is>
          <t>Copiar en Flexxus: Tipo=MB-EXT | Movimiento=GRAVAMEN LEY 25.413 S/CRED | Monto=286,29 | Fecha: 23/04/2026</t>
        </is>
      </c>
    </row>
    <row r="222">
      <c r="A222" s="8" t="inlineStr">
        <is>
          <t>PEND-8607F44FE0BE-A001</t>
        </is>
      </c>
      <c r="B222" s="8" t="inlineStr">
        <is>
          <t>ABIERTO_NUEVO</t>
        </is>
      </c>
      <c r="C222" s="8" t="inlineStr">
        <is>
          <t>Banco egreso no Flexxus</t>
        </is>
      </c>
      <c r="D222" s="8" t="inlineStr">
        <is>
          <t>23/04/2026</t>
        </is>
      </c>
      <c r="E222" s="8" t="inlineStr">
        <is>
          <t>108412</t>
        </is>
      </c>
      <c r="F222" s="8" t="inlineStr">
        <is>
          <t>INGRESOS BRUTOS MENDOZA</t>
        </is>
      </c>
      <c r="G222" s="8" t="inlineStr">
        <is>
          <t>Retención Ingresos Brutos Mendoza</t>
        </is>
      </c>
      <c r="H222" s="8" t="inlineStr">
        <is>
          <t>Retención de Ingresos Brutos</t>
        </is>
      </c>
      <c r="I222" s="9" t="n">
        <v>148.55</v>
      </c>
      <c r="J222" s="9" t="inlineStr"/>
      <c r="K222" s="8" t="inlineStr">
        <is>
          <t>Copiar en Flexxus: Tipo=MB-EXT | Movimiento=INGRESOS BRUTOS MENDOZA | Monto=148,55 | Fecha: 23/04/2026</t>
        </is>
      </c>
    </row>
    <row r="223">
      <c r="A223" s="8" t="inlineStr">
        <is>
          <t>PEND-1ECBD6C8EAD6-A001</t>
        </is>
      </c>
      <c r="B223" s="8" t="inlineStr">
        <is>
          <t>ABIERTO_NUEVO</t>
        </is>
      </c>
      <c r="C223" s="8" t="inlineStr">
        <is>
          <t>Banco egreso no Flexxus</t>
        </is>
      </c>
      <c r="D223" s="8" t="inlineStr">
        <is>
          <t>23/04/2026</t>
        </is>
      </c>
      <c r="E223" s="8" t="inlineStr">
        <is>
          <t>108412</t>
        </is>
      </c>
      <c r="F223" s="8" t="inlineStr">
        <is>
          <t>GRAVAMEN LEY 25413 S/CRED</t>
        </is>
      </c>
      <c r="G223" s="8" t="inlineStr">
        <is>
          <t>Anticipo Ganancias Ley 25.413 créditos</t>
        </is>
      </c>
      <c r="H223" s="8" t="inlineStr">
        <is>
          <t>Anticipo Impuesto a las Ganancias</t>
        </is>
      </c>
      <c r="I223" s="9" t="n">
        <v>89.13</v>
      </c>
      <c r="J223" s="9" t="inlineStr"/>
      <c r="K223" s="8" t="inlineStr">
        <is>
          <t>Copiar en Flexxus: Tipo=MB-EXT | Movimiento=GRAVAMEN LEY 25.413 S/CRED | Monto=89,13 | Fecha: 23/04/2026</t>
        </is>
      </c>
    </row>
    <row r="224">
      <c r="A224" s="8" t="inlineStr">
        <is>
          <t>PEND-79B7234167F1-A001</t>
        </is>
      </c>
      <c r="B224" s="8" t="inlineStr">
        <is>
          <t>ABIERTO_NUEVO</t>
        </is>
      </c>
      <c r="C224" s="8" t="inlineStr">
        <is>
          <t>Banco egreso no Flexxus</t>
        </is>
      </c>
      <c r="D224" s="8" t="inlineStr">
        <is>
          <t>23/04/2026</t>
        </is>
      </c>
      <c r="E224" s="8" t="inlineStr">
        <is>
          <t>29841705</t>
        </is>
      </c>
      <c r="F224" s="8" t="inlineStr">
        <is>
          <t>INGRESOS BRUTOS MENDOZA</t>
        </is>
      </c>
      <c r="G224" s="8" t="inlineStr">
        <is>
          <t>Retención Ingresos Brutos Mendoza</t>
        </is>
      </c>
      <c r="H224" s="8" t="inlineStr">
        <is>
          <t>Retención de Ingresos Brutos</t>
        </is>
      </c>
      <c r="I224" s="9" t="n">
        <v>467.28</v>
      </c>
      <c r="J224" s="9" t="inlineStr"/>
      <c r="K224" s="8" t="inlineStr">
        <is>
          <t>Copiar en Flexxus: Tipo=MB-EXT | Movimiento=INGRESOS BRUTOS MENDOZA | Monto=467,28 | Fecha: 23/04/2026</t>
        </is>
      </c>
    </row>
    <row r="225">
      <c r="A225" s="8" t="inlineStr">
        <is>
          <t>PEND-7A779B7C4464-A001</t>
        </is>
      </c>
      <c r="B225" s="8" t="inlineStr">
        <is>
          <t>ABIERTO_NUEVO</t>
        </is>
      </c>
      <c r="C225" s="8" t="inlineStr">
        <is>
          <t>Banco egreso no Flexxus</t>
        </is>
      </c>
      <c r="D225" s="8" t="inlineStr">
        <is>
          <t>23/04/2026</t>
        </is>
      </c>
      <c r="E225" s="8" t="inlineStr">
        <is>
          <t>29841705</t>
        </is>
      </c>
      <c r="F225" s="8" t="inlineStr">
        <is>
          <t>GRAVAMEN LEY 25413 S/CRED</t>
        </is>
      </c>
      <c r="G225" s="8" t="inlineStr">
        <is>
          <t>Anticipo Ganancias Ley 25.413 créditos</t>
        </is>
      </c>
      <c r="H225" s="8" t="inlineStr">
        <is>
          <t>Anticipo Impuesto a las Ganancias</t>
        </is>
      </c>
      <c r="I225" s="9" t="n">
        <v>280.37</v>
      </c>
      <c r="J225" s="9" t="inlineStr"/>
      <c r="K225" s="8" t="inlineStr">
        <is>
          <t>Copiar en Flexxus: Tipo=MB-EXT | Movimiento=GRAVAMEN LEY 25.413 S/CRED | Monto=280,37 | Fecha: 23/04/2026</t>
        </is>
      </c>
    </row>
    <row r="226">
      <c r="A226" s="8" t="inlineStr">
        <is>
          <t>PEND-9FFC73E80EF2-A001</t>
        </is>
      </c>
      <c r="B226" s="8" t="inlineStr">
        <is>
          <t>ABIERTO_NUEVO</t>
        </is>
      </c>
      <c r="C226" s="8" t="inlineStr">
        <is>
          <t>Banco egreso no Flexxus</t>
        </is>
      </c>
      <c r="D226" s="8" t="inlineStr">
        <is>
          <t>23/04/2026</t>
        </is>
      </c>
      <c r="E226" s="8" t="inlineStr">
        <is>
          <t>29841670</t>
        </is>
      </c>
      <c r="F226" s="8" t="inlineStr">
        <is>
          <t>INGRESOS BRUTOS MENDOZA</t>
        </is>
      </c>
      <c r="G226" s="8" t="inlineStr">
        <is>
          <t>Retención Ingresos Brutos Mendoza</t>
        </is>
      </c>
      <c r="H226" s="8" t="inlineStr">
        <is>
          <t>Retención de Ingresos Brutos</t>
        </is>
      </c>
      <c r="I226" s="9" t="n">
        <v>301.31</v>
      </c>
      <c r="J226" s="9" t="inlineStr"/>
      <c r="K226" s="8" t="inlineStr">
        <is>
          <t>Copiar en Flexxus: Tipo=MB-EXT | Movimiento=INGRESOS BRUTOS MENDOZA | Monto=301,31 | Fecha: 23/04/2026</t>
        </is>
      </c>
    </row>
    <row r="227">
      <c r="A227" s="8" t="inlineStr">
        <is>
          <t>PEND-5692CBBE1024-A001</t>
        </is>
      </c>
      <c r="B227" s="8" t="inlineStr">
        <is>
          <t>ABIERTO_NUEVO</t>
        </is>
      </c>
      <c r="C227" s="8" t="inlineStr">
        <is>
          <t>Banco egreso no Flexxus</t>
        </is>
      </c>
      <c r="D227" s="8" t="inlineStr">
        <is>
          <t>23/04/2026</t>
        </is>
      </c>
      <c r="E227" s="8" t="inlineStr">
        <is>
          <t>29841670</t>
        </is>
      </c>
      <c r="F227" s="8" t="inlineStr">
        <is>
          <t>GRAVAMEN LEY 25413 S/CRED</t>
        </is>
      </c>
      <c r="G227" s="8" t="inlineStr">
        <is>
          <t>Anticipo Ganancias Ley 25.413 créditos</t>
        </is>
      </c>
      <c r="H227" s="8" t="inlineStr">
        <is>
          <t>Anticipo Impuesto a las Ganancias</t>
        </is>
      </c>
      <c r="I227" s="9" t="n">
        <v>180.79</v>
      </c>
      <c r="J227" s="9" t="inlineStr"/>
      <c r="K227" s="8" t="inlineStr">
        <is>
          <t>Copiar en Flexxus: Tipo=MB-EXT | Movimiento=GRAVAMEN LEY 25.413 S/CRED | Monto=180,79 | Fecha: 23/04/2026</t>
        </is>
      </c>
    </row>
    <row r="228">
      <c r="A228" s="8" t="inlineStr">
        <is>
          <t>PEND-2AB4C1AA8E46-A001</t>
        </is>
      </c>
      <c r="B228" s="8" t="inlineStr">
        <is>
          <t>ABIERTO_NUEVO</t>
        </is>
      </c>
      <c r="C228" s="8" t="inlineStr">
        <is>
          <t>Banco egreso no Flexxus</t>
        </is>
      </c>
      <c r="D228" s="8" t="inlineStr">
        <is>
          <t>23/04/2026</t>
        </is>
      </c>
      <c r="E228" s="8" t="inlineStr">
        <is>
          <t>29841627</t>
        </is>
      </c>
      <c r="F228" s="8" t="inlineStr">
        <is>
          <t>INGRESOS BRUTOS MENDOZA</t>
        </is>
      </c>
      <c r="G228" s="8" t="inlineStr">
        <is>
          <t>Retención Ingresos Brutos Mendoza</t>
        </is>
      </c>
      <c r="H228" s="8" t="inlineStr">
        <is>
          <t>Retención de Ingresos Brutos</t>
        </is>
      </c>
      <c r="I228" s="9" t="n">
        <v>227.22</v>
      </c>
      <c r="J228" s="9" t="inlineStr"/>
      <c r="K228" s="8" t="inlineStr">
        <is>
          <t>Copiar en Flexxus: Tipo=MB-EXT | Movimiento=INGRESOS BRUTOS MENDOZA | Monto=227,22 | Fecha: 23/04/2026</t>
        </is>
      </c>
    </row>
    <row r="229">
      <c r="A229" s="8" t="inlineStr">
        <is>
          <t>PEND-200E4EB5C47B-A001</t>
        </is>
      </c>
      <c r="B229" s="8" t="inlineStr">
        <is>
          <t>ABIERTO_NUEVO</t>
        </is>
      </c>
      <c r="C229" s="8" t="inlineStr">
        <is>
          <t>Banco egreso no Flexxus</t>
        </is>
      </c>
      <c r="D229" s="8" t="inlineStr">
        <is>
          <t>23/04/2026</t>
        </is>
      </c>
      <c r="E229" s="8" t="inlineStr">
        <is>
          <t>29841627</t>
        </is>
      </c>
      <c r="F229" s="8" t="inlineStr">
        <is>
          <t>GRAVAMEN LEY 25413 S/CRED</t>
        </is>
      </c>
      <c r="G229" s="8" t="inlineStr">
        <is>
          <t>Anticipo Ganancias Ley 25.413 créditos</t>
        </is>
      </c>
      <c r="H229" s="8" t="inlineStr">
        <is>
          <t>Anticipo Impuesto a las Ganancias</t>
        </is>
      </c>
      <c r="I229" s="9" t="n">
        <v>136.33</v>
      </c>
      <c r="J229" s="9" t="inlineStr"/>
      <c r="K229" s="8" t="inlineStr">
        <is>
          <t>Copiar en Flexxus: Tipo=MB-EXT | Movimiento=GRAVAMEN LEY 25.413 S/CRED | Monto=136,33 | Fecha: 23/04/2026</t>
        </is>
      </c>
    </row>
    <row r="230">
      <c r="A230" s="8" t="inlineStr">
        <is>
          <t>PEND-3613775A0B68-A001</t>
        </is>
      </c>
      <c r="B230" s="8" t="inlineStr">
        <is>
          <t>ABIERTO_NUEVO</t>
        </is>
      </c>
      <c r="C230" s="8" t="inlineStr">
        <is>
          <t>Banco egreso no Flexxus</t>
        </is>
      </c>
      <c r="D230" s="8" t="inlineStr">
        <is>
          <t>23/04/2026</t>
        </is>
      </c>
      <c r="E230" s="8" t="inlineStr">
        <is>
          <t>32032899</t>
        </is>
      </c>
      <c r="F230" s="8" t="inlineStr">
        <is>
          <t>INGRESOS BRUTOS MENDOZA</t>
        </is>
      </c>
      <c r="G230" s="8" t="inlineStr">
        <is>
          <t>Retención Ingresos Brutos Mendoza</t>
        </is>
      </c>
      <c r="H230" s="8" t="inlineStr">
        <is>
          <t>Retención de Ingresos Brutos</t>
        </is>
      </c>
      <c r="I230" s="9" t="n">
        <v>24937.93</v>
      </c>
      <c r="J230" s="9" t="inlineStr"/>
      <c r="K230" s="8" t="inlineStr">
        <is>
          <t>Copiar en Flexxus: Tipo=MB-EXT | Movimiento=INGRESOS BRUTOS MENDOZA | Monto=24.937,93 | Fecha: 23/04/2026</t>
        </is>
      </c>
    </row>
    <row r="231">
      <c r="A231" s="8" t="inlineStr">
        <is>
          <t>PEND-D53E863D9640-A001</t>
        </is>
      </c>
      <c r="B231" s="8" t="inlineStr">
        <is>
          <t>ABIERTO_NUEVO</t>
        </is>
      </c>
      <c r="C231" s="8" t="inlineStr">
        <is>
          <t>Banco egreso no Flexxus</t>
        </is>
      </c>
      <c r="D231" s="8" t="inlineStr">
        <is>
          <t>23/04/2026</t>
        </is>
      </c>
      <c r="E231" s="8" t="inlineStr">
        <is>
          <t>32032899</t>
        </is>
      </c>
      <c r="F231" s="8" t="inlineStr">
        <is>
          <t>GRAVAMEN LEY 25413 S/CRED</t>
        </is>
      </c>
      <c r="G231" s="8" t="inlineStr">
        <is>
          <t>Anticipo Ganancias Ley 25.413 créditos</t>
        </is>
      </c>
      <c r="H231" s="8" t="inlineStr">
        <is>
          <t>Anticipo Impuesto a las Ganancias</t>
        </is>
      </c>
      <c r="I231" s="9" t="n">
        <v>14962.76</v>
      </c>
      <c r="J231" s="9" t="inlineStr"/>
      <c r="K231" s="8" t="inlineStr">
        <is>
          <t>Copiar en Flexxus: Tipo=MB-EXT | Movimiento=GRAVAMEN LEY 25.413 S/CRED | Monto=14.962,76 | Fecha: 23/04/2026</t>
        </is>
      </c>
    </row>
    <row r="232">
      <c r="A232" s="8" t="inlineStr">
        <is>
          <t>PEND-A67A0B325F3F-A001</t>
        </is>
      </c>
      <c r="B232" s="8" t="inlineStr">
        <is>
          <t>ABIERTO_NUEVO</t>
        </is>
      </c>
      <c r="C232" s="8" t="inlineStr">
        <is>
          <t>Banco egreso no Flexxus</t>
        </is>
      </c>
      <c r="D232" s="8" t="inlineStr">
        <is>
          <t>23/04/2026</t>
        </is>
      </c>
      <c r="E232" s="8" t="inlineStr">
        <is>
          <t>32032899</t>
        </is>
      </c>
      <c r="F232" s="8" t="inlineStr">
        <is>
          <t>INGRESOS BRUTOS MENDOZA</t>
        </is>
      </c>
      <c r="G232" s="8" t="inlineStr">
        <is>
          <t>Retención Ingresos Brutos Mendoza</t>
        </is>
      </c>
      <c r="H232" s="8" t="inlineStr">
        <is>
          <t>Retención de Ingresos Brutos</t>
        </is>
      </c>
      <c r="I232" s="9" t="n">
        <v>2895.89</v>
      </c>
      <c r="J232" s="9" t="inlineStr"/>
      <c r="K232" s="8" t="inlineStr">
        <is>
          <t>Copiar en Flexxus: Tipo=MB-EXT | Movimiento=INGRESOS BRUTOS MENDOZA | Monto=2.895,89 | Fecha: 23/04/2026</t>
        </is>
      </c>
    </row>
    <row r="233">
      <c r="A233" s="8" t="inlineStr">
        <is>
          <t>PEND-BE354DF7C1DE-A001</t>
        </is>
      </c>
      <c r="B233" s="8" t="inlineStr">
        <is>
          <t>ABIERTO_NUEVO</t>
        </is>
      </c>
      <c r="C233" s="8" t="inlineStr">
        <is>
          <t>Banco egreso no Flexxus</t>
        </is>
      </c>
      <c r="D233" s="8" t="inlineStr">
        <is>
          <t>23/04/2026</t>
        </is>
      </c>
      <c r="E233" s="8" t="inlineStr">
        <is>
          <t>32032899</t>
        </is>
      </c>
      <c r="F233" s="8" t="inlineStr">
        <is>
          <t>GRAVAMEN LEY 25413 S/CRED</t>
        </is>
      </c>
      <c r="G233" s="8" t="inlineStr">
        <is>
          <t>Anticipo Ganancias Ley 25.413 créditos</t>
        </is>
      </c>
      <c r="H233" s="8" t="inlineStr">
        <is>
          <t>Anticipo Impuesto a las Ganancias</t>
        </is>
      </c>
      <c r="I233" s="9" t="n">
        <v>1737.53</v>
      </c>
      <c r="J233" s="9" t="inlineStr"/>
      <c r="K233" s="8" t="inlineStr">
        <is>
          <t>Copiar en Flexxus: Tipo=MB-EXT | Movimiento=GRAVAMEN LEY 25.413 S/CRED | Monto=1.737,53 | Fecha: 23/04/2026</t>
        </is>
      </c>
    </row>
    <row r="234">
      <c r="A234" s="8" t="inlineStr">
        <is>
          <t>PEND-605E9691E5C5-A001</t>
        </is>
      </c>
      <c r="B234" s="8" t="inlineStr">
        <is>
          <t>ABIERTO_NUEVO</t>
        </is>
      </c>
      <c r="C234" s="8" t="inlineStr">
        <is>
          <t>Banco egreso no Flexxus</t>
        </is>
      </c>
      <c r="D234" s="8" t="inlineStr">
        <is>
          <t>23/04/2026</t>
        </is>
      </c>
      <c r="E234" s="8" t="inlineStr">
        <is>
          <t>31995644</t>
        </is>
      </c>
      <c r="F234" s="8" t="inlineStr">
        <is>
          <t>INGRESOS BRUTOS MENDOZA</t>
        </is>
      </c>
      <c r="G234" s="8" t="inlineStr">
        <is>
          <t>Retención Ingresos Brutos Mendoza</t>
        </is>
      </c>
      <c r="H234" s="8" t="inlineStr">
        <is>
          <t>Retención de Ingresos Brutos</t>
        </is>
      </c>
      <c r="I234" s="9" t="n">
        <v>22153.06</v>
      </c>
      <c r="J234" s="9" t="inlineStr"/>
      <c r="K234" s="8" t="inlineStr">
        <is>
          <t>Copiar en Flexxus: Tipo=MB-EXT | Movimiento=INGRESOS BRUTOS MENDOZA | Monto=22.153,06 | Fecha: 23/04/2026</t>
        </is>
      </c>
    </row>
    <row r="235">
      <c r="A235" s="8" t="inlineStr">
        <is>
          <t>PEND-3EFE3C779F73-A001</t>
        </is>
      </c>
      <c r="B235" s="8" t="inlineStr">
        <is>
          <t>ABIERTO_NUEVO</t>
        </is>
      </c>
      <c r="C235" s="8" t="inlineStr">
        <is>
          <t>Banco egreso no Flexxus</t>
        </is>
      </c>
      <c r="D235" s="8" t="inlineStr">
        <is>
          <t>23/04/2026</t>
        </is>
      </c>
      <c r="E235" s="8" t="inlineStr">
        <is>
          <t>31995644</t>
        </is>
      </c>
      <c r="F235" s="8" t="inlineStr">
        <is>
          <t>GRAVAMEN LEY 25413 S/CRED</t>
        </is>
      </c>
      <c r="G235" s="8" t="inlineStr">
        <is>
          <t>Anticipo Ganancias Ley 25.413 créditos</t>
        </is>
      </c>
      <c r="H235" s="8" t="inlineStr">
        <is>
          <t>Anticipo Impuesto a las Ganancias</t>
        </is>
      </c>
      <c r="I235" s="9" t="n">
        <v>13291.83</v>
      </c>
      <c r="J235" s="9" t="inlineStr"/>
      <c r="K235" s="8" t="inlineStr">
        <is>
          <t>Copiar en Flexxus: Tipo=MB-EXT | Movimiento=GRAVAMEN LEY 25.413 S/CRED | Monto=13.291,83 | Fecha: 23/04/2026</t>
        </is>
      </c>
    </row>
    <row r="236">
      <c r="A236" s="8" t="inlineStr">
        <is>
          <t>PEND-7CBD39B6929D-A001</t>
        </is>
      </c>
      <c r="B236" s="8" t="inlineStr">
        <is>
          <t>ABIERTO_NUEVO</t>
        </is>
      </c>
      <c r="C236" s="8" t="inlineStr">
        <is>
          <t>Banco egreso no Flexxus</t>
        </is>
      </c>
      <c r="D236" s="8" t="inlineStr">
        <is>
          <t>23/04/2026</t>
        </is>
      </c>
      <c r="E236" s="8" t="inlineStr">
        <is>
          <t>31995644</t>
        </is>
      </c>
      <c r="F236" s="8" t="inlineStr">
        <is>
          <t>INGRESOS BRUTOS MENDOZA</t>
        </is>
      </c>
      <c r="G236" s="8" t="inlineStr">
        <is>
          <t>Retención Ingresos Brutos Mendoza</t>
        </is>
      </c>
      <c r="H236" s="8" t="inlineStr">
        <is>
          <t>Retención de Ingresos Brutos</t>
        </is>
      </c>
      <c r="I236" s="9" t="n">
        <v>718.99</v>
      </c>
      <c r="J236" s="9" t="inlineStr"/>
      <c r="K236" s="8" t="inlineStr">
        <is>
          <t>Copiar en Flexxus: Tipo=MB-EXT | Movimiento=INGRESOS BRUTOS MENDOZA | Monto=718,99 | Fecha: 23/04/2026</t>
        </is>
      </c>
    </row>
    <row r="237">
      <c r="A237" s="8" t="inlineStr">
        <is>
          <t>PEND-810CE01E6A99-A001</t>
        </is>
      </c>
      <c r="B237" s="8" t="inlineStr">
        <is>
          <t>ABIERTO_NUEVO</t>
        </is>
      </c>
      <c r="C237" s="8" t="inlineStr">
        <is>
          <t>Banco egreso no Flexxus</t>
        </is>
      </c>
      <c r="D237" s="8" t="inlineStr">
        <is>
          <t>23/04/2026</t>
        </is>
      </c>
      <c r="E237" s="8" t="inlineStr">
        <is>
          <t>31995644</t>
        </is>
      </c>
      <c r="F237" s="8" t="inlineStr">
        <is>
          <t>GRAVAMEN LEY 25413 S/CRED</t>
        </is>
      </c>
      <c r="G237" s="8" t="inlineStr">
        <is>
          <t>Anticipo Ganancias Ley 25.413 créditos</t>
        </is>
      </c>
      <c r="H237" s="8" t="inlineStr">
        <is>
          <t>Anticipo Impuesto a las Ganancias</t>
        </is>
      </c>
      <c r="I237" s="9" t="n">
        <v>431.4</v>
      </c>
      <c r="J237" s="9" t="inlineStr"/>
      <c r="K237" s="8" t="inlineStr">
        <is>
          <t>Copiar en Flexxus: Tipo=MB-EXT | Movimiento=GRAVAMEN LEY 25.413 S/CRED | Monto=431,40 | Fecha: 23/04/2026</t>
        </is>
      </c>
    </row>
    <row r="238">
      <c r="A238" s="8" t="inlineStr">
        <is>
          <t>PEND-73E1A49E5F0F-A001</t>
        </is>
      </c>
      <c r="B238" s="8" t="inlineStr">
        <is>
          <t>ABIERTO_NUEVO</t>
        </is>
      </c>
      <c r="C238" s="8" t="inlineStr">
        <is>
          <t>Banco egreso no Flexxus</t>
        </is>
      </c>
      <c r="D238" s="8" t="inlineStr">
        <is>
          <t>23/04/2026</t>
        </is>
      </c>
      <c r="E238" s="8" t="inlineStr">
        <is>
          <t>29841705</t>
        </is>
      </c>
      <c r="F238" s="8" t="inlineStr">
        <is>
          <t>INGRESOS BRUTOS MENDOZA</t>
        </is>
      </c>
      <c r="G238" s="8" t="inlineStr">
        <is>
          <t>Retención Ingresos Brutos Mendoza</t>
        </is>
      </c>
      <c r="H238" s="8" t="inlineStr">
        <is>
          <t>Retención de Ingresos Brutos</t>
        </is>
      </c>
      <c r="I238" s="9" t="n">
        <v>4568.7</v>
      </c>
      <c r="J238" s="9" t="inlineStr"/>
      <c r="K238" s="8" t="inlineStr">
        <is>
          <t>Copiar en Flexxus: Tipo=MB-EXT | Movimiento=INGRESOS BRUTOS MENDOZA | Monto=4.568,70 | Fecha: 23/04/2026</t>
        </is>
      </c>
    </row>
    <row r="239">
      <c r="A239" s="8" t="inlineStr">
        <is>
          <t>PEND-6C4DB9F894E9-A001</t>
        </is>
      </c>
      <c r="B239" s="8" t="inlineStr">
        <is>
          <t>ABIERTO_NUEVO</t>
        </is>
      </c>
      <c r="C239" s="8" t="inlineStr">
        <is>
          <t>Banco egreso no Flexxus</t>
        </is>
      </c>
      <c r="D239" s="8" t="inlineStr">
        <is>
          <t>23/04/2026</t>
        </is>
      </c>
      <c r="E239" s="8" t="inlineStr">
        <is>
          <t>29841705</t>
        </is>
      </c>
      <c r="F239" s="8" t="inlineStr">
        <is>
          <t>GRAVAMEN LEY 25413 S/CRED</t>
        </is>
      </c>
      <c r="G239" s="8" t="inlineStr">
        <is>
          <t>Anticipo Ganancias Ley 25.413 créditos</t>
        </is>
      </c>
      <c r="H239" s="8" t="inlineStr">
        <is>
          <t>Anticipo Impuesto a las Ganancias</t>
        </is>
      </c>
      <c r="I239" s="9" t="n">
        <v>2741.22</v>
      </c>
      <c r="J239" s="9" t="inlineStr"/>
      <c r="K239" s="8" t="inlineStr">
        <is>
          <t>Copiar en Flexxus: Tipo=MB-EXT | Movimiento=GRAVAMEN LEY 25.413 S/CRED | Monto=2.741,22 | Fecha: 23/04/2026</t>
        </is>
      </c>
    </row>
    <row r="240">
      <c r="A240" s="8" t="inlineStr">
        <is>
          <t>PEND-5E0DB63EC900-A001</t>
        </is>
      </c>
      <c r="B240" s="8" t="inlineStr">
        <is>
          <t>ABIERTO_NUEVO</t>
        </is>
      </c>
      <c r="C240" s="8" t="inlineStr">
        <is>
          <t>Banco egreso no Flexxus</t>
        </is>
      </c>
      <c r="D240" s="8" t="inlineStr">
        <is>
          <t>23/04/2026</t>
        </is>
      </c>
      <c r="E240" s="8" t="inlineStr">
        <is>
          <t>29841683</t>
        </is>
      </c>
      <c r="F240" s="8" t="inlineStr">
        <is>
          <t>INGRESOS BRUTOS MENDOZA</t>
        </is>
      </c>
      <c r="G240" s="8" t="inlineStr">
        <is>
          <t>Retención Ingresos Brutos Mendoza</t>
        </is>
      </c>
      <c r="H240" s="8" t="inlineStr">
        <is>
          <t>Retención de Ingresos Brutos</t>
        </is>
      </c>
      <c r="I240" s="9" t="n">
        <v>1033.39</v>
      </c>
      <c r="J240" s="9" t="inlineStr"/>
      <c r="K240" s="8" t="inlineStr">
        <is>
          <t>Copiar en Flexxus: Tipo=MB-EXT | Movimiento=INGRESOS BRUTOS MENDOZA | Monto=1.033,39 | Fecha: 23/04/2026</t>
        </is>
      </c>
    </row>
    <row r="241">
      <c r="A241" s="8" t="inlineStr">
        <is>
          <t>PEND-CD1C5BC3B595-A001</t>
        </is>
      </c>
      <c r="B241" s="8" t="inlineStr">
        <is>
          <t>ABIERTO_NUEVO</t>
        </is>
      </c>
      <c r="C241" s="8" t="inlineStr">
        <is>
          <t>Banco egreso no Flexxus</t>
        </is>
      </c>
      <c r="D241" s="8" t="inlineStr">
        <is>
          <t>23/04/2026</t>
        </is>
      </c>
      <c r="E241" s="8" t="inlineStr">
        <is>
          <t>29841683</t>
        </is>
      </c>
      <c r="F241" s="8" t="inlineStr">
        <is>
          <t>GRAVAMEN LEY 25413 S/CRED</t>
        </is>
      </c>
      <c r="G241" s="8" t="inlineStr">
        <is>
          <t>Anticipo Ganancias Ley 25.413 créditos</t>
        </is>
      </c>
      <c r="H241" s="8" t="inlineStr">
        <is>
          <t>Anticipo Impuesto a las Ganancias</t>
        </is>
      </c>
      <c r="I241" s="9" t="n">
        <v>620.03</v>
      </c>
      <c r="J241" s="9" t="inlineStr"/>
      <c r="K241" s="8" t="inlineStr">
        <is>
          <t>Copiar en Flexxus: Tipo=MB-EXT | Movimiento=GRAVAMEN LEY 25.413 S/CRED | Monto=620,03 | Fecha: 23/04/2026</t>
        </is>
      </c>
    </row>
    <row r="242">
      <c r="A242" s="8" t="inlineStr">
        <is>
          <t>PEND-45F6EE2BE0A1-A001</t>
        </is>
      </c>
      <c r="B242" s="8" t="inlineStr">
        <is>
          <t>ABIERTO_NUEVO</t>
        </is>
      </c>
      <c r="C242" s="8" t="inlineStr">
        <is>
          <t>Banco egreso no Flexxus</t>
        </is>
      </c>
      <c r="D242" s="8" t="inlineStr">
        <is>
          <t>23/04/2026</t>
        </is>
      </c>
      <c r="E242" s="8" t="inlineStr">
        <is>
          <t>29841670</t>
        </is>
      </c>
      <c r="F242" s="8" t="inlineStr">
        <is>
          <t>INGRESOS BRUTOS MENDOZA</t>
        </is>
      </c>
      <c r="G242" s="8" t="inlineStr">
        <is>
          <t>Retención Ingresos Brutos Mendoza</t>
        </is>
      </c>
      <c r="H242" s="8" t="inlineStr">
        <is>
          <t>Retención de Ingresos Brutos</t>
        </is>
      </c>
      <c r="I242" s="9" t="n">
        <v>1897.68</v>
      </c>
      <c r="J242" s="9" t="inlineStr"/>
      <c r="K242" s="8" t="inlineStr">
        <is>
          <t>Copiar en Flexxus: Tipo=MB-EXT | Movimiento=INGRESOS BRUTOS MENDOZA | Monto=1.897,68 | Fecha: 23/04/2026</t>
        </is>
      </c>
    </row>
    <row r="243">
      <c r="A243" s="8" t="inlineStr">
        <is>
          <t>PEND-BA211E922EDB-A001</t>
        </is>
      </c>
      <c r="B243" s="8" t="inlineStr">
        <is>
          <t>ABIERTO_NUEVO</t>
        </is>
      </c>
      <c r="C243" s="8" t="inlineStr">
        <is>
          <t>Banco egreso no Flexxus</t>
        </is>
      </c>
      <c r="D243" s="8" t="inlineStr">
        <is>
          <t>23/04/2026</t>
        </is>
      </c>
      <c r="E243" s="8" t="inlineStr">
        <is>
          <t>29841670</t>
        </is>
      </c>
      <c r="F243" s="8" t="inlineStr">
        <is>
          <t>GRAVAMEN LEY 25413 S/CRED</t>
        </is>
      </c>
      <c r="G243" s="8" t="inlineStr">
        <is>
          <t>Anticipo Ganancias Ley 25.413 créditos</t>
        </is>
      </c>
      <c r="H243" s="8" t="inlineStr">
        <is>
          <t>Anticipo Impuesto a las Ganancias</t>
        </is>
      </c>
      <c r="I243" s="9" t="n">
        <v>1138.61</v>
      </c>
      <c r="J243" s="9" t="inlineStr"/>
      <c r="K243" s="8" t="inlineStr">
        <is>
          <t>Copiar en Flexxus: Tipo=MB-EXT | Movimiento=GRAVAMEN LEY 25.413 S/CRED | Monto=1.138,61 | Fecha: 23/04/2026</t>
        </is>
      </c>
    </row>
    <row r="244">
      <c r="A244" s="8" t="inlineStr">
        <is>
          <t>PEND-95AFDD47A664-A001</t>
        </is>
      </c>
      <c r="B244" s="8" t="inlineStr">
        <is>
          <t>ABIERTO_NUEVO</t>
        </is>
      </c>
      <c r="C244" s="8" t="inlineStr">
        <is>
          <t>Banco egreso no Flexxus</t>
        </is>
      </c>
      <c r="D244" s="8" t="inlineStr">
        <is>
          <t>23/04/2026</t>
        </is>
      </c>
      <c r="E244" s="8" t="inlineStr">
        <is>
          <t>29841642</t>
        </is>
      </c>
      <c r="F244" s="8" t="inlineStr">
        <is>
          <t>INGRESOS BRUTOS MENDOZA</t>
        </is>
      </c>
      <c r="G244" s="8" t="inlineStr">
        <is>
          <t>Retención Ingresos Brutos Mendoza</t>
        </is>
      </c>
      <c r="H244" s="8" t="inlineStr">
        <is>
          <t>Retención de Ingresos Brutos</t>
        </is>
      </c>
      <c r="I244" s="9" t="n">
        <v>4386.85</v>
      </c>
      <c r="J244" s="9" t="inlineStr"/>
      <c r="K244" s="8" t="inlineStr">
        <is>
          <t>Copiar en Flexxus: Tipo=MB-EXT | Movimiento=INGRESOS BRUTOS MENDOZA | Monto=4.386,85 | Fecha: 23/04/2026</t>
        </is>
      </c>
    </row>
    <row r="245">
      <c r="A245" s="8" t="inlineStr">
        <is>
          <t>PEND-03FCA352A61F-A001</t>
        </is>
      </c>
      <c r="B245" s="8" t="inlineStr">
        <is>
          <t>ABIERTO_NUEVO</t>
        </is>
      </c>
      <c r="C245" s="8" t="inlineStr">
        <is>
          <t>Banco egreso no Flexxus</t>
        </is>
      </c>
      <c r="D245" s="8" t="inlineStr">
        <is>
          <t>23/04/2026</t>
        </is>
      </c>
      <c r="E245" s="8" t="inlineStr">
        <is>
          <t>29841642</t>
        </is>
      </c>
      <c r="F245" s="8" t="inlineStr">
        <is>
          <t>GRAVAMEN LEY 25413 S/CRED</t>
        </is>
      </c>
      <c r="G245" s="8" t="inlineStr">
        <is>
          <t>Anticipo Ganancias Ley 25.413 créditos</t>
        </is>
      </c>
      <c r="H245" s="8" t="inlineStr">
        <is>
          <t>Anticipo Impuesto a las Ganancias</t>
        </is>
      </c>
      <c r="I245" s="9" t="n">
        <v>2632.11</v>
      </c>
      <c r="J245" s="9" t="inlineStr"/>
      <c r="K245" s="8" t="inlineStr">
        <is>
          <t>Copiar en Flexxus: Tipo=MB-EXT | Movimiento=GRAVAMEN LEY 25.413 S/CRED | Monto=2.632,11 | Fecha: 23/04/2026</t>
        </is>
      </c>
    </row>
    <row r="246">
      <c r="A246" s="8" t="inlineStr">
        <is>
          <t>PEND-C801B289EB8D-A001</t>
        </is>
      </c>
      <c r="B246" s="8" t="inlineStr">
        <is>
          <t>ABIERTO_NUEVO</t>
        </is>
      </c>
      <c r="C246" s="8" t="inlineStr">
        <is>
          <t>Banco egreso no Flexxus</t>
        </is>
      </c>
      <c r="D246" s="8" t="inlineStr">
        <is>
          <t>23/04/2026</t>
        </is>
      </c>
      <c r="E246" s="8" t="inlineStr">
        <is>
          <t>29841627</t>
        </is>
      </c>
      <c r="F246" s="8" t="inlineStr">
        <is>
          <t>INGRESOS BRUTOS MENDOZA</t>
        </is>
      </c>
      <c r="G246" s="8" t="inlineStr">
        <is>
          <t>Retención Ingresos Brutos Mendoza</t>
        </is>
      </c>
      <c r="H246" s="8" t="inlineStr">
        <is>
          <t>Retención de Ingresos Brutos</t>
        </is>
      </c>
      <c r="I246" s="9" t="n">
        <v>2321.99</v>
      </c>
      <c r="J246" s="9" t="inlineStr"/>
      <c r="K246" s="8" t="inlineStr">
        <is>
          <t>Copiar en Flexxus: Tipo=MB-EXT | Movimiento=INGRESOS BRUTOS MENDOZA | Monto=2.321,99 | Fecha: 23/04/2026</t>
        </is>
      </c>
    </row>
    <row r="247">
      <c r="A247" s="8" t="inlineStr">
        <is>
          <t>PEND-279D148DCB1F-A001</t>
        </is>
      </c>
      <c r="B247" s="8" t="inlineStr">
        <is>
          <t>ABIERTO_NUEVO</t>
        </is>
      </c>
      <c r="C247" s="8" t="inlineStr">
        <is>
          <t>Banco egreso no Flexxus</t>
        </is>
      </c>
      <c r="D247" s="8" t="inlineStr">
        <is>
          <t>23/04/2026</t>
        </is>
      </c>
      <c r="E247" s="8" t="inlineStr">
        <is>
          <t>29841627</t>
        </is>
      </c>
      <c r="F247" s="8" t="inlineStr">
        <is>
          <t>GRAVAMEN LEY 25413 S/CRED</t>
        </is>
      </c>
      <c r="G247" s="8" t="inlineStr">
        <is>
          <t>Anticipo Ganancias Ley 25.413 créditos</t>
        </is>
      </c>
      <c r="H247" s="8" t="inlineStr">
        <is>
          <t>Anticipo Impuesto a las Ganancias</t>
        </is>
      </c>
      <c r="I247" s="9" t="n">
        <v>1393.19</v>
      </c>
      <c r="J247" s="9" t="inlineStr"/>
      <c r="K247" s="8" t="inlineStr">
        <is>
          <t>Copiar en Flexxus: Tipo=MB-EXT | Movimiento=GRAVAMEN LEY 25.413 S/CRED | Monto=1.393,19 | Fecha: 23/04/2026</t>
        </is>
      </c>
    </row>
    <row r="248">
      <c r="A248" s="8" t="inlineStr">
        <is>
          <t>PEND-6C2A8E3A5967-A001</t>
        </is>
      </c>
      <c r="B248" s="8" t="inlineStr">
        <is>
          <t>ABIERTO_NUEVO</t>
        </is>
      </c>
      <c r="C248" s="8" t="inlineStr">
        <is>
          <t>Banco egreso no Flexxus</t>
        </is>
      </c>
      <c r="D248" s="8" t="inlineStr">
        <is>
          <t>23/04/2026</t>
        </is>
      </c>
      <c r="E248" s="8" t="inlineStr">
        <is>
          <t>32032899</t>
        </is>
      </c>
      <c r="F248" s="8" t="inlineStr">
        <is>
          <t>INGRESOS BRUTOS MENDOZA</t>
        </is>
      </c>
      <c r="G248" s="8" t="inlineStr">
        <is>
          <t>Retención Ingresos Brutos Mendoza</t>
        </is>
      </c>
      <c r="H248" s="8" t="inlineStr">
        <is>
          <t>Retención de Ingresos Brutos</t>
        </is>
      </c>
      <c r="I248" s="9" t="n">
        <v>8368.940000000001</v>
      </c>
      <c r="J248" s="9" t="inlineStr"/>
      <c r="K248" s="8" t="inlineStr">
        <is>
          <t>Copiar en Flexxus: Tipo=MB-EXT | Movimiento=INGRESOS BRUTOS MENDOZA | Monto=8.368,94 | Fecha: 23/04/2026</t>
        </is>
      </c>
    </row>
    <row r="249">
      <c r="A249" s="8" t="inlineStr">
        <is>
          <t>PEND-9D19F71417C6-A001</t>
        </is>
      </c>
      <c r="B249" s="8" t="inlineStr">
        <is>
          <t>ABIERTO_NUEVO</t>
        </is>
      </c>
      <c r="C249" s="8" t="inlineStr">
        <is>
          <t>Banco egreso no Flexxus</t>
        </is>
      </c>
      <c r="D249" s="8" t="inlineStr">
        <is>
          <t>23/04/2026</t>
        </is>
      </c>
      <c r="E249" s="8" t="inlineStr">
        <is>
          <t>32032899</t>
        </is>
      </c>
      <c r="F249" s="8" t="inlineStr">
        <is>
          <t>GRAVAMEN LEY 25413 S/CRED</t>
        </is>
      </c>
      <c r="G249" s="8" t="inlineStr">
        <is>
          <t>Anticipo Ganancias Ley 25.413 créditos</t>
        </is>
      </c>
      <c r="H249" s="8" t="inlineStr">
        <is>
          <t>Anticipo Impuesto a las Ganancias</t>
        </is>
      </c>
      <c r="I249" s="9" t="n">
        <v>5021.36</v>
      </c>
      <c r="J249" s="9" t="inlineStr"/>
      <c r="K249" s="8" t="inlineStr">
        <is>
          <t>Copiar en Flexxus: Tipo=MB-EXT | Movimiento=GRAVAMEN LEY 25.413 S/CRED | Monto=5.021,36 | Fecha: 23/04/2026</t>
        </is>
      </c>
    </row>
    <row r="250">
      <c r="A250" s="8" t="inlineStr">
        <is>
          <t>PEND-B7CCE7D02C68-A001</t>
        </is>
      </c>
      <c r="B250" s="8" t="inlineStr">
        <is>
          <t>ABIERTO_NUEVO</t>
        </is>
      </c>
      <c r="C250" s="8" t="inlineStr">
        <is>
          <t>Banco egreso no Flexxus</t>
        </is>
      </c>
      <c r="D250" s="8" t="inlineStr">
        <is>
          <t>23/04/2026</t>
        </is>
      </c>
      <c r="E250" s="8" t="inlineStr">
        <is>
          <t>31995644</t>
        </is>
      </c>
      <c r="F250" s="8" t="inlineStr">
        <is>
          <t>INGRESOS BRUTOS MENDOZA</t>
        </is>
      </c>
      <c r="G250" s="8" t="inlineStr">
        <is>
          <t>Retención Ingresos Brutos Mendoza</t>
        </is>
      </c>
      <c r="H250" s="8" t="inlineStr">
        <is>
          <t>Retención de Ingresos Brutos</t>
        </is>
      </c>
      <c r="I250" s="9" t="n">
        <v>6957.17</v>
      </c>
      <c r="J250" s="9" t="inlineStr"/>
      <c r="K250" s="8" t="inlineStr">
        <is>
          <t>Copiar en Flexxus: Tipo=MB-EXT | Movimiento=INGRESOS BRUTOS MENDOZA | Monto=6.957,17 | Fecha: 23/04/2026</t>
        </is>
      </c>
    </row>
    <row r="251">
      <c r="A251" s="8" t="inlineStr">
        <is>
          <t>PEND-39436CBB23EE-A001</t>
        </is>
      </c>
      <c r="B251" s="8" t="inlineStr">
        <is>
          <t>ABIERTO_NUEVO</t>
        </is>
      </c>
      <c r="C251" s="8" t="inlineStr">
        <is>
          <t>Banco egreso no Flexxus</t>
        </is>
      </c>
      <c r="D251" s="8" t="inlineStr">
        <is>
          <t>23/04/2026</t>
        </is>
      </c>
      <c r="E251" s="8" t="inlineStr">
        <is>
          <t>31995644</t>
        </is>
      </c>
      <c r="F251" s="8" t="inlineStr">
        <is>
          <t>GRAVAMEN LEY 25413 S/CRED</t>
        </is>
      </c>
      <c r="G251" s="8" t="inlineStr">
        <is>
          <t>Anticipo Ganancias Ley 25.413 créditos</t>
        </is>
      </c>
      <c r="H251" s="8" t="inlineStr">
        <is>
          <t>Anticipo Impuesto a las Ganancias</t>
        </is>
      </c>
      <c r="I251" s="9" t="n">
        <v>4174.3</v>
      </c>
      <c r="J251" s="9" t="inlineStr"/>
      <c r="K251" s="8" t="inlineStr">
        <is>
          <t>Copiar en Flexxus: Tipo=MB-EXT | Movimiento=GRAVAMEN LEY 25.413 S/CRED | Monto=4.174,30 | Fecha: 23/04/2026</t>
        </is>
      </c>
    </row>
    <row r="252">
      <c r="A252" s="8" t="inlineStr">
        <is>
          <t>PEND-727F53B13F36-A001</t>
        </is>
      </c>
      <c r="B252" s="8" t="inlineStr">
        <is>
          <t>ABIERTO_NUEVO</t>
        </is>
      </c>
      <c r="C252" s="8" t="inlineStr">
        <is>
          <t>Banco egreso no Flexxus</t>
        </is>
      </c>
      <c r="D252" s="8" t="inlineStr">
        <is>
          <t>23/04/2026</t>
        </is>
      </c>
      <c r="E252" s="8" t="inlineStr">
        <is>
          <t>29841705</t>
        </is>
      </c>
      <c r="F252" s="8" t="inlineStr">
        <is>
          <t>INGRESOS BRUTOS MENDOZA</t>
        </is>
      </c>
      <c r="G252" s="8" t="inlineStr">
        <is>
          <t>Retención Ingresos Brutos Mendoza</t>
        </is>
      </c>
      <c r="H252" s="8" t="inlineStr">
        <is>
          <t>Retención de Ingresos Brutos</t>
        </is>
      </c>
      <c r="I252" s="9" t="n">
        <v>432.37</v>
      </c>
      <c r="J252" s="9" t="inlineStr"/>
      <c r="K252" s="8" t="inlineStr">
        <is>
          <t>Copiar en Flexxus: Tipo=MB-EXT | Movimiento=INGRESOS BRUTOS MENDOZA | Monto=432,37 | Fecha: 23/04/2026</t>
        </is>
      </c>
    </row>
    <row r="253">
      <c r="A253" s="8" t="inlineStr">
        <is>
          <t>PEND-20A445BAC6AE-A001</t>
        </is>
      </c>
      <c r="B253" s="8" t="inlineStr">
        <is>
          <t>ABIERTO_NUEVO</t>
        </is>
      </c>
      <c r="C253" s="8" t="inlineStr">
        <is>
          <t>Banco egreso no Flexxus</t>
        </is>
      </c>
      <c r="D253" s="8" t="inlineStr">
        <is>
          <t>23/04/2026</t>
        </is>
      </c>
      <c r="E253" s="8" t="inlineStr">
        <is>
          <t>29841705</t>
        </is>
      </c>
      <c r="F253" s="8" t="inlineStr">
        <is>
          <t>GRAVAMEN LEY 25413 S/CRED</t>
        </is>
      </c>
      <c r="G253" s="8" t="inlineStr">
        <is>
          <t>Anticipo Ganancias Ley 25.413 créditos</t>
        </is>
      </c>
      <c r="H253" s="8" t="inlineStr">
        <is>
          <t>Anticipo Impuesto a las Ganancias</t>
        </is>
      </c>
      <c r="I253" s="9" t="n">
        <v>259.42</v>
      </c>
      <c r="J253" s="9" t="inlineStr"/>
      <c r="K253" s="8" t="inlineStr">
        <is>
          <t>Copiar en Flexxus: Tipo=MB-EXT | Movimiento=GRAVAMEN LEY 25.413 S/CRED | Monto=259,42 | Fecha: 23/04/2026</t>
        </is>
      </c>
    </row>
    <row r="254">
      <c r="A254" s="8" t="inlineStr">
        <is>
          <t>PEND-2436F891CE33-A001</t>
        </is>
      </c>
      <c r="B254" s="8" t="inlineStr">
        <is>
          <t>ABIERTO_NUEVO</t>
        </is>
      </c>
      <c r="C254" s="8" t="inlineStr">
        <is>
          <t>Banco egreso no Flexxus</t>
        </is>
      </c>
      <c r="D254" s="8" t="inlineStr">
        <is>
          <t>23/04/2026</t>
        </is>
      </c>
      <c r="E254" s="8" t="inlineStr">
        <is>
          <t>29841683</t>
        </is>
      </c>
      <c r="F254" s="8" t="inlineStr">
        <is>
          <t>INGRESOS BRUTOS MENDOZA</t>
        </is>
      </c>
      <c r="G254" s="8" t="inlineStr">
        <is>
          <t>Retención Ingresos Brutos Mendoza</t>
        </is>
      </c>
      <c r="H254" s="8" t="inlineStr">
        <is>
          <t>Retención de Ingresos Brutos</t>
        </is>
      </c>
      <c r="I254" s="9" t="n">
        <v>1199.61</v>
      </c>
      <c r="J254" s="9" t="inlineStr"/>
      <c r="K254" s="8" t="inlineStr">
        <is>
          <t>Copiar en Flexxus: Tipo=MB-EXT | Movimiento=INGRESOS BRUTOS MENDOZA | Monto=1.199,61 | Fecha: 23/04/2026</t>
        </is>
      </c>
    </row>
    <row r="255">
      <c r="A255" s="8" t="inlineStr">
        <is>
          <t>PEND-3A78D737A17D-A001</t>
        </is>
      </c>
      <c r="B255" s="8" t="inlineStr">
        <is>
          <t>ABIERTO_NUEVO</t>
        </is>
      </c>
      <c r="C255" s="8" t="inlineStr">
        <is>
          <t>Banco egreso no Flexxus</t>
        </is>
      </c>
      <c r="D255" s="8" t="inlineStr">
        <is>
          <t>23/04/2026</t>
        </is>
      </c>
      <c r="E255" s="8" t="inlineStr">
        <is>
          <t>29841683</t>
        </is>
      </c>
      <c r="F255" s="8" t="inlineStr">
        <is>
          <t>GRAVAMEN LEY 25413 S/CRED</t>
        </is>
      </c>
      <c r="G255" s="8" t="inlineStr">
        <is>
          <t>Anticipo Ganancias Ley 25.413 créditos</t>
        </is>
      </c>
      <c r="H255" s="8" t="inlineStr">
        <is>
          <t>Anticipo Impuesto a las Ganancias</t>
        </is>
      </c>
      <c r="I255" s="9" t="n">
        <v>719.77</v>
      </c>
      <c r="J255" s="9" t="inlineStr"/>
      <c r="K255" s="8" t="inlineStr">
        <is>
          <t>Copiar en Flexxus: Tipo=MB-EXT | Movimiento=GRAVAMEN LEY 25.413 S/CRED | Monto=719,77 | Fecha: 23/04/2026</t>
        </is>
      </c>
    </row>
    <row r="256">
      <c r="A256" s="8" t="inlineStr">
        <is>
          <t>PEND-58314667C511-A001</t>
        </is>
      </c>
      <c r="B256" s="8" t="inlineStr">
        <is>
          <t>ABIERTO_NUEVO</t>
        </is>
      </c>
      <c r="C256" s="8" t="inlineStr">
        <is>
          <t>Banco egreso no Flexxus</t>
        </is>
      </c>
      <c r="D256" s="8" t="inlineStr">
        <is>
          <t>23/04/2026</t>
        </is>
      </c>
      <c r="E256" s="8" t="inlineStr">
        <is>
          <t>29841670</t>
        </is>
      </c>
      <c r="F256" s="8" t="inlineStr">
        <is>
          <t>INGRESOS BRUTOS MENDOZA</t>
        </is>
      </c>
      <c r="G256" s="8" t="inlineStr">
        <is>
          <t>Retención Ingresos Brutos Mendoza</t>
        </is>
      </c>
      <c r="H256" s="8" t="inlineStr">
        <is>
          <t>Retención de Ingresos Brutos</t>
        </is>
      </c>
      <c r="I256" s="9" t="n">
        <v>1700.19</v>
      </c>
      <c r="J256" s="9" t="inlineStr"/>
      <c r="K256" s="8" t="inlineStr">
        <is>
          <t>Copiar en Flexxus: Tipo=MB-EXT | Movimiento=INGRESOS BRUTOS MENDOZA | Monto=1.700,19 | Fecha: 23/04/2026</t>
        </is>
      </c>
    </row>
    <row r="257">
      <c r="A257" s="8" t="inlineStr">
        <is>
          <t>PEND-3F94CDA2566A-A001</t>
        </is>
      </c>
      <c r="B257" s="8" t="inlineStr">
        <is>
          <t>ABIERTO_NUEVO</t>
        </is>
      </c>
      <c r="C257" s="8" t="inlineStr">
        <is>
          <t>Banco egreso no Flexxus</t>
        </is>
      </c>
      <c r="D257" s="8" t="inlineStr">
        <is>
          <t>23/04/2026</t>
        </is>
      </c>
      <c r="E257" s="8" t="inlineStr">
        <is>
          <t>29841670</t>
        </is>
      </c>
      <c r="F257" s="8" t="inlineStr">
        <is>
          <t>GRAVAMEN LEY 25413 S/CRED</t>
        </is>
      </c>
      <c r="G257" s="8" t="inlineStr">
        <is>
          <t>Anticipo Ganancias Ley 25.413 créditos</t>
        </is>
      </c>
      <c r="H257" s="8" t="inlineStr">
        <is>
          <t>Anticipo Impuesto a las Ganancias</t>
        </is>
      </c>
      <c r="I257" s="9" t="n">
        <v>1020.11</v>
      </c>
      <c r="J257" s="9" t="inlineStr"/>
      <c r="K257" s="8" t="inlineStr">
        <is>
          <t>Copiar en Flexxus: Tipo=MB-EXT | Movimiento=GRAVAMEN LEY 25.413 S/CRED | Monto=1.020,11 | Fecha: 23/04/2026</t>
        </is>
      </c>
    </row>
    <row r="258">
      <c r="A258" s="8" t="inlineStr">
        <is>
          <t>PEND-D612BA8E234D-A001</t>
        </is>
      </c>
      <c r="B258" s="8" t="inlineStr">
        <is>
          <t>ABIERTO_NUEVO</t>
        </is>
      </c>
      <c r="C258" s="8" t="inlineStr">
        <is>
          <t>Banco egreso no Flexxus</t>
        </is>
      </c>
      <c r="D258" s="8" t="inlineStr">
        <is>
          <t>23/04/2026</t>
        </is>
      </c>
      <c r="E258" s="8" t="inlineStr">
        <is>
          <t>29841642</t>
        </is>
      </c>
      <c r="F258" s="8" t="inlineStr">
        <is>
          <t>INGRESOS BRUTOS MENDOZA</t>
        </is>
      </c>
      <c r="G258" s="8" t="inlineStr">
        <is>
          <t>Retención Ingresos Brutos Mendoza</t>
        </is>
      </c>
      <c r="H258" s="8" t="inlineStr">
        <is>
          <t>Retención de Ingresos Brutos</t>
        </is>
      </c>
      <c r="I258" s="9" t="n">
        <v>822.6799999999999</v>
      </c>
      <c r="J258" s="9" t="inlineStr"/>
      <c r="K258" s="8" t="inlineStr">
        <is>
          <t>Copiar en Flexxus: Tipo=MB-EXT | Movimiento=INGRESOS BRUTOS MENDOZA | Monto=822,68 | Fecha: 23/04/2026</t>
        </is>
      </c>
    </row>
    <row r="259">
      <c r="A259" s="8" t="inlineStr">
        <is>
          <t>PEND-B4A59A4AC835-A001</t>
        </is>
      </c>
      <c r="B259" s="8" t="inlineStr">
        <is>
          <t>ABIERTO_NUEVO</t>
        </is>
      </c>
      <c r="C259" s="8" t="inlineStr">
        <is>
          <t>Banco egreso no Flexxus</t>
        </is>
      </c>
      <c r="D259" s="8" t="inlineStr">
        <is>
          <t>23/04/2026</t>
        </is>
      </c>
      <c r="E259" s="8" t="inlineStr">
        <is>
          <t>29841642</t>
        </is>
      </c>
      <c r="F259" s="8" t="inlineStr">
        <is>
          <t>GRAVAMEN LEY 25413 S/CRED</t>
        </is>
      </c>
      <c r="G259" s="8" t="inlineStr">
        <is>
          <t>Anticipo Ganancias Ley 25.413 créditos</t>
        </is>
      </c>
      <c r="H259" s="8" t="inlineStr">
        <is>
          <t>Anticipo Impuesto a las Ganancias</t>
        </is>
      </c>
      <c r="I259" s="9" t="n">
        <v>493.61</v>
      </c>
      <c r="J259" s="9" t="inlineStr"/>
      <c r="K259" s="8" t="inlineStr">
        <is>
          <t>Copiar en Flexxus: Tipo=MB-EXT | Movimiento=GRAVAMEN LEY 25.413 S/CRED | Monto=493,61 | Fecha: 23/04/2026</t>
        </is>
      </c>
    </row>
    <row r="260">
      <c r="A260" s="8" t="inlineStr">
        <is>
          <t>PEND-3CE143F2228E-A001</t>
        </is>
      </c>
      <c r="B260" s="8" t="inlineStr">
        <is>
          <t>ABIERTO_NUEVO</t>
        </is>
      </c>
      <c r="C260" s="8" t="inlineStr">
        <is>
          <t>Banco egreso no Flexxus</t>
        </is>
      </c>
      <c r="D260" s="8" t="inlineStr">
        <is>
          <t>23/04/2026</t>
        </is>
      </c>
      <c r="E260" s="8" t="inlineStr">
        <is>
          <t>29841642</t>
        </is>
      </c>
      <c r="F260" s="8" t="inlineStr">
        <is>
          <t>INGRESOS BRUTOS MENDOZA</t>
        </is>
      </c>
      <c r="G260" s="8" t="inlineStr">
        <is>
          <t>Retención Ingresos Brutos Mendoza</t>
        </is>
      </c>
      <c r="H260" s="8" t="inlineStr">
        <is>
          <t>Retención de Ingresos Brutos</t>
        </is>
      </c>
      <c r="I260" s="9" t="n">
        <v>112.5</v>
      </c>
      <c r="J260" s="9" t="inlineStr"/>
      <c r="K260" s="8" t="inlineStr">
        <is>
          <t>Copiar en Flexxus: Tipo=MB-EXT | Movimiento=INGRESOS BRUTOS MENDOZA | Monto=112,50 | Fecha: 23/04/2026</t>
        </is>
      </c>
    </row>
    <row r="261">
      <c r="A261" s="8" t="inlineStr">
        <is>
          <t>PEND-860EDC432DBC-A001</t>
        </is>
      </c>
      <c r="B261" s="8" t="inlineStr">
        <is>
          <t>ABIERTO_NUEVO</t>
        </is>
      </c>
      <c r="C261" s="8" t="inlineStr">
        <is>
          <t>Banco egreso no Flexxus</t>
        </is>
      </c>
      <c r="D261" s="8" t="inlineStr">
        <is>
          <t>23/04/2026</t>
        </is>
      </c>
      <c r="E261" s="8" t="inlineStr">
        <is>
          <t>29841642</t>
        </is>
      </c>
      <c r="F261" s="8" t="inlineStr">
        <is>
          <t>GRAVAMEN LEY 25413 S/CRED</t>
        </is>
      </c>
      <c r="G261" s="8" t="inlineStr">
        <is>
          <t>Anticipo Ganancias Ley 25.413 créditos</t>
        </is>
      </c>
      <c r="H261" s="8" t="inlineStr">
        <is>
          <t>Anticipo Impuesto a las Ganancias</t>
        </is>
      </c>
      <c r="I261" s="9" t="n">
        <v>67.5</v>
      </c>
      <c r="J261" s="9" t="inlineStr"/>
      <c r="K261" s="8" t="inlineStr">
        <is>
          <t>Copiar en Flexxus: Tipo=MB-EXT | Movimiento=GRAVAMEN LEY 25.413 S/CRED | Monto=67,50 | Fecha: 23/04/2026</t>
        </is>
      </c>
    </row>
    <row r="262">
      <c r="A262" s="8" t="inlineStr">
        <is>
          <t>PEND-0B24EF701ACE-A001</t>
        </is>
      </c>
      <c r="B262" s="8" t="inlineStr">
        <is>
          <t>ABIERTO_NUEVO</t>
        </is>
      </c>
      <c r="C262" s="8" t="inlineStr">
        <is>
          <t>Banco egreso no Flexxus</t>
        </is>
      </c>
      <c r="D262" s="8" t="inlineStr">
        <is>
          <t>23/04/2026</t>
        </is>
      </c>
      <c r="E262" s="8" t="inlineStr">
        <is>
          <t>29841627</t>
        </is>
      </c>
      <c r="F262" s="8" t="inlineStr">
        <is>
          <t>INGRESOS BRUTOS MENDOZA</t>
        </is>
      </c>
      <c r="G262" s="8" t="inlineStr">
        <is>
          <t>Retención Ingresos Brutos Mendoza</t>
        </is>
      </c>
      <c r="H262" s="8" t="inlineStr">
        <is>
          <t>Retención de Ingresos Brutos</t>
        </is>
      </c>
      <c r="I262" s="9" t="n">
        <v>640.73</v>
      </c>
      <c r="J262" s="9" t="inlineStr"/>
      <c r="K262" s="8" t="inlineStr">
        <is>
          <t>Copiar en Flexxus: Tipo=MB-EXT | Movimiento=INGRESOS BRUTOS MENDOZA | Monto=640,73 | Fecha: 23/04/2026</t>
        </is>
      </c>
    </row>
    <row r="263">
      <c r="A263" s="8" t="inlineStr">
        <is>
          <t>PEND-8CACA88B735D-A001</t>
        </is>
      </c>
      <c r="B263" s="8" t="inlineStr">
        <is>
          <t>ABIERTO_NUEVO</t>
        </is>
      </c>
      <c r="C263" s="8" t="inlineStr">
        <is>
          <t>Banco egreso no Flexxus</t>
        </is>
      </c>
      <c r="D263" s="8" t="inlineStr">
        <is>
          <t>23/04/2026</t>
        </is>
      </c>
      <c r="E263" s="8" t="inlineStr">
        <is>
          <t>29841627</t>
        </is>
      </c>
      <c r="F263" s="8" t="inlineStr">
        <is>
          <t>GRAVAMEN LEY 25413 S/CRED</t>
        </is>
      </c>
      <c r="G263" s="8" t="inlineStr">
        <is>
          <t>Anticipo Ganancias Ley 25.413 créditos</t>
        </is>
      </c>
      <c r="H263" s="8" t="inlineStr">
        <is>
          <t>Anticipo Impuesto a las Ganancias</t>
        </is>
      </c>
      <c r="I263" s="9" t="n">
        <v>384.44</v>
      </c>
      <c r="J263" s="9" t="inlineStr"/>
      <c r="K263" s="8" t="inlineStr">
        <is>
          <t>Copiar en Flexxus: Tipo=MB-EXT | Movimiento=GRAVAMEN LEY 25.413 S/CRED | Monto=384,44 | Fecha: 23/04/2026</t>
        </is>
      </c>
    </row>
    <row r="264">
      <c r="A264" s="8" t="inlineStr">
        <is>
          <t>PEND-CEF3F938C970-A001</t>
        </is>
      </c>
      <c r="B264" s="8" t="inlineStr">
        <is>
          <t>ABIERTO_NUEVO</t>
        </is>
      </c>
      <c r="C264" s="8" t="inlineStr">
        <is>
          <t>Banco egreso no Flexxus</t>
        </is>
      </c>
      <c r="D264" s="8" t="inlineStr">
        <is>
          <t>23/04/2026</t>
        </is>
      </c>
      <c r="E264" s="8" t="inlineStr">
        <is>
          <t>108389</t>
        </is>
      </c>
      <c r="F264" s="8" t="inlineStr">
        <is>
          <t>INGRESOS BRUTOS MENDOZA</t>
        </is>
      </c>
      <c r="G264" s="8" t="inlineStr">
        <is>
          <t>Retención Ingresos Brutos Mendoza</t>
        </is>
      </c>
      <c r="H264" s="8" t="inlineStr">
        <is>
          <t>Retención de Ingresos Brutos</t>
        </is>
      </c>
      <c r="I264" s="9" t="n">
        <v>216.88</v>
      </c>
      <c r="J264" s="9" t="inlineStr"/>
      <c r="K264" s="8" t="inlineStr">
        <is>
          <t>Copiar en Flexxus: Tipo=MB-EXT | Movimiento=INGRESOS BRUTOS MENDOZA | Monto=216,88 | Fecha: 23/04/2026</t>
        </is>
      </c>
    </row>
    <row r="265">
      <c r="A265" s="8" t="inlineStr">
        <is>
          <t>PEND-52D252809E31-A001</t>
        </is>
      </c>
      <c r="B265" s="8" t="inlineStr">
        <is>
          <t>ABIERTO_NUEVO</t>
        </is>
      </c>
      <c r="C265" s="8" t="inlineStr">
        <is>
          <t>Banco egreso no Flexxus</t>
        </is>
      </c>
      <c r="D265" s="8" t="inlineStr">
        <is>
          <t>23/04/2026</t>
        </is>
      </c>
      <c r="E265" s="8" t="inlineStr">
        <is>
          <t>108389</t>
        </is>
      </c>
      <c r="F265" s="8" t="inlineStr">
        <is>
          <t>GRAVAMEN LEY 25413 S/CRED</t>
        </is>
      </c>
      <c r="G265" s="8" t="inlineStr">
        <is>
          <t>Anticipo Ganancias Ley 25.413 créditos</t>
        </is>
      </c>
      <c r="H265" s="8" t="inlineStr">
        <is>
          <t>Anticipo Impuesto a las Ganancias</t>
        </is>
      </c>
      <c r="I265" s="9" t="n">
        <v>130.13</v>
      </c>
      <c r="J265" s="9" t="inlineStr"/>
      <c r="K265" s="8" t="inlineStr">
        <is>
          <t>Copiar en Flexxus: Tipo=MB-EXT | Movimiento=GRAVAMEN LEY 25.413 S/CRED | Monto=130,13 | Fecha: 23/04/2026</t>
        </is>
      </c>
    </row>
    <row r="266">
      <c r="A266" s="8" t="inlineStr">
        <is>
          <t>PEND-3E8E4D482DCD-A001</t>
        </is>
      </c>
      <c r="B266" s="8" t="inlineStr">
        <is>
          <t>ABIERTO_NUEVO</t>
        </is>
      </c>
      <c r="C266" s="8" t="inlineStr">
        <is>
          <t>Banco egreso no Flexxus</t>
        </is>
      </c>
      <c r="D266" s="8" t="inlineStr">
        <is>
          <t>23/04/2026</t>
        </is>
      </c>
      <c r="E266" s="8" t="inlineStr">
        <is>
          <t>108388</t>
        </is>
      </c>
      <c r="F266" s="8" t="inlineStr">
        <is>
          <t>INGRESOS BRUTOS MENDOZA</t>
        </is>
      </c>
      <c r="G266" s="8" t="inlineStr">
        <is>
          <t>Retención Ingresos Brutos Mendoza</t>
        </is>
      </c>
      <c r="H266" s="8" t="inlineStr">
        <is>
          <t>Retención de Ingresos Brutos</t>
        </is>
      </c>
      <c r="I266" s="9" t="n">
        <v>341.66</v>
      </c>
      <c r="J266" s="9" t="inlineStr"/>
      <c r="K266" s="8" t="inlineStr">
        <is>
          <t>Copiar en Flexxus: Tipo=MB-EXT | Movimiento=INGRESOS BRUTOS MENDOZA | Monto=341,66 | Fecha: 23/04/2026</t>
        </is>
      </c>
    </row>
    <row r="267">
      <c r="A267" s="8" t="inlineStr">
        <is>
          <t>PEND-EC448271F54A-A001</t>
        </is>
      </c>
      <c r="B267" s="8" t="inlineStr">
        <is>
          <t>ABIERTO_NUEVO</t>
        </is>
      </c>
      <c r="C267" s="8" t="inlineStr">
        <is>
          <t>Banco egreso no Flexxus</t>
        </is>
      </c>
      <c r="D267" s="8" t="inlineStr">
        <is>
          <t>23/04/2026</t>
        </is>
      </c>
      <c r="E267" s="8" t="inlineStr">
        <is>
          <t>108388</t>
        </is>
      </c>
      <c r="F267" s="8" t="inlineStr">
        <is>
          <t>GRAVAMEN LEY 25413 S/CRED</t>
        </is>
      </c>
      <c r="G267" s="8" t="inlineStr">
        <is>
          <t>Anticipo Ganancias Ley 25.413 créditos</t>
        </is>
      </c>
      <c r="H267" s="8" t="inlineStr">
        <is>
          <t>Anticipo Impuesto a las Ganancias</t>
        </is>
      </c>
      <c r="I267" s="9" t="n">
        <v>205</v>
      </c>
      <c r="J267" s="9" t="inlineStr"/>
      <c r="K267" s="8" t="inlineStr">
        <is>
          <t>Copiar en Flexxus: Tipo=MB-EXT | Movimiento=GRAVAMEN LEY 25.413 S/CRED | Monto=205,00 | Fecha: 23/04/2026</t>
        </is>
      </c>
    </row>
    <row r="268">
      <c r="A268" s="8" t="inlineStr">
        <is>
          <t>PEND-A071893CB266-A001</t>
        </is>
      </c>
      <c r="B268" s="8" t="inlineStr">
        <is>
          <t>ABIERTO_NUEVO</t>
        </is>
      </c>
      <c r="C268" s="8" t="inlineStr">
        <is>
          <t>Banco egreso no Flexxus</t>
        </is>
      </c>
      <c r="D268" s="8" t="inlineStr">
        <is>
          <t>23/04/2026</t>
        </is>
      </c>
      <c r="E268" s="8" t="inlineStr">
        <is>
          <t>108387</t>
        </is>
      </c>
      <c r="F268" s="8" t="inlineStr">
        <is>
          <t>INGRESOS BRUTOS MENDOZA</t>
        </is>
      </c>
      <c r="G268" s="8" t="inlineStr">
        <is>
          <t>Retención Ingresos Brutos Mendoza</t>
        </is>
      </c>
      <c r="H268" s="8" t="inlineStr">
        <is>
          <t>Retención de Ingresos Brutos</t>
        </is>
      </c>
      <c r="I268" s="9" t="n">
        <v>113.89</v>
      </c>
      <c r="J268" s="9" t="inlineStr"/>
      <c r="K268" s="8" t="inlineStr">
        <is>
          <t>Copiar en Flexxus: Tipo=MB-EXT | Movimiento=INGRESOS BRUTOS MENDOZA | Monto=113,89 | Fecha: 23/04/2026</t>
        </is>
      </c>
    </row>
    <row r="269">
      <c r="A269" s="8" t="inlineStr">
        <is>
          <t>PEND-5C71B5F7E286-A001</t>
        </is>
      </c>
      <c r="B269" s="8" t="inlineStr">
        <is>
          <t>ABIERTO_NUEVO</t>
        </is>
      </c>
      <c r="C269" s="8" t="inlineStr">
        <is>
          <t>Banco egreso no Flexxus</t>
        </is>
      </c>
      <c r="D269" s="8" t="inlineStr">
        <is>
          <t>23/04/2026</t>
        </is>
      </c>
      <c r="E269" s="8" t="inlineStr">
        <is>
          <t>108387</t>
        </is>
      </c>
      <c r="F269" s="8" t="inlineStr">
        <is>
          <t>GRAVAMEN LEY 25413 S/CRED</t>
        </is>
      </c>
      <c r="G269" s="8" t="inlineStr">
        <is>
          <t>Anticipo Ganancias Ley 25.413 créditos</t>
        </is>
      </c>
      <c r="H269" s="8" t="inlineStr">
        <is>
          <t>Anticipo Impuesto a las Ganancias</t>
        </is>
      </c>
      <c r="I269" s="9" t="n">
        <v>68.33</v>
      </c>
      <c r="J269" s="9" t="inlineStr"/>
      <c r="K269" s="8" t="inlineStr">
        <is>
          <t>Copiar en Flexxus: Tipo=MB-EXT | Movimiento=GRAVAMEN LEY 25.413 S/CRED | Monto=68,33 | Fecha: 23/04/2026</t>
        </is>
      </c>
    </row>
    <row r="270">
      <c r="A270" s="8" t="inlineStr">
        <is>
          <t>PEND-F3E60BFDE42B-A001</t>
        </is>
      </c>
      <c r="B270" s="8" t="inlineStr">
        <is>
          <t>ABIERTO_NUEVO</t>
        </is>
      </c>
      <c r="C270" s="8" t="inlineStr">
        <is>
          <t>Banco egreso no Flexxus</t>
        </is>
      </c>
      <c r="D270" s="8" t="inlineStr">
        <is>
          <t>23/04/2026</t>
        </is>
      </c>
      <c r="E270" s="8" t="inlineStr">
        <is>
          <t>108386</t>
        </is>
      </c>
      <c r="F270" s="8" t="inlineStr">
        <is>
          <t>INGRESOS BRUTOS MENDOZA</t>
        </is>
      </c>
      <c r="G270" s="8" t="inlineStr">
        <is>
          <t>Retención Ingresos Brutos Mendoza</t>
        </is>
      </c>
      <c r="H270" s="8" t="inlineStr">
        <is>
          <t>Retención de Ingresos Brutos</t>
        </is>
      </c>
      <c r="I270" s="9" t="n">
        <v>332.75</v>
      </c>
      <c r="J270" s="9" t="inlineStr"/>
      <c r="K270" s="8" t="inlineStr">
        <is>
          <t>Copiar en Flexxus: Tipo=MB-EXT | Movimiento=INGRESOS BRUTOS MENDOZA | Monto=332,75 | Fecha: 23/04/2026</t>
        </is>
      </c>
    </row>
    <row r="271">
      <c r="A271" s="8" t="inlineStr">
        <is>
          <t>PEND-CC0A15B3E845-A001</t>
        </is>
      </c>
      <c r="B271" s="8" t="inlineStr">
        <is>
          <t>ABIERTO_NUEVO</t>
        </is>
      </c>
      <c r="C271" s="8" t="inlineStr">
        <is>
          <t>Banco egreso no Flexxus</t>
        </is>
      </c>
      <c r="D271" s="8" t="inlineStr">
        <is>
          <t>23/04/2026</t>
        </is>
      </c>
      <c r="E271" s="8" t="inlineStr">
        <is>
          <t>108386</t>
        </is>
      </c>
      <c r="F271" s="8" t="inlineStr">
        <is>
          <t>GRAVAMEN LEY 25413 S/CRED</t>
        </is>
      </c>
      <c r="G271" s="8" t="inlineStr">
        <is>
          <t>Anticipo Ganancias Ley 25.413 créditos</t>
        </is>
      </c>
      <c r="H271" s="8" t="inlineStr">
        <is>
          <t>Anticipo Impuesto a las Ganancias</t>
        </is>
      </c>
      <c r="I271" s="9" t="n">
        <v>199.65</v>
      </c>
      <c r="J271" s="9" t="inlineStr"/>
      <c r="K271" s="8" t="inlineStr">
        <is>
          <t>Copiar en Flexxus: Tipo=MB-EXT | Movimiento=GRAVAMEN LEY 25.413 S/CRED | Monto=199,65 | Fecha: 23/04/2026</t>
        </is>
      </c>
    </row>
    <row r="272">
      <c r="A272" s="8" t="inlineStr">
        <is>
          <t>PEND-66D6841C279D-A001</t>
        </is>
      </c>
      <c r="B272" s="8" t="inlineStr">
        <is>
          <t>ABIERTO_NUEVO</t>
        </is>
      </c>
      <c r="C272" s="8" t="inlineStr">
        <is>
          <t>Banco egreso no Flexxus</t>
        </is>
      </c>
      <c r="D272" s="8" t="inlineStr">
        <is>
          <t>23/04/2026</t>
        </is>
      </c>
      <c r="E272" s="8" t="inlineStr">
        <is>
          <t>108385</t>
        </is>
      </c>
      <c r="F272" s="8" t="inlineStr">
        <is>
          <t>INGRESOS BRUTOS MENDOZA</t>
        </is>
      </c>
      <c r="G272" s="8" t="inlineStr">
        <is>
          <t>Retención Ingresos Brutos Mendoza</t>
        </is>
      </c>
      <c r="H272" s="8" t="inlineStr">
        <is>
          <t>Retención de Ingresos Brutos</t>
        </is>
      </c>
      <c r="I272" s="9" t="n">
        <v>158.45</v>
      </c>
      <c r="J272" s="9" t="inlineStr"/>
      <c r="K272" s="8" t="inlineStr">
        <is>
          <t>Copiar en Flexxus: Tipo=MB-EXT | Movimiento=INGRESOS BRUTOS MENDOZA | Monto=158,45 | Fecha: 23/04/2026</t>
        </is>
      </c>
    </row>
    <row r="273">
      <c r="A273" s="8" t="inlineStr">
        <is>
          <t>PEND-C28B130B61B9-A001</t>
        </is>
      </c>
      <c r="B273" s="8" t="inlineStr">
        <is>
          <t>ABIERTO_NUEVO</t>
        </is>
      </c>
      <c r="C273" s="8" t="inlineStr">
        <is>
          <t>Banco egreso no Flexxus</t>
        </is>
      </c>
      <c r="D273" s="8" t="inlineStr">
        <is>
          <t>23/04/2026</t>
        </is>
      </c>
      <c r="E273" s="8" t="inlineStr">
        <is>
          <t>108385</t>
        </is>
      </c>
      <c r="F273" s="8" t="inlineStr">
        <is>
          <t>GRAVAMEN LEY 25413 S/CRED</t>
        </is>
      </c>
      <c r="G273" s="8" t="inlineStr">
        <is>
          <t>Anticipo Ganancias Ley 25.413 créditos</t>
        </is>
      </c>
      <c r="H273" s="8" t="inlineStr">
        <is>
          <t>Anticipo Impuesto a las Ganancias</t>
        </is>
      </c>
      <c r="I273" s="9" t="n">
        <v>95.06999999999999</v>
      </c>
      <c r="J273" s="9" t="inlineStr"/>
      <c r="K273" s="8" t="inlineStr">
        <is>
          <t>Copiar en Flexxus: Tipo=MB-EXT | Movimiento=GRAVAMEN LEY 25.413 S/CRED | Monto=95,07 | Fecha: 23/04/2026</t>
        </is>
      </c>
    </row>
    <row r="274">
      <c r="A274" s="8" t="inlineStr">
        <is>
          <t>PEND-844C2458EC81-A001</t>
        </is>
      </c>
      <c r="B274" s="8" t="inlineStr">
        <is>
          <t>ABIERTO_NUEVO</t>
        </is>
      </c>
      <c r="C274" s="8" t="inlineStr">
        <is>
          <t>Banco egreso no Flexxus</t>
        </is>
      </c>
      <c r="D274" s="8" t="inlineStr">
        <is>
          <t>23/04/2026</t>
        </is>
      </c>
      <c r="E274" s="8" t="inlineStr">
        <is>
          <t>108384</t>
        </is>
      </c>
      <c r="F274" s="8" t="inlineStr">
        <is>
          <t>INGRESOS BRUTOS MENDOZA</t>
        </is>
      </c>
      <c r="G274" s="8" t="inlineStr">
        <is>
          <t>Retención Ingresos Brutos Mendoza</t>
        </is>
      </c>
      <c r="H274" s="8" t="inlineStr">
        <is>
          <t>Retención de Ingresos Brutos</t>
        </is>
      </c>
      <c r="I274" s="9" t="n">
        <v>180.24</v>
      </c>
      <c r="J274" s="9" t="inlineStr"/>
      <c r="K274" s="8" t="inlineStr">
        <is>
          <t>Copiar en Flexxus: Tipo=MB-EXT | Movimiento=INGRESOS BRUTOS MENDOZA | Monto=180,24 | Fecha: 23/04/2026</t>
        </is>
      </c>
    </row>
    <row r="275">
      <c r="A275" s="8" t="inlineStr">
        <is>
          <t>PEND-F5FF21B87185-A001</t>
        </is>
      </c>
      <c r="B275" s="8" t="inlineStr">
        <is>
          <t>ABIERTO_NUEVO</t>
        </is>
      </c>
      <c r="C275" s="8" t="inlineStr">
        <is>
          <t>Banco egreso no Flexxus</t>
        </is>
      </c>
      <c r="D275" s="8" t="inlineStr">
        <is>
          <t>23/04/2026</t>
        </is>
      </c>
      <c r="E275" s="8" t="inlineStr">
        <is>
          <t>108384</t>
        </is>
      </c>
      <c r="F275" s="8" t="inlineStr">
        <is>
          <t>GRAVAMEN LEY 25413 S/CRED</t>
        </is>
      </c>
      <c r="G275" s="8" t="inlineStr">
        <is>
          <t>Anticipo Ganancias Ley 25.413 créditos</t>
        </is>
      </c>
      <c r="H275" s="8" t="inlineStr">
        <is>
          <t>Anticipo Impuesto a las Ganancias</t>
        </is>
      </c>
      <c r="I275" s="9" t="n">
        <v>108.14</v>
      </c>
      <c r="J275" s="9" t="inlineStr"/>
      <c r="K275" s="8" t="inlineStr">
        <is>
          <t>Copiar en Flexxus: Tipo=MB-EXT | Movimiento=GRAVAMEN LEY 25.413 S/CRED | Monto=108,14 | Fecha: 23/04/2026</t>
        </is>
      </c>
    </row>
    <row r="276">
      <c r="A276" s="8" t="inlineStr">
        <is>
          <t>PEND-0DF1C65E0AF4-A001</t>
        </is>
      </c>
      <c r="B276" s="8" t="inlineStr">
        <is>
          <t>ABIERTO_NUEVO</t>
        </is>
      </c>
      <c r="C276" s="8" t="inlineStr">
        <is>
          <t>Banco egreso no Flexxus</t>
        </is>
      </c>
      <c r="D276" s="8" t="inlineStr">
        <is>
          <t>23/04/2026</t>
        </is>
      </c>
      <c r="E276" s="8" t="inlineStr">
        <is>
          <t>108383</t>
        </is>
      </c>
      <c r="F276" s="8" t="inlineStr">
        <is>
          <t>INGRESOS BRUTOS MENDOZA</t>
        </is>
      </c>
      <c r="G276" s="8" t="inlineStr">
        <is>
          <t>Retención Ingresos Brutos Mendoza</t>
        </is>
      </c>
      <c r="H276" s="8" t="inlineStr">
        <is>
          <t>Retención de Ingresos Brutos</t>
        </is>
      </c>
      <c r="I276" s="9" t="n">
        <v>243.62</v>
      </c>
      <c r="J276" s="9" t="inlineStr"/>
      <c r="K276" s="8" t="inlineStr">
        <is>
          <t>Copiar en Flexxus: Tipo=MB-EXT | Movimiento=INGRESOS BRUTOS MENDOZA | Monto=243,62 | Fecha: 23/04/2026</t>
        </is>
      </c>
    </row>
    <row r="277">
      <c r="A277" s="8" t="inlineStr">
        <is>
          <t>PEND-1A716D4E4156-A001</t>
        </is>
      </c>
      <c r="B277" s="8" t="inlineStr">
        <is>
          <t>ABIERTO_NUEVO</t>
        </is>
      </c>
      <c r="C277" s="8" t="inlineStr">
        <is>
          <t>Banco egreso no Flexxus</t>
        </is>
      </c>
      <c r="D277" s="8" t="inlineStr">
        <is>
          <t>23/04/2026</t>
        </is>
      </c>
      <c r="E277" s="8" t="inlineStr">
        <is>
          <t>108383</t>
        </is>
      </c>
      <c r="F277" s="8" t="inlineStr">
        <is>
          <t>GRAVAMEN LEY 25413 S/CRED</t>
        </is>
      </c>
      <c r="G277" s="8" t="inlineStr">
        <is>
          <t>Anticipo Ganancias Ley 25.413 créditos</t>
        </is>
      </c>
      <c r="H277" s="8" t="inlineStr">
        <is>
          <t>Anticipo Impuesto a las Ganancias</t>
        </is>
      </c>
      <c r="I277" s="9" t="n">
        <v>146.17</v>
      </c>
      <c r="J277" s="9" t="inlineStr"/>
      <c r="K277" s="8" t="inlineStr">
        <is>
          <t>Copiar en Flexxus: Tipo=MB-EXT | Movimiento=GRAVAMEN LEY 25.413 S/CRED | Monto=146,17 | Fecha: 23/04/2026</t>
        </is>
      </c>
    </row>
    <row r="278">
      <c r="A278" s="8" t="inlineStr">
        <is>
          <t>PEND-EFF4C6F73EF3-A001</t>
        </is>
      </c>
      <c r="B278" s="8" t="inlineStr">
        <is>
          <t>ABIERTO_NUEVO</t>
        </is>
      </c>
      <c r="C278" s="8" t="inlineStr">
        <is>
          <t>Banco egreso no Flexxus</t>
        </is>
      </c>
      <c r="D278" s="8" t="inlineStr">
        <is>
          <t>23/04/2026</t>
        </is>
      </c>
      <c r="E278" s="8" t="inlineStr">
        <is>
          <t>108382</t>
        </is>
      </c>
      <c r="F278" s="8" t="inlineStr">
        <is>
          <t>INGRESOS BRUTOS MENDOZA</t>
        </is>
      </c>
      <c r="G278" s="8" t="inlineStr">
        <is>
          <t>Retención Ingresos Brutos Mendoza</t>
        </is>
      </c>
      <c r="H278" s="8" t="inlineStr">
        <is>
          <t>Retención de Ingresos Brutos</t>
        </is>
      </c>
      <c r="I278" s="9" t="n">
        <v>1539.95</v>
      </c>
      <c r="J278" s="9" t="inlineStr"/>
      <c r="K278" s="8" t="inlineStr">
        <is>
          <t>Copiar en Flexxus: Tipo=MB-EXT | Movimiento=INGRESOS BRUTOS MENDOZA | Monto=1.539,95 | Fecha: 23/04/2026</t>
        </is>
      </c>
    </row>
    <row r="279">
      <c r="A279" s="8" t="inlineStr">
        <is>
          <t>PEND-BBE088B7A258-A001</t>
        </is>
      </c>
      <c r="B279" s="8" t="inlineStr">
        <is>
          <t>ABIERTO_NUEVO</t>
        </is>
      </c>
      <c r="C279" s="8" t="inlineStr">
        <is>
          <t>Banco egreso no Flexxus</t>
        </is>
      </c>
      <c r="D279" s="8" t="inlineStr">
        <is>
          <t>23/04/2026</t>
        </is>
      </c>
      <c r="E279" s="8" t="inlineStr">
        <is>
          <t>108382</t>
        </is>
      </c>
      <c r="F279" s="8" t="inlineStr">
        <is>
          <t>GRAVAMEN LEY 25413 S/CRED</t>
        </is>
      </c>
      <c r="G279" s="8" t="inlineStr">
        <is>
          <t>Anticipo Ganancias Ley 25.413 créditos</t>
        </is>
      </c>
      <c r="H279" s="8" t="inlineStr">
        <is>
          <t>Anticipo Impuesto a las Ganancias</t>
        </is>
      </c>
      <c r="I279" s="9" t="n">
        <v>923.97</v>
      </c>
      <c r="J279" s="9" t="inlineStr"/>
      <c r="K279" s="8" t="inlineStr">
        <is>
          <t>Copiar en Flexxus: Tipo=MB-EXT | Movimiento=GRAVAMEN LEY 25.413 S/CRED | Monto=923,97 | Fecha: 23/04/2026</t>
        </is>
      </c>
    </row>
    <row r="280">
      <c r="A280" s="8" t="inlineStr">
        <is>
          <t>PEND-4241375BCF41-A001</t>
        </is>
      </c>
      <c r="B280" s="8" t="inlineStr">
        <is>
          <t>ABIERTO_NUEVO</t>
        </is>
      </c>
      <c r="C280" s="8" t="inlineStr">
        <is>
          <t>Banco egreso no Flexxus</t>
        </is>
      </c>
      <c r="D280" s="8" t="inlineStr">
        <is>
          <t>23/04/2026</t>
        </is>
      </c>
      <c r="E280" s="8" t="inlineStr">
        <is>
          <t>108428</t>
        </is>
      </c>
      <c r="F280" s="8" t="inlineStr">
        <is>
          <t>I.V.A. BASE</t>
        </is>
      </c>
      <c r="G280" s="8" t="inlineStr">
        <is>
          <t>IVA base / IVA sobre gastos</t>
        </is>
      </c>
      <c r="H280" s="8" t="inlineStr">
        <is>
          <t>IVA crédito fiscal / revisar</t>
        </is>
      </c>
      <c r="I280" s="9" t="n">
        <v>200.76</v>
      </c>
      <c r="J280" s="9" t="inlineStr"/>
      <c r="K280" s="8" t="inlineStr">
        <is>
          <t>Copiar en Flexxus: Tipo=MB-EXT | Movimiento=I.V.A. BASE | Monto=200,76 | Fecha: 23/04/2026</t>
        </is>
      </c>
    </row>
    <row r="281">
      <c r="A281" s="8" t="inlineStr">
        <is>
          <t>PEND-BD46DF9B0A71-A001</t>
        </is>
      </c>
      <c r="B281" s="8" t="inlineStr">
        <is>
          <t>ABIERTO_NUEVO</t>
        </is>
      </c>
      <c r="C281" s="8" t="inlineStr">
        <is>
          <t>Banco egreso no Flexxus</t>
        </is>
      </c>
      <c r="D281" s="8" t="inlineStr">
        <is>
          <t>23/04/2026</t>
        </is>
      </c>
      <c r="E281" s="8" t="inlineStr">
        <is>
          <t>108427</t>
        </is>
      </c>
      <c r="F281" s="8" t="inlineStr">
        <is>
          <t>COM TRANSFE ELECTRONICA</t>
        </is>
      </c>
      <c r="G281" s="8" t="inlineStr">
        <is>
          <t>Gasto bancario / comisión</t>
        </is>
      </c>
      <c r="H281" s="8" t="inlineStr">
        <is>
          <t>Revisar según concepto</t>
        </is>
      </c>
      <c r="I281" s="9" t="n">
        <v>956</v>
      </c>
      <c r="J281" s="9" t="inlineStr"/>
      <c r="K281" s="8" t="inlineStr">
        <is>
          <t>Copiar en Flexxus: Tipo=MB-EXT | Movimiento=COM TRANSFE ELECTRONICA | Monto=956,00 | Fecha: 23/04/2026</t>
        </is>
      </c>
    </row>
    <row r="282">
      <c r="A282" s="8" t="inlineStr">
        <is>
          <t>PEND-E25AA7037A70-A001</t>
        </is>
      </c>
      <c r="B282" s="8" t="inlineStr">
        <is>
          <t>ABIERTO_NUEVO</t>
        </is>
      </c>
      <c r="C282" s="8" t="inlineStr">
        <is>
          <t>Banco egreso no Flexxus</t>
        </is>
      </c>
      <c r="D282" s="8" t="inlineStr">
        <is>
          <t>23/04/2026</t>
        </is>
      </c>
      <c r="E282" s="8" t="inlineStr">
        <is>
          <t>32032899</t>
        </is>
      </c>
      <c r="F282" s="8" t="inlineStr">
        <is>
          <t>DEB LIQ MASTERCARD 24H</t>
        </is>
      </c>
      <c r="G282" s="8" t="inlineStr">
        <is>
          <t>Débito liquidación tarjeta</t>
        </is>
      </c>
      <c r="H282" s="8" t="inlineStr">
        <is>
          <t>Revisar según concepto</t>
        </is>
      </c>
      <c r="I282" s="9" t="n">
        <v>22.75</v>
      </c>
      <c r="J282" s="9" t="inlineStr"/>
      <c r="K282" s="8" t="inlineStr">
        <is>
          <t>Copiar en Flexxus: Tipo=MB-EXT | Movimiento=DEB LIQ MASTERCARD 24H | Monto=22,75 | Fecha: 23/04/2026</t>
        </is>
      </c>
    </row>
    <row r="283">
      <c r="A283" s="8" t="inlineStr">
        <is>
          <t>PEND-F8AA8B6DAD3B-A001</t>
        </is>
      </c>
      <c r="B283" s="8" t="inlineStr">
        <is>
          <t>ABIERTO_NUEVO</t>
        </is>
      </c>
      <c r="C283" s="8" t="inlineStr">
        <is>
          <t>Banco egreso no Flexxus</t>
        </is>
      </c>
      <c r="D283" s="8" t="inlineStr">
        <is>
          <t>23/04/2026</t>
        </is>
      </c>
      <c r="E283" s="8" t="inlineStr">
        <is>
          <t>29841705</t>
        </is>
      </c>
      <c r="F283" s="8" t="inlineStr">
        <is>
          <t>DEB LIQ MASTERCARD 24H</t>
        </is>
      </c>
      <c r="G283" s="8" t="inlineStr">
        <is>
          <t>Débito liquidación tarjeta</t>
        </is>
      </c>
      <c r="H283" s="8" t="inlineStr">
        <is>
          <t>Revisar según concepto</t>
        </is>
      </c>
      <c r="I283" s="9" t="n">
        <v>29.06</v>
      </c>
      <c r="J283" s="9" t="inlineStr"/>
      <c r="K283" s="8" t="inlineStr">
        <is>
          <t>Copiar en Flexxus: Tipo=MB-EXT | Movimiento=DEB LIQ MASTERCARD 24H | Monto=29,06 | Fecha: 23/04/2026</t>
        </is>
      </c>
    </row>
    <row r="284">
      <c r="A284" s="8" t="inlineStr">
        <is>
          <t>PEND-3504C7F20039-A001</t>
        </is>
      </c>
      <c r="B284" s="8" t="inlineStr">
        <is>
          <t>ABIERTO_NUEVO</t>
        </is>
      </c>
      <c r="C284" s="8" t="inlineStr">
        <is>
          <t>Banco egreso no Flexxus</t>
        </is>
      </c>
      <c r="D284" s="8" t="inlineStr">
        <is>
          <t>22/04/2026</t>
        </is>
      </c>
      <c r="E284" s="8" t="inlineStr">
        <is>
          <t>108230</t>
        </is>
      </c>
      <c r="F284" s="8" t="inlineStr">
        <is>
          <t>GRAVAMEN LEY 25413 S/DEB</t>
        </is>
      </c>
      <c r="G284" s="8" t="inlineStr">
        <is>
          <t>Anticipo Ganancias Ley 25.413 débitos</t>
        </is>
      </c>
      <c r="H284" s="8" t="inlineStr">
        <is>
          <t>Anticipo Impuesto a las Ganancias</t>
        </is>
      </c>
      <c r="I284" s="9" t="n">
        <v>4.03</v>
      </c>
      <c r="J284" s="9" t="inlineStr"/>
      <c r="K284" s="8" t="inlineStr">
        <is>
          <t>Copiar en Flexxus: Tipo=MB-EXT | Movimiento=GRAVAMEN LEY 25.413 S/DEB | Monto=4,03 | Fecha: 22/04/2026</t>
        </is>
      </c>
    </row>
    <row r="285">
      <c r="A285" s="8" t="inlineStr">
        <is>
          <t>PEND-61ECC689341A-A001</t>
        </is>
      </c>
      <c r="B285" s="8" t="inlineStr">
        <is>
          <t>ABIERTO_NUEVO</t>
        </is>
      </c>
      <c r="C285" s="8" t="inlineStr">
        <is>
          <t>Banco egreso no Flexxus</t>
        </is>
      </c>
      <c r="D285" s="8" t="inlineStr">
        <is>
          <t>22/04/2026</t>
        </is>
      </c>
      <c r="E285" s="8" t="inlineStr">
        <is>
          <t>108229</t>
        </is>
      </c>
      <c r="F285" s="8" t="inlineStr">
        <is>
          <t>GRAVAMEN LEY 25413 S/DEB</t>
        </is>
      </c>
      <c r="G285" s="8" t="inlineStr">
        <is>
          <t>Anticipo Ganancias Ley 25.413 débitos</t>
        </is>
      </c>
      <c r="H285" s="8" t="inlineStr">
        <is>
          <t>Anticipo Impuesto a las Ganancias</t>
        </is>
      </c>
      <c r="I285" s="9" t="n">
        <v>5.44</v>
      </c>
      <c r="J285" s="9" t="inlineStr"/>
      <c r="K285" s="8" t="inlineStr">
        <is>
          <t>Copiar en Flexxus: Tipo=MB-EXT | Movimiento=GRAVAMEN LEY 25.413 S/DEB | Monto=5,44 | Fecha: 22/04/2026</t>
        </is>
      </c>
    </row>
    <row r="286">
      <c r="A286" s="8" t="inlineStr">
        <is>
          <t>PEND-7F02E8EB5223-A001</t>
        </is>
      </c>
      <c r="B286" s="8" t="inlineStr">
        <is>
          <t>ABIERTO_NUEVO</t>
        </is>
      </c>
      <c r="C286" s="8" t="inlineStr">
        <is>
          <t>Banco egreso no Flexxus</t>
        </is>
      </c>
      <c r="D286" s="8" t="inlineStr">
        <is>
          <t>22/04/2026</t>
        </is>
      </c>
      <c r="E286" s="8" t="inlineStr">
        <is>
          <t>108228</t>
        </is>
      </c>
      <c r="F286" s="8" t="inlineStr">
        <is>
          <t>GRAVAMEN LEY 25413 S/DEB</t>
        </is>
      </c>
      <c r="G286" s="8" t="inlineStr">
        <is>
          <t>Anticipo Ganancias Ley 25.413 débitos</t>
        </is>
      </c>
      <c r="H286" s="8" t="inlineStr">
        <is>
          <t>Anticipo Impuesto a las Ganancias</t>
        </is>
      </c>
      <c r="I286" s="9" t="n">
        <v>1.37</v>
      </c>
      <c r="J286" s="9" t="inlineStr"/>
      <c r="K286" s="8" t="inlineStr">
        <is>
          <t>Copiar en Flexxus: Tipo=MB-EXT | Movimiento=GRAVAMEN LEY 25.413 S/DEB | Monto=1,37 | Fecha: 22/04/2026</t>
        </is>
      </c>
    </row>
    <row r="287">
      <c r="A287" s="8" t="inlineStr">
        <is>
          <t>PEND-1AF07E249199-A001</t>
        </is>
      </c>
      <c r="B287" s="8" t="inlineStr">
        <is>
          <t>ABIERTO_NUEVO</t>
        </is>
      </c>
      <c r="C287" s="8" t="inlineStr">
        <is>
          <t>Banco egreso no Flexxus</t>
        </is>
      </c>
      <c r="D287" s="8" t="inlineStr">
        <is>
          <t>22/04/2026</t>
        </is>
      </c>
      <c r="E287" s="8" t="inlineStr">
        <is>
          <t>108227</t>
        </is>
      </c>
      <c r="F287" s="8" t="inlineStr">
        <is>
          <t>GRAVAMEN LEY 25413 S/DEB</t>
        </is>
      </c>
      <c r="G287" s="8" t="inlineStr">
        <is>
          <t>Anticipo Ganancias Ley 25.413 débitos</t>
        </is>
      </c>
      <c r="H287" s="8" t="inlineStr">
        <is>
          <t>Anticipo Impuesto a las Ganancias</t>
        </is>
      </c>
      <c r="I287" s="9" t="n">
        <v>1.53</v>
      </c>
      <c r="J287" s="9" t="inlineStr"/>
      <c r="K287" s="8" t="inlineStr">
        <is>
          <t>Copiar en Flexxus: Tipo=MB-EXT | Movimiento=GRAVAMEN LEY 25.413 S/DEB | Monto=1,53 | Fecha: 22/04/2026</t>
        </is>
      </c>
    </row>
    <row r="288">
      <c r="A288" s="8" t="inlineStr">
        <is>
          <t>PEND-BAB59EDC41E9-A001</t>
        </is>
      </c>
      <c r="B288" s="8" t="inlineStr">
        <is>
          <t>ABIERTO_NUEVO</t>
        </is>
      </c>
      <c r="C288" s="8" t="inlineStr">
        <is>
          <t>Banco egreso no Flexxus</t>
        </is>
      </c>
      <c r="D288" s="8" t="inlineStr">
        <is>
          <t>22/04/2026</t>
        </is>
      </c>
      <c r="E288" s="8" t="inlineStr">
        <is>
          <t>108226</t>
        </is>
      </c>
      <c r="F288" s="8" t="inlineStr">
        <is>
          <t>GRAVAMEN LEY 25413 S/DEB</t>
        </is>
      </c>
      <c r="G288" s="8" t="inlineStr">
        <is>
          <t>Anticipo Ganancias Ley 25.413 débitos</t>
        </is>
      </c>
      <c r="H288" s="8" t="inlineStr">
        <is>
          <t>Anticipo Impuesto a las Ganancias</t>
        </is>
      </c>
      <c r="I288" s="9" t="n">
        <v>0.53</v>
      </c>
      <c r="J288" s="9" t="inlineStr"/>
      <c r="K288" s="8" t="inlineStr">
        <is>
          <t>Copiar en Flexxus: Tipo=MB-EXT | Movimiento=GRAVAMEN LEY 25.413 S/DEB | Monto=0,53 | Fecha: 22/04/2026</t>
        </is>
      </c>
    </row>
    <row r="289">
      <c r="A289" s="8" t="inlineStr">
        <is>
          <t>PEND-43739AEFA325-A001</t>
        </is>
      </c>
      <c r="B289" s="8" t="inlineStr">
        <is>
          <t>ABIERTO_NUEVO</t>
        </is>
      </c>
      <c r="C289" s="8" t="inlineStr">
        <is>
          <t>Banco egreso no Flexxus</t>
        </is>
      </c>
      <c r="D289" s="8" t="inlineStr">
        <is>
          <t>22/04/2026</t>
        </is>
      </c>
      <c r="E289" s="8" t="inlineStr">
        <is>
          <t>108225</t>
        </is>
      </c>
      <c r="F289" s="8" t="inlineStr">
        <is>
          <t>GRAVAMEN LEY 25413 S/DEB</t>
        </is>
      </c>
      <c r="G289" s="8" t="inlineStr">
        <is>
          <t>Anticipo Ganancias Ley 25.413 débitos</t>
        </is>
      </c>
      <c r="H289" s="8" t="inlineStr">
        <is>
          <t>Anticipo Impuesto a las Ganancias</t>
        </is>
      </c>
      <c r="I289" s="9" t="n">
        <v>0.8</v>
      </c>
      <c r="J289" s="9" t="inlineStr"/>
      <c r="K289" s="8" t="inlineStr">
        <is>
          <t>Copiar en Flexxus: Tipo=MB-EXT | Movimiento=GRAVAMEN LEY 25.413 S/DEB | Monto=0,80 | Fecha: 22/04/2026</t>
        </is>
      </c>
    </row>
    <row r="290">
      <c r="A290" s="8" t="inlineStr">
        <is>
          <t>PEND-BB9863006A2C-A001</t>
        </is>
      </c>
      <c r="B290" s="8" t="inlineStr">
        <is>
          <t>ABIERTO_NUEVO</t>
        </is>
      </c>
      <c r="C290" s="8" t="inlineStr">
        <is>
          <t>Banco egreso no Flexxus</t>
        </is>
      </c>
      <c r="D290" s="8" t="inlineStr">
        <is>
          <t>22/04/2026</t>
        </is>
      </c>
      <c r="E290" s="8" t="inlineStr">
        <is>
          <t>108224</t>
        </is>
      </c>
      <c r="F290" s="8" t="inlineStr">
        <is>
          <t>GRAVAMEN LEY 25413 S/DEB</t>
        </is>
      </c>
      <c r="G290" s="8" t="inlineStr">
        <is>
          <t>Anticipo Ganancias Ley 25.413 débitos</t>
        </is>
      </c>
      <c r="H290" s="8" t="inlineStr">
        <is>
          <t>Anticipo Impuesto a las Ganancias</t>
        </is>
      </c>
      <c r="I290" s="9" t="n">
        <v>0.68</v>
      </c>
      <c r="J290" s="9" t="inlineStr"/>
      <c r="K290" s="8" t="inlineStr">
        <is>
          <t>Copiar en Flexxus: Tipo=MB-EXT | Movimiento=GRAVAMEN LEY 25.413 S/DEB | Monto=0,68 | Fecha: 22/04/2026</t>
        </is>
      </c>
    </row>
    <row r="291">
      <c r="A291" s="8" t="inlineStr">
        <is>
          <t>PEND-62D784D3BD1B-A001</t>
        </is>
      </c>
      <c r="B291" s="8" t="inlineStr">
        <is>
          <t>ABIERTO_NUEVO</t>
        </is>
      </c>
      <c r="C291" s="8" t="inlineStr">
        <is>
          <t>Banco egreso no Flexxus</t>
        </is>
      </c>
      <c r="D291" s="8" t="inlineStr">
        <is>
          <t>22/04/2026</t>
        </is>
      </c>
      <c r="E291" s="8" t="inlineStr">
        <is>
          <t>108223</t>
        </is>
      </c>
      <c r="F291" s="8" t="inlineStr">
        <is>
          <t>GRAVAMEN LEY 25413 S/DEB</t>
        </is>
      </c>
      <c r="G291" s="8" t="inlineStr">
        <is>
          <t>Anticipo Ganancias Ley 25.413 débitos</t>
        </is>
      </c>
      <c r="H291" s="8" t="inlineStr">
        <is>
          <t>Anticipo Impuesto a las Ganancias</t>
        </is>
      </c>
      <c r="I291" s="9" t="n">
        <v>0.8</v>
      </c>
      <c r="J291" s="9" t="inlineStr"/>
      <c r="K291" s="8" t="inlineStr">
        <is>
          <t>Copiar en Flexxus: Tipo=MB-EXT | Movimiento=GRAVAMEN LEY 25.413 S/DEB | Monto=0,80 | Fecha: 22/04/2026</t>
        </is>
      </c>
    </row>
    <row r="292">
      <c r="A292" s="8" t="inlineStr">
        <is>
          <t>PEND-F4084E391227-A001</t>
        </is>
      </c>
      <c r="B292" s="8" t="inlineStr">
        <is>
          <t>ABIERTO_NUEVO</t>
        </is>
      </c>
      <c r="C292" s="8" t="inlineStr">
        <is>
          <t>Banco egreso no Flexxus</t>
        </is>
      </c>
      <c r="D292" s="8" t="inlineStr">
        <is>
          <t>22/04/2026</t>
        </is>
      </c>
      <c r="E292" s="8" t="inlineStr">
        <is>
          <t>108222</t>
        </is>
      </c>
      <c r="F292" s="8" t="inlineStr">
        <is>
          <t>GRAVAMEN LEY 25413 S/DEB</t>
        </is>
      </c>
      <c r="G292" s="8" t="inlineStr">
        <is>
          <t>Anticipo Ganancias Ley 25.413 débitos</t>
        </is>
      </c>
      <c r="H292" s="8" t="inlineStr">
        <is>
          <t>Anticipo Impuesto a las Ganancias</t>
        </is>
      </c>
      <c r="I292" s="9" t="n">
        <v>6.04</v>
      </c>
      <c r="J292" s="9" t="inlineStr"/>
      <c r="K292" s="8" t="inlineStr">
        <is>
          <t>Copiar en Flexxus: Tipo=MB-EXT | Movimiento=GRAVAMEN LEY 25.413 S/DEB | Monto=6,04 | Fecha: 22/04/2026</t>
        </is>
      </c>
    </row>
    <row r="293">
      <c r="A293" s="8" t="inlineStr">
        <is>
          <t>PEND-769BC2C368F2-A001</t>
        </is>
      </c>
      <c r="B293" s="8" t="inlineStr">
        <is>
          <t>ABIERTO_NUEVO</t>
        </is>
      </c>
      <c r="C293" s="8" t="inlineStr">
        <is>
          <t>Banco egreso no Flexxus</t>
        </is>
      </c>
      <c r="D293" s="8" t="inlineStr">
        <is>
          <t>22/04/2026</t>
        </is>
      </c>
      <c r="E293" s="8" t="inlineStr">
        <is>
          <t>108221</t>
        </is>
      </c>
      <c r="F293" s="8" t="inlineStr">
        <is>
          <t>GRAVAMEN LEY 25413 S/DEB</t>
        </is>
      </c>
      <c r="G293" s="8" t="inlineStr">
        <is>
          <t>Anticipo Ganancias Ley 25.413 débitos</t>
        </is>
      </c>
      <c r="H293" s="8" t="inlineStr">
        <is>
          <t>Anticipo Impuesto a las Ganancias</t>
        </is>
      </c>
      <c r="I293" s="9" t="n">
        <v>4.34</v>
      </c>
      <c r="J293" s="9" t="inlineStr"/>
      <c r="K293" s="8" t="inlineStr">
        <is>
          <t>Copiar en Flexxus: Tipo=MB-EXT | Movimiento=GRAVAMEN LEY 25.413 S/DEB | Monto=4,34 | Fecha: 22/04/2026</t>
        </is>
      </c>
    </row>
    <row r="294">
      <c r="A294" s="8" t="inlineStr">
        <is>
          <t>PEND-4C1564EB2647-A001</t>
        </is>
      </c>
      <c r="B294" s="8" t="inlineStr">
        <is>
          <t>ABIERTO_NUEVO</t>
        </is>
      </c>
      <c r="C294" s="8" t="inlineStr">
        <is>
          <t>Banco egreso no Flexxus</t>
        </is>
      </c>
      <c r="D294" s="8" t="inlineStr">
        <is>
          <t>22/04/2026</t>
        </is>
      </c>
      <c r="E294" s="8" t="inlineStr">
        <is>
          <t>108220</t>
        </is>
      </c>
      <c r="F294" s="8" t="inlineStr">
        <is>
          <t>GRAVAMEN LEY 25413 S/DEB</t>
        </is>
      </c>
      <c r="G294" s="8" t="inlineStr">
        <is>
          <t>Anticipo Ganancias Ley 25.413 débitos</t>
        </is>
      </c>
      <c r="H294" s="8" t="inlineStr">
        <is>
          <t>Anticipo Impuesto a las Ganancias</t>
        </is>
      </c>
      <c r="I294" s="9" t="n">
        <v>1.13</v>
      </c>
      <c r="J294" s="9" t="inlineStr"/>
      <c r="K294" s="8" t="inlineStr">
        <is>
          <t>Copiar en Flexxus: Tipo=MB-EXT | Movimiento=GRAVAMEN LEY 25.413 S/DEB | Monto=1,13 | Fecha: 22/04/2026</t>
        </is>
      </c>
    </row>
    <row r="295">
      <c r="A295" s="8" t="inlineStr">
        <is>
          <t>PEND-47511697C2E0-A001</t>
        </is>
      </c>
      <c r="B295" s="8" t="inlineStr">
        <is>
          <t>ABIERTO_NUEVO</t>
        </is>
      </c>
      <c r="C295" s="8" t="inlineStr">
        <is>
          <t>Banco egreso no Flexxus</t>
        </is>
      </c>
      <c r="D295" s="8" t="inlineStr">
        <is>
          <t>22/04/2026</t>
        </is>
      </c>
      <c r="E295" s="8" t="inlineStr">
        <is>
          <t>108218</t>
        </is>
      </c>
      <c r="F295" s="8" t="inlineStr">
        <is>
          <t>GRAVAMEN LEY 25413 S/DEB</t>
        </is>
      </c>
      <c r="G295" s="8" t="inlineStr">
        <is>
          <t>Anticipo Ganancias Ley 25.413 débitos</t>
        </is>
      </c>
      <c r="H295" s="8" t="inlineStr">
        <is>
          <t>Anticipo Impuesto a las Ganancias</t>
        </is>
      </c>
      <c r="I295" s="9" t="n">
        <v>3.16</v>
      </c>
      <c r="J295" s="9" t="inlineStr"/>
      <c r="K295" s="8" t="inlineStr">
        <is>
          <t>Copiar en Flexxus: Tipo=MB-EXT | Movimiento=GRAVAMEN LEY 25.413 S/DEB | Monto=3,16 | Fecha: 22/04/2026</t>
        </is>
      </c>
    </row>
    <row r="296">
      <c r="A296" s="8" t="inlineStr">
        <is>
          <t>PEND-C2EE0FC6E9BA-A001</t>
        </is>
      </c>
      <c r="B296" s="8" t="inlineStr">
        <is>
          <t>ABIERTO_NUEVO</t>
        </is>
      </c>
      <c r="C296" s="8" t="inlineStr">
        <is>
          <t>Banco egreso no Flexxus</t>
        </is>
      </c>
      <c r="D296" s="8" t="inlineStr">
        <is>
          <t>22/04/2026</t>
        </is>
      </c>
      <c r="E296" s="8" t="inlineStr">
        <is>
          <t>32032899</t>
        </is>
      </c>
      <c r="F296" s="8" t="inlineStr">
        <is>
          <t>GRAVAMEN LEY 25413 S/DEB</t>
        </is>
      </c>
      <c r="G296" s="8" t="inlineStr">
        <is>
          <t>Anticipo Ganancias Ley 25.413 débitos</t>
        </is>
      </c>
      <c r="H296" s="8" t="inlineStr">
        <is>
          <t>Anticipo Impuesto a las Ganancias</t>
        </is>
      </c>
      <c r="I296" s="9" t="n">
        <v>12.65</v>
      </c>
      <c r="J296" s="9" t="inlineStr"/>
      <c r="K296" s="8" t="inlineStr">
        <is>
          <t>Copiar en Flexxus: Tipo=MB-EXT | Movimiento=GRAVAMEN LEY 25.413 S/DEB | Monto=12,65 | Fecha: 22/04/2026</t>
        </is>
      </c>
    </row>
    <row r="297">
      <c r="A297" s="8" t="inlineStr">
        <is>
          <t>PEND-BEB0DC14ED32-A001</t>
        </is>
      </c>
      <c r="B297" s="8" t="inlineStr">
        <is>
          <t>ABIERTO_NUEVO</t>
        </is>
      </c>
      <c r="C297" s="8" t="inlineStr">
        <is>
          <t>Banco egreso no Flexxus</t>
        </is>
      </c>
      <c r="D297" s="8" t="inlineStr">
        <is>
          <t>22/04/2026</t>
        </is>
      </c>
      <c r="E297" s="8" t="inlineStr">
        <is>
          <t>31995644</t>
        </is>
      </c>
      <c r="F297" s="8" t="inlineStr">
        <is>
          <t>GRAVAMEN LEY 25413 S/DEB</t>
        </is>
      </c>
      <c r="G297" s="8" t="inlineStr">
        <is>
          <t>Anticipo Ganancias Ley 25.413 débitos</t>
        </is>
      </c>
      <c r="H297" s="8" t="inlineStr">
        <is>
          <t>Anticipo Impuesto a las Ganancias</t>
        </is>
      </c>
      <c r="I297" s="9" t="n">
        <v>4.21</v>
      </c>
      <c r="J297" s="9" t="inlineStr"/>
      <c r="K297" s="8" t="inlineStr">
        <is>
          <t>Copiar en Flexxus: Tipo=MB-EXT | Movimiento=GRAVAMEN LEY 25.413 S/DEB | Monto=4,21 | Fecha: 22/04/2026</t>
        </is>
      </c>
    </row>
    <row r="298">
      <c r="A298" s="8" t="inlineStr">
        <is>
          <t>PEND-F9EE97DAE96F-A001</t>
        </is>
      </c>
      <c r="B298" s="8" t="inlineStr">
        <is>
          <t>ABIERTO_NUEVO</t>
        </is>
      </c>
      <c r="C298" s="8" t="inlineStr">
        <is>
          <t>Banco egreso no Flexxus</t>
        </is>
      </c>
      <c r="D298" s="8" t="inlineStr">
        <is>
          <t>22/04/2026</t>
        </is>
      </c>
      <c r="E298" s="8" t="inlineStr">
        <is>
          <t>29841705</t>
        </is>
      </c>
      <c r="F298" s="8" t="inlineStr">
        <is>
          <t>GRAVAMEN LEY 25413 S/DEB</t>
        </is>
      </c>
      <c r="G298" s="8" t="inlineStr">
        <is>
          <t>Anticipo Ganancias Ley 25.413 débitos</t>
        </is>
      </c>
      <c r="H298" s="8" t="inlineStr">
        <is>
          <t>Anticipo Impuesto a las Ganancias</t>
        </is>
      </c>
      <c r="I298" s="9" t="n">
        <v>1.63</v>
      </c>
      <c r="J298" s="9" t="inlineStr"/>
      <c r="K298" s="8" t="inlineStr">
        <is>
          <t>Copiar en Flexxus: Tipo=MB-EXT | Movimiento=GRAVAMEN LEY 25.413 S/DEB | Monto=1,63 | Fecha: 22/04/2026</t>
        </is>
      </c>
    </row>
    <row r="299">
      <c r="A299" s="8" t="inlineStr">
        <is>
          <t>PEND-191C0955712F-A001</t>
        </is>
      </c>
      <c r="B299" s="8" t="inlineStr">
        <is>
          <t>ABIERTO_NUEVO</t>
        </is>
      </c>
      <c r="C299" s="8" t="inlineStr">
        <is>
          <t>Banco egreso no Flexxus</t>
        </is>
      </c>
      <c r="D299" s="8" t="inlineStr">
        <is>
          <t>22/04/2026</t>
        </is>
      </c>
      <c r="E299" s="8" t="inlineStr">
        <is>
          <t>29841670</t>
        </is>
      </c>
      <c r="F299" s="8" t="inlineStr">
        <is>
          <t>GRAVAMEN LEY 25413 S/DEB</t>
        </is>
      </c>
      <c r="G299" s="8" t="inlineStr">
        <is>
          <t>Anticipo Ganancias Ley 25.413 débitos</t>
        </is>
      </c>
      <c r="H299" s="8" t="inlineStr">
        <is>
          <t>Anticipo Impuesto a las Ganancias</t>
        </is>
      </c>
      <c r="I299" s="9" t="n">
        <v>5.45</v>
      </c>
      <c r="J299" s="9" t="inlineStr"/>
      <c r="K299" s="8" t="inlineStr">
        <is>
          <t>Copiar en Flexxus: Tipo=MB-EXT | Movimiento=GRAVAMEN LEY 25.413 S/DEB | Monto=5,45 | Fecha: 22/04/2026</t>
        </is>
      </c>
    </row>
    <row r="300">
      <c r="A300" s="8" t="inlineStr">
        <is>
          <t>PEND-39D235B4695D-A001</t>
        </is>
      </c>
      <c r="B300" s="8" t="inlineStr">
        <is>
          <t>ABIERTO_NUEVO</t>
        </is>
      </c>
      <c r="C300" s="8" t="inlineStr">
        <is>
          <t>Banco egreso no Flexxus</t>
        </is>
      </c>
      <c r="D300" s="8" t="inlineStr">
        <is>
          <t>22/04/2026</t>
        </is>
      </c>
      <c r="E300" s="8" t="inlineStr">
        <is>
          <t>29841642</t>
        </is>
      </c>
      <c r="F300" s="8" t="inlineStr">
        <is>
          <t>GRAVAMEN LEY 25413 S/DEB</t>
        </is>
      </c>
      <c r="G300" s="8" t="inlineStr">
        <is>
          <t>Anticipo Ganancias Ley 25.413 débitos</t>
        </is>
      </c>
      <c r="H300" s="8" t="inlineStr">
        <is>
          <t>Anticipo Impuesto a las Ganancias</t>
        </is>
      </c>
      <c r="I300" s="9" t="n">
        <v>3.53</v>
      </c>
      <c r="J300" s="9" t="inlineStr"/>
      <c r="K300" s="8" t="inlineStr">
        <is>
          <t>Copiar en Flexxus: Tipo=MB-EXT | Movimiento=GRAVAMEN LEY 25.413 S/DEB | Monto=3,53 | Fecha: 22/04/2026</t>
        </is>
      </c>
    </row>
    <row r="301">
      <c r="A301" s="8" t="inlineStr">
        <is>
          <t>PEND-7F457D719CE0-A001</t>
        </is>
      </c>
      <c r="B301" s="8" t="inlineStr">
        <is>
          <t>ABIERTO_NUEVO</t>
        </is>
      </c>
      <c r="C301" s="8" t="inlineStr">
        <is>
          <t>Banco egreso no Flexxus</t>
        </is>
      </c>
      <c r="D301" s="8" t="inlineStr">
        <is>
          <t>22/04/2026</t>
        </is>
      </c>
      <c r="E301" s="8" t="inlineStr">
        <is>
          <t>29841627</t>
        </is>
      </c>
      <c r="F301" s="8" t="inlineStr">
        <is>
          <t>GRAVAMEN LEY 25413 S/DEB</t>
        </is>
      </c>
      <c r="G301" s="8" t="inlineStr">
        <is>
          <t>Anticipo Ganancias Ley 25.413 débitos</t>
        </is>
      </c>
      <c r="H301" s="8" t="inlineStr">
        <is>
          <t>Anticipo Impuesto a las Ganancias</t>
        </is>
      </c>
      <c r="I301" s="9" t="n">
        <v>0.92</v>
      </c>
      <c r="J301" s="9" t="inlineStr"/>
      <c r="K301" s="8" t="inlineStr">
        <is>
          <t>Copiar en Flexxus: Tipo=MB-EXT | Movimiento=GRAVAMEN LEY 25.413 S/DEB | Monto=0,92 | Fecha: 22/04/2026</t>
        </is>
      </c>
    </row>
    <row r="302">
      <c r="A302" s="8" t="inlineStr">
        <is>
          <t>PEND-0F57A08294C5-A001</t>
        </is>
      </c>
      <c r="B302" s="8" t="inlineStr">
        <is>
          <t>ABIERTO_NUEVO</t>
        </is>
      </c>
      <c r="C302" s="8" t="inlineStr">
        <is>
          <t>Banco egreso no Flexxus</t>
        </is>
      </c>
      <c r="D302" s="8" t="inlineStr">
        <is>
          <t>22/04/2026</t>
        </is>
      </c>
      <c r="E302" s="8" t="inlineStr">
        <is>
          <t>32032899</t>
        </is>
      </c>
      <c r="F302" s="8" t="inlineStr">
        <is>
          <t>GRAVAMEN LEY 25413 S/DEB</t>
        </is>
      </c>
      <c r="G302" s="8" t="inlineStr">
        <is>
          <t>Anticipo Ganancias Ley 25.413 débitos</t>
        </is>
      </c>
      <c r="H302" s="8" t="inlineStr">
        <is>
          <t>Anticipo Impuesto a las Ganancias</t>
        </is>
      </c>
      <c r="I302" s="9" t="n">
        <v>1.96</v>
      </c>
      <c r="J302" s="9" t="inlineStr"/>
      <c r="K302" s="8" t="inlineStr">
        <is>
          <t>Copiar en Flexxus: Tipo=MB-EXT | Movimiento=GRAVAMEN LEY 25.413 S/DEB | Monto=1,96 | Fecha: 22/04/2026</t>
        </is>
      </c>
    </row>
    <row r="303">
      <c r="A303" s="8" t="inlineStr">
        <is>
          <t>PEND-C298111D4DF0-A001</t>
        </is>
      </c>
      <c r="B303" s="8" t="inlineStr">
        <is>
          <t>ABIERTO_NUEVO</t>
        </is>
      </c>
      <c r="C303" s="8" t="inlineStr">
        <is>
          <t>Banco egreso no Flexxus</t>
        </is>
      </c>
      <c r="D303" s="8" t="inlineStr">
        <is>
          <t>22/04/2026</t>
        </is>
      </c>
      <c r="E303" s="8" t="inlineStr">
        <is>
          <t>108210</t>
        </is>
      </c>
      <c r="F303" s="8" t="inlineStr">
        <is>
          <t>GRAVAMEN LEY 25413 S/DEB</t>
        </is>
      </c>
      <c r="G303" s="8" t="inlineStr">
        <is>
          <t>Anticipo Ganancias Ley 25.413 débitos</t>
        </is>
      </c>
      <c r="H303" s="8" t="inlineStr">
        <is>
          <t>Anticipo Impuesto a las Ganancias</t>
        </is>
      </c>
      <c r="I303" s="9" t="n">
        <v>0.74</v>
      </c>
      <c r="J303" s="9" t="inlineStr"/>
      <c r="K303" s="8" t="inlineStr">
        <is>
          <t>Copiar en Flexxus: Tipo=MB-EXT | Movimiento=GRAVAMEN LEY 25.413 S/DEB | Monto=0,74 | Fecha: 22/04/2026</t>
        </is>
      </c>
    </row>
    <row r="304">
      <c r="A304" s="8" t="inlineStr">
        <is>
          <t>PEND-5DBE8BD072D2-A001</t>
        </is>
      </c>
      <c r="B304" s="8" t="inlineStr">
        <is>
          <t>ABIERTO_NUEVO</t>
        </is>
      </c>
      <c r="C304" s="8" t="inlineStr">
        <is>
          <t>Banco egreso no Flexxus</t>
        </is>
      </c>
      <c r="D304" s="8" t="inlineStr">
        <is>
          <t>22/04/2026</t>
        </is>
      </c>
      <c r="E304" s="8" t="inlineStr">
        <is>
          <t>29841705</t>
        </is>
      </c>
      <c r="F304" s="8" t="inlineStr">
        <is>
          <t>GRAVAMEN LEY 25413 S/DEB</t>
        </is>
      </c>
      <c r="G304" s="8" t="inlineStr">
        <is>
          <t>Anticipo Ganancias Ley 25.413 débitos</t>
        </is>
      </c>
      <c r="H304" s="8" t="inlineStr">
        <is>
          <t>Anticipo Impuesto a las Ganancias</t>
        </is>
      </c>
      <c r="I304" s="9" t="n">
        <v>2.27</v>
      </c>
      <c r="J304" s="9" t="inlineStr"/>
      <c r="K304" s="8" t="inlineStr">
        <is>
          <t>Copiar en Flexxus: Tipo=MB-EXT | Movimiento=GRAVAMEN LEY 25.413 S/DEB | Monto=2,27 | Fecha: 22/04/2026</t>
        </is>
      </c>
    </row>
    <row r="305">
      <c r="A305" s="8" t="inlineStr">
        <is>
          <t>PEND-2804E35F9ACF-A001</t>
        </is>
      </c>
      <c r="B305" s="8" t="inlineStr">
        <is>
          <t>ABIERTO_NUEVO</t>
        </is>
      </c>
      <c r="C305" s="8" t="inlineStr">
        <is>
          <t>Banco egreso no Flexxus</t>
        </is>
      </c>
      <c r="D305" s="8" t="inlineStr">
        <is>
          <t>22/04/2026</t>
        </is>
      </c>
      <c r="E305" s="8" t="inlineStr">
        <is>
          <t>29841683</t>
        </is>
      </c>
      <c r="F305" s="8" t="inlineStr">
        <is>
          <t>GRAVAMEN LEY 25413 S/DEB</t>
        </is>
      </c>
      <c r="G305" s="8" t="inlineStr">
        <is>
          <t>Anticipo Ganancias Ley 25.413 débitos</t>
        </is>
      </c>
      <c r="H305" s="8" t="inlineStr">
        <is>
          <t>Anticipo Impuesto a las Ganancias</t>
        </is>
      </c>
      <c r="I305" s="9" t="n">
        <v>1.78</v>
      </c>
      <c r="J305" s="9" t="inlineStr"/>
      <c r="K305" s="8" t="inlineStr">
        <is>
          <t>Copiar en Flexxus: Tipo=MB-EXT | Movimiento=GRAVAMEN LEY 25.413 S/DEB | Monto=1,78 | Fecha: 22/04/2026</t>
        </is>
      </c>
    </row>
    <row r="306">
      <c r="A306" s="8" t="inlineStr">
        <is>
          <t>PEND-B1DBD3933A58-A001</t>
        </is>
      </c>
      <c r="B306" s="8" t="inlineStr">
        <is>
          <t>ABIERTO_NUEVO</t>
        </is>
      </c>
      <c r="C306" s="8" t="inlineStr">
        <is>
          <t>Banco egreso no Flexxus</t>
        </is>
      </c>
      <c r="D306" s="8" t="inlineStr">
        <is>
          <t>22/04/2026</t>
        </is>
      </c>
      <c r="E306" s="8" t="inlineStr">
        <is>
          <t>29841642</t>
        </is>
      </c>
      <c r="F306" s="8" t="inlineStr">
        <is>
          <t>GRAVAMEN LEY 25413 S/DEB</t>
        </is>
      </c>
      <c r="G306" s="8" t="inlineStr">
        <is>
          <t>Anticipo Ganancias Ley 25.413 débitos</t>
        </is>
      </c>
      <c r="H306" s="8" t="inlineStr">
        <is>
          <t>Anticipo Impuesto a las Ganancias</t>
        </is>
      </c>
      <c r="I306" s="9" t="n">
        <v>7.46</v>
      </c>
      <c r="J306" s="9" t="inlineStr"/>
      <c r="K306" s="8" t="inlineStr">
        <is>
          <t>Copiar en Flexxus: Tipo=MB-EXT | Movimiento=GRAVAMEN LEY 25.413 S/DEB | Monto=7,46 | Fecha: 22/04/2026</t>
        </is>
      </c>
    </row>
    <row r="307">
      <c r="A307" s="8" t="inlineStr">
        <is>
          <t>PEND-3E42CCC688D3-A001</t>
        </is>
      </c>
      <c r="B307" s="8" t="inlineStr">
        <is>
          <t>ABIERTO_NUEVO</t>
        </is>
      </c>
      <c r="C307" s="8" t="inlineStr">
        <is>
          <t>Banco egreso no Flexxus</t>
        </is>
      </c>
      <c r="D307" s="8" t="inlineStr">
        <is>
          <t>22/04/2026</t>
        </is>
      </c>
      <c r="E307" s="8" t="inlineStr">
        <is>
          <t>32032899</t>
        </is>
      </c>
      <c r="F307" s="8" t="inlineStr">
        <is>
          <t>GRAVAMEN LEY 25413 S/DEB</t>
        </is>
      </c>
      <c r="G307" s="8" t="inlineStr">
        <is>
          <t>Anticipo Ganancias Ley 25.413 débitos</t>
        </is>
      </c>
      <c r="H307" s="8" t="inlineStr">
        <is>
          <t>Anticipo Impuesto a las Ganancias</t>
        </is>
      </c>
      <c r="I307" s="9" t="n">
        <v>11.7</v>
      </c>
      <c r="J307" s="9" t="inlineStr"/>
      <c r="K307" s="8" t="inlineStr">
        <is>
          <t>Copiar en Flexxus: Tipo=MB-EXT | Movimiento=GRAVAMEN LEY 25.413 S/DEB | Monto=11,70 | Fecha: 22/04/2026</t>
        </is>
      </c>
    </row>
    <row r="308">
      <c r="A308" s="8" t="inlineStr">
        <is>
          <t>PEND-BE64C8DD55FD-A001</t>
        </is>
      </c>
      <c r="B308" s="8" t="inlineStr">
        <is>
          <t>ABIERTO_NUEVO</t>
        </is>
      </c>
      <c r="C308" s="8" t="inlineStr">
        <is>
          <t>Banco egreso no Flexxus</t>
        </is>
      </c>
      <c r="D308" s="8" t="inlineStr">
        <is>
          <t>22/04/2026</t>
        </is>
      </c>
      <c r="E308" s="8" t="inlineStr">
        <is>
          <t>31995644</t>
        </is>
      </c>
      <c r="F308" s="8" t="inlineStr">
        <is>
          <t>GRAVAMEN LEY 25413 S/DEB</t>
        </is>
      </c>
      <c r="G308" s="8" t="inlineStr">
        <is>
          <t>Anticipo Ganancias Ley 25.413 débitos</t>
        </is>
      </c>
      <c r="H308" s="8" t="inlineStr">
        <is>
          <t>Anticipo Impuesto a las Ganancias</t>
        </is>
      </c>
      <c r="I308" s="9" t="n">
        <v>17.63</v>
      </c>
      <c r="J308" s="9" t="inlineStr"/>
      <c r="K308" s="8" t="inlineStr">
        <is>
          <t>Copiar en Flexxus: Tipo=MB-EXT | Movimiento=GRAVAMEN LEY 25.413 S/DEB | Monto=17,63 | Fecha: 22/04/2026</t>
        </is>
      </c>
    </row>
    <row r="309">
      <c r="A309" s="8" t="inlineStr">
        <is>
          <t>PEND-3DF3F95CAA12-A001</t>
        </is>
      </c>
      <c r="B309" s="8" t="inlineStr">
        <is>
          <t>ABIERTO_NUEVO</t>
        </is>
      </c>
      <c r="C309" s="8" t="inlineStr">
        <is>
          <t>Banco egreso no Flexxus</t>
        </is>
      </c>
      <c r="D309" s="8" t="inlineStr">
        <is>
          <t>22/04/2026</t>
        </is>
      </c>
      <c r="E309" s="8" t="inlineStr">
        <is>
          <t>108203</t>
        </is>
      </c>
      <c r="F309" s="8" t="inlineStr">
        <is>
          <t>GRAVAMEN LEY 25413 S/DEB</t>
        </is>
      </c>
      <c r="G309" s="8" t="inlineStr">
        <is>
          <t>Anticipo Ganancias Ley 25.413 débitos</t>
        </is>
      </c>
      <c r="H309" s="8" t="inlineStr">
        <is>
          <t>Anticipo Impuesto a las Ganancias</t>
        </is>
      </c>
      <c r="I309" s="9" t="n">
        <v>1.44</v>
      </c>
      <c r="J309" s="9" t="inlineStr"/>
      <c r="K309" s="8" t="inlineStr">
        <is>
          <t>Copiar en Flexxus: Tipo=MB-EXT | Movimiento=GRAVAMEN LEY 25.413 S/DEB | Monto=1,44 | Fecha: 22/04/2026</t>
        </is>
      </c>
    </row>
    <row r="310">
      <c r="A310" s="8" t="inlineStr">
        <is>
          <t>PEND-5DBE8BD072D2-B002</t>
        </is>
      </c>
      <c r="B310" s="8" t="inlineStr">
        <is>
          <t>ABIERTO_NUEVO</t>
        </is>
      </c>
      <c r="C310" s="8" t="inlineStr">
        <is>
          <t>Banco egreso no Flexxus</t>
        </is>
      </c>
      <c r="D310" s="8" t="inlineStr">
        <is>
          <t>22/04/2026</t>
        </is>
      </c>
      <c r="E310" s="8" t="inlineStr">
        <is>
          <t>29841705</t>
        </is>
      </c>
      <c r="F310" s="8" t="inlineStr">
        <is>
          <t>GRAVAMEN LEY 25413 S/DEB</t>
        </is>
      </c>
      <c r="G310" s="8" t="inlineStr">
        <is>
          <t>Anticipo Ganancias Ley 25.413 débitos</t>
        </is>
      </c>
      <c r="H310" s="8" t="inlineStr">
        <is>
          <t>Anticipo Impuesto a las Ganancias</t>
        </is>
      </c>
      <c r="I310" s="9" t="n">
        <v>2.27</v>
      </c>
      <c r="J310" s="9" t="inlineStr"/>
      <c r="K310" s="8" t="inlineStr">
        <is>
          <t>Copiar en Flexxus: Tipo=MB-EXT | Movimiento=GRAVAMEN LEY 25.413 S/DEB | Monto=2,27 | Fecha: 22/04/2026</t>
        </is>
      </c>
    </row>
    <row r="311">
      <c r="A311" s="8" t="inlineStr">
        <is>
          <t>PEND-536D41766302-A001</t>
        </is>
      </c>
      <c r="B311" s="8" t="inlineStr">
        <is>
          <t>ABIERTO_NUEVO</t>
        </is>
      </c>
      <c r="C311" s="8" t="inlineStr">
        <is>
          <t>Banco egreso no Flexxus</t>
        </is>
      </c>
      <c r="D311" s="8" t="inlineStr">
        <is>
          <t>22/04/2026</t>
        </is>
      </c>
      <c r="E311" s="8" t="inlineStr">
        <is>
          <t>29841670</t>
        </is>
      </c>
      <c r="F311" s="8" t="inlineStr">
        <is>
          <t>GRAVAMEN LEY 25413 S/DEB</t>
        </is>
      </c>
      <c r="G311" s="8" t="inlineStr">
        <is>
          <t>Anticipo Ganancias Ley 25.413 débitos</t>
        </is>
      </c>
      <c r="H311" s="8" t="inlineStr">
        <is>
          <t>Anticipo Impuesto a las Ganancias</t>
        </is>
      </c>
      <c r="I311" s="9" t="n">
        <v>2.27</v>
      </c>
      <c r="J311" s="9" t="inlineStr"/>
      <c r="K311" s="8" t="inlineStr">
        <is>
          <t>Copiar en Flexxus: Tipo=MB-EXT | Movimiento=GRAVAMEN LEY 25.413 S/DEB | Monto=2,27 | Fecha: 22/04/2026</t>
        </is>
      </c>
    </row>
    <row r="312">
      <c r="A312" s="8" t="inlineStr">
        <is>
          <t>PEND-96F565F74233-A001</t>
        </is>
      </c>
      <c r="B312" s="8" t="inlineStr">
        <is>
          <t>ABIERTO_NUEVO</t>
        </is>
      </c>
      <c r="C312" s="8" t="inlineStr">
        <is>
          <t>Banco egreso no Flexxus</t>
        </is>
      </c>
      <c r="D312" s="8" t="inlineStr">
        <is>
          <t>22/04/2026</t>
        </is>
      </c>
      <c r="E312" s="8" t="inlineStr">
        <is>
          <t>29841642</t>
        </is>
      </c>
      <c r="F312" s="8" t="inlineStr">
        <is>
          <t>GRAVAMEN LEY 25413 S/DEB</t>
        </is>
      </c>
      <c r="G312" s="8" t="inlineStr">
        <is>
          <t>Anticipo Ganancias Ley 25.413 débitos</t>
        </is>
      </c>
      <c r="H312" s="8" t="inlineStr">
        <is>
          <t>Anticipo Impuesto a las Ganancias</t>
        </is>
      </c>
      <c r="I312" s="9" t="n">
        <v>2.52</v>
      </c>
      <c r="J312" s="9" t="inlineStr"/>
      <c r="K312" s="8" t="inlineStr">
        <is>
          <t>Copiar en Flexxus: Tipo=MB-EXT | Movimiento=GRAVAMEN LEY 25.413 S/DEB | Monto=2,52 | Fecha: 22/04/2026</t>
        </is>
      </c>
    </row>
    <row r="313">
      <c r="A313" s="8" t="inlineStr">
        <is>
          <t>PEND-55DCB01378EA-A001</t>
        </is>
      </c>
      <c r="B313" s="8" t="inlineStr">
        <is>
          <t>ABIERTO_NUEVO</t>
        </is>
      </c>
      <c r="C313" s="8" t="inlineStr">
        <is>
          <t>Banco egreso no Flexxus</t>
        </is>
      </c>
      <c r="D313" s="8" t="inlineStr">
        <is>
          <t>22/04/2026</t>
        </is>
      </c>
      <c r="E313" s="8" t="inlineStr">
        <is>
          <t>32032899</t>
        </is>
      </c>
      <c r="F313" s="8" t="inlineStr">
        <is>
          <t>GRAVAMEN LEY 25413 S/DEB</t>
        </is>
      </c>
      <c r="G313" s="8" t="inlineStr">
        <is>
          <t>Anticipo Ganancias Ley 25.413 débitos</t>
        </is>
      </c>
      <c r="H313" s="8" t="inlineStr">
        <is>
          <t>Anticipo Impuesto a las Ganancias</t>
        </is>
      </c>
      <c r="I313" s="9" t="n">
        <v>6.86</v>
      </c>
      <c r="J313" s="9" t="inlineStr"/>
      <c r="K313" s="8" t="inlineStr">
        <is>
          <t>Copiar en Flexxus: Tipo=MB-EXT | Movimiento=GRAVAMEN LEY 25.413 S/DEB | Monto=6,86 | Fecha: 22/04/2026</t>
        </is>
      </c>
    </row>
    <row r="314">
      <c r="A314" s="8" t="inlineStr">
        <is>
          <t>PEND-98CC3275C032-A001</t>
        </is>
      </c>
      <c r="B314" s="8" t="inlineStr">
        <is>
          <t>ABIERTO_NUEVO</t>
        </is>
      </c>
      <c r="C314" s="8" t="inlineStr">
        <is>
          <t>Banco egreso no Flexxus</t>
        </is>
      </c>
      <c r="D314" s="8" t="inlineStr">
        <is>
          <t>22/04/2026</t>
        </is>
      </c>
      <c r="E314" s="8" t="inlineStr">
        <is>
          <t>32032899</t>
        </is>
      </c>
      <c r="F314" s="8" t="inlineStr">
        <is>
          <t>GRAVAMEN LEY 25413 S/DEB</t>
        </is>
      </c>
      <c r="G314" s="8" t="inlineStr">
        <is>
          <t>Anticipo Ganancias Ley 25.413 débitos</t>
        </is>
      </c>
      <c r="H314" s="8" t="inlineStr">
        <is>
          <t>Anticipo Impuesto a las Ganancias</t>
        </is>
      </c>
      <c r="I314" s="9" t="n">
        <v>6.69</v>
      </c>
      <c r="J314" s="9" t="inlineStr"/>
      <c r="K314" s="8" t="inlineStr">
        <is>
          <t>Copiar en Flexxus: Tipo=MB-EXT | Movimiento=GRAVAMEN LEY 25.413 S/DEB | Monto=6,69 | Fecha: 22/04/2026</t>
        </is>
      </c>
    </row>
    <row r="315">
      <c r="A315" s="8" t="inlineStr">
        <is>
          <t>PEND-8C1945CD3211-A001</t>
        </is>
      </c>
      <c r="B315" s="8" t="inlineStr">
        <is>
          <t>ABIERTO_NUEVO</t>
        </is>
      </c>
      <c r="C315" s="8" t="inlineStr">
        <is>
          <t>Banco egreso no Flexxus</t>
        </is>
      </c>
      <c r="D315" s="8" t="inlineStr">
        <is>
          <t>22/04/2026</t>
        </is>
      </c>
      <c r="E315" s="8" t="inlineStr">
        <is>
          <t>31995644</t>
        </is>
      </c>
      <c r="F315" s="8" t="inlineStr">
        <is>
          <t>GRAVAMEN LEY 25413 S/DEB</t>
        </is>
      </c>
      <c r="G315" s="8" t="inlineStr">
        <is>
          <t>Anticipo Ganancias Ley 25.413 débitos</t>
        </is>
      </c>
      <c r="H315" s="8" t="inlineStr">
        <is>
          <t>Anticipo Impuesto a las Ganancias</t>
        </is>
      </c>
      <c r="I315" s="9" t="n">
        <v>47.13</v>
      </c>
      <c r="J315" s="9" t="inlineStr"/>
      <c r="K315" s="8" t="inlineStr">
        <is>
          <t>Copiar en Flexxus: Tipo=MB-EXT | Movimiento=GRAVAMEN LEY 25.413 S/DEB | Monto=47,13 | Fecha: 22/04/2026</t>
        </is>
      </c>
    </row>
    <row r="316">
      <c r="A316" s="8" t="inlineStr">
        <is>
          <t>PEND-9162DE995240-A001</t>
        </is>
      </c>
      <c r="B316" s="8" t="inlineStr">
        <is>
          <t>ABIERTO_NUEVO</t>
        </is>
      </c>
      <c r="C316" s="8" t="inlineStr">
        <is>
          <t>Banco egreso no Flexxus</t>
        </is>
      </c>
      <c r="D316" s="8" t="inlineStr">
        <is>
          <t>22/04/2026</t>
        </is>
      </c>
      <c r="E316" s="8" t="inlineStr">
        <is>
          <t>31995644</t>
        </is>
      </c>
      <c r="F316" s="8" t="inlineStr">
        <is>
          <t>GRAVAMEN LEY 25413 S/DEB</t>
        </is>
      </c>
      <c r="G316" s="8" t="inlineStr">
        <is>
          <t>Anticipo Ganancias Ley 25.413 débitos</t>
        </is>
      </c>
      <c r="H316" s="8" t="inlineStr">
        <is>
          <t>Anticipo Impuesto a las Ganancias</t>
        </is>
      </c>
      <c r="I316" s="9" t="n">
        <v>105.26</v>
      </c>
      <c r="J316" s="9" t="inlineStr"/>
      <c r="K316" s="8" t="inlineStr">
        <is>
          <t>Copiar en Flexxus: Tipo=MB-EXT | Movimiento=GRAVAMEN LEY 25.413 S/DEB | Monto=105,26 | Fecha: 22/04/2026</t>
        </is>
      </c>
    </row>
    <row r="317">
      <c r="A317" s="8" t="inlineStr">
        <is>
          <t>PEND-667A9937F150-A001</t>
        </is>
      </c>
      <c r="B317" s="8" t="inlineStr">
        <is>
          <t>ABIERTO_NUEVO</t>
        </is>
      </c>
      <c r="C317" s="8" t="inlineStr">
        <is>
          <t>Banco egreso no Flexxus</t>
        </is>
      </c>
      <c r="D317" s="8" t="inlineStr">
        <is>
          <t>22/04/2026</t>
        </is>
      </c>
      <c r="E317" s="8" t="inlineStr">
        <is>
          <t>29841705</t>
        </is>
      </c>
      <c r="F317" s="8" t="inlineStr">
        <is>
          <t>GRAVAMEN LEY 25413 S/DEB</t>
        </is>
      </c>
      <c r="G317" s="8" t="inlineStr">
        <is>
          <t>Anticipo Ganancias Ley 25.413 débitos</t>
        </is>
      </c>
      <c r="H317" s="8" t="inlineStr">
        <is>
          <t>Anticipo Impuesto a las Ganancias</t>
        </is>
      </c>
      <c r="I317" s="9" t="n">
        <v>7.84</v>
      </c>
      <c r="J317" s="9" t="inlineStr"/>
      <c r="K317" s="8" t="inlineStr">
        <is>
          <t>Copiar en Flexxus: Tipo=MB-EXT | Movimiento=GRAVAMEN LEY 25.413 S/DEB | Monto=7,84 | Fecha: 22/04/2026</t>
        </is>
      </c>
    </row>
    <row r="318">
      <c r="A318" s="8" t="inlineStr">
        <is>
          <t>PEND-8C3F28971C3C-A001</t>
        </is>
      </c>
      <c r="B318" s="8" t="inlineStr">
        <is>
          <t>ABIERTO_NUEVO</t>
        </is>
      </c>
      <c r="C318" s="8" t="inlineStr">
        <is>
          <t>Banco egreso no Flexxus</t>
        </is>
      </c>
      <c r="D318" s="8" t="inlineStr">
        <is>
          <t>22/04/2026</t>
        </is>
      </c>
      <c r="E318" s="8" t="inlineStr">
        <is>
          <t>29841705</t>
        </is>
      </c>
      <c r="F318" s="8" t="inlineStr">
        <is>
          <t>GRAVAMEN LEY 25413 S/DEB</t>
        </is>
      </c>
      <c r="G318" s="8" t="inlineStr">
        <is>
          <t>Anticipo Ganancias Ley 25.413 débitos</t>
        </is>
      </c>
      <c r="H318" s="8" t="inlineStr">
        <is>
          <t>Anticipo Impuesto a las Ganancias</t>
        </is>
      </c>
      <c r="I318" s="9" t="n">
        <v>2.57</v>
      </c>
      <c r="J318" s="9" t="inlineStr"/>
      <c r="K318" s="8" t="inlineStr">
        <is>
          <t>Copiar en Flexxus: Tipo=MB-EXT | Movimiento=GRAVAMEN LEY 25.413 S/DEB | Monto=2,57 | Fecha: 22/04/2026</t>
        </is>
      </c>
    </row>
    <row r="319">
      <c r="A319" s="8" t="inlineStr">
        <is>
          <t>PEND-8433A21C4921-A001</t>
        </is>
      </c>
      <c r="B319" s="8" t="inlineStr">
        <is>
          <t>ABIERTO_NUEVO</t>
        </is>
      </c>
      <c r="C319" s="8" t="inlineStr">
        <is>
          <t>Banco egreso no Flexxus</t>
        </is>
      </c>
      <c r="D319" s="8" t="inlineStr">
        <is>
          <t>22/04/2026</t>
        </is>
      </c>
      <c r="E319" s="8" t="inlineStr">
        <is>
          <t>29841683</t>
        </is>
      </c>
      <c r="F319" s="8" t="inlineStr">
        <is>
          <t>GRAVAMEN LEY 25413 S/DEB</t>
        </is>
      </c>
      <c r="G319" s="8" t="inlineStr">
        <is>
          <t>Anticipo Ganancias Ley 25.413 débitos</t>
        </is>
      </c>
      <c r="H319" s="8" t="inlineStr">
        <is>
          <t>Anticipo Impuesto a las Ganancias</t>
        </is>
      </c>
      <c r="I319" s="9" t="n">
        <v>7.5</v>
      </c>
      <c r="J319" s="9" t="inlineStr"/>
      <c r="K319" s="8" t="inlineStr">
        <is>
          <t>Copiar en Flexxus: Tipo=MB-EXT | Movimiento=GRAVAMEN LEY 25.413 S/DEB | Monto=7,50 | Fecha: 22/04/2026</t>
        </is>
      </c>
    </row>
    <row r="320">
      <c r="A320" s="8" t="inlineStr">
        <is>
          <t>PEND-77000CA7083A-A001</t>
        </is>
      </c>
      <c r="B320" s="8" t="inlineStr">
        <is>
          <t>ABIERTO_NUEVO</t>
        </is>
      </c>
      <c r="C320" s="8" t="inlineStr">
        <is>
          <t>Banco egreso no Flexxus</t>
        </is>
      </c>
      <c r="D320" s="8" t="inlineStr">
        <is>
          <t>22/04/2026</t>
        </is>
      </c>
      <c r="E320" s="8" t="inlineStr">
        <is>
          <t>29841642</t>
        </is>
      </c>
      <c r="F320" s="8" t="inlineStr">
        <is>
          <t>GRAVAMEN LEY 25413 S/DEB</t>
        </is>
      </c>
      <c r="G320" s="8" t="inlineStr">
        <is>
          <t>Anticipo Ganancias Ley 25.413 débitos</t>
        </is>
      </c>
      <c r="H320" s="8" t="inlineStr">
        <is>
          <t>Anticipo Impuesto a las Ganancias</t>
        </is>
      </c>
      <c r="I320" s="9" t="n">
        <v>4</v>
      </c>
      <c r="J320" s="9" t="inlineStr"/>
      <c r="K320" s="8" t="inlineStr">
        <is>
          <t>Copiar en Flexxus: Tipo=MB-EXT | Movimiento=GRAVAMEN LEY 25.413 S/DEB | Monto=4,00 | Fecha: 22/04/2026</t>
        </is>
      </c>
    </row>
    <row r="321">
      <c r="A321" s="8" t="inlineStr">
        <is>
          <t>PEND-AB20340E37A6-A001</t>
        </is>
      </c>
      <c r="B321" s="8" t="inlineStr">
        <is>
          <t>ABIERTO_NUEVO</t>
        </is>
      </c>
      <c r="C321" s="8" t="inlineStr">
        <is>
          <t>Banco egreso no Flexxus</t>
        </is>
      </c>
      <c r="D321" s="8" t="inlineStr">
        <is>
          <t>22/04/2026</t>
        </is>
      </c>
      <c r="E321" s="8" t="inlineStr">
        <is>
          <t>29841627</t>
        </is>
      </c>
      <c r="F321" s="8" t="inlineStr">
        <is>
          <t>GRAVAMEN LEY 25413 S/DEB</t>
        </is>
      </c>
      <c r="G321" s="8" t="inlineStr">
        <is>
          <t>Anticipo Ganancias Ley 25.413 débitos</t>
        </is>
      </c>
      <c r="H321" s="8" t="inlineStr">
        <is>
          <t>Anticipo Impuesto a las Ganancias</t>
        </is>
      </c>
      <c r="I321" s="9" t="n">
        <v>0.79</v>
      </c>
      <c r="J321" s="9" t="inlineStr"/>
      <c r="K321" s="8" t="inlineStr">
        <is>
          <t>Copiar en Flexxus: Tipo=MB-EXT | Movimiento=GRAVAMEN LEY 25.413 S/DEB | Monto=0,79 | Fecha: 22/04/2026</t>
        </is>
      </c>
    </row>
    <row r="322">
      <c r="A322" s="8" t="inlineStr">
        <is>
          <t>PEND-7120916915A0-A001</t>
        </is>
      </c>
      <c r="B322" s="8" t="inlineStr">
        <is>
          <t>ABIERTO_NUEVO</t>
        </is>
      </c>
      <c r="C322" s="8" t="inlineStr">
        <is>
          <t>Banco egreso no Flexxus</t>
        </is>
      </c>
      <c r="D322" s="8" t="inlineStr">
        <is>
          <t>22/04/2026</t>
        </is>
      </c>
      <c r="E322" s="8" t="inlineStr">
        <is>
          <t>32032899</t>
        </is>
      </c>
      <c r="F322" s="8" t="inlineStr">
        <is>
          <t>GRAVAMEN LEY 25413 S/DEB</t>
        </is>
      </c>
      <c r="G322" s="8" t="inlineStr">
        <is>
          <t>Anticipo Ganancias Ley 25.413 débitos</t>
        </is>
      </c>
      <c r="H322" s="8" t="inlineStr">
        <is>
          <t>Anticipo Impuesto a las Ganancias</t>
        </is>
      </c>
      <c r="I322" s="9" t="n">
        <v>11.76</v>
      </c>
      <c r="J322" s="9" t="inlineStr"/>
      <c r="K322" s="8" t="inlineStr">
        <is>
          <t>Copiar en Flexxus: Tipo=MB-EXT | Movimiento=GRAVAMEN LEY 25.413 S/DEB | Monto=11,76 | Fecha: 22/04/2026</t>
        </is>
      </c>
    </row>
    <row r="323">
      <c r="A323" s="8" t="inlineStr">
        <is>
          <t>PEND-2046705C4E1C-A001</t>
        </is>
      </c>
      <c r="B323" s="8" t="inlineStr">
        <is>
          <t>ABIERTO_NUEVO</t>
        </is>
      </c>
      <c r="C323" s="8" t="inlineStr">
        <is>
          <t>Banco egreso no Flexxus</t>
        </is>
      </c>
      <c r="D323" s="8" t="inlineStr">
        <is>
          <t>22/04/2026</t>
        </is>
      </c>
      <c r="E323" s="8" t="inlineStr">
        <is>
          <t>32032899</t>
        </is>
      </c>
      <c r="F323" s="8" t="inlineStr">
        <is>
          <t>GRAVAMEN LEY 25413 S/DEB</t>
        </is>
      </c>
      <c r="G323" s="8" t="inlineStr">
        <is>
          <t>Anticipo Ganancias Ley 25.413 débitos</t>
        </is>
      </c>
      <c r="H323" s="8" t="inlineStr">
        <is>
          <t>Anticipo Impuesto a las Ganancias</t>
        </is>
      </c>
      <c r="I323" s="9" t="n">
        <v>10.16</v>
      </c>
      <c r="J323" s="9" t="inlineStr"/>
      <c r="K323" s="8" t="inlineStr">
        <is>
          <t>Copiar en Flexxus: Tipo=MB-EXT | Movimiento=GRAVAMEN LEY 25.413 S/DEB | Monto=10,16 | Fecha: 22/04/2026</t>
        </is>
      </c>
    </row>
    <row r="324">
      <c r="A324" s="8" t="inlineStr">
        <is>
          <t>PEND-18A413D9B4EB-A001</t>
        </is>
      </c>
      <c r="B324" s="8" t="inlineStr">
        <is>
          <t>ABIERTO_NUEVO</t>
        </is>
      </c>
      <c r="C324" s="8" t="inlineStr">
        <is>
          <t>Banco egreso no Flexxus</t>
        </is>
      </c>
      <c r="D324" s="8" t="inlineStr">
        <is>
          <t>22/04/2026</t>
        </is>
      </c>
      <c r="E324" s="8" t="inlineStr">
        <is>
          <t>31995644</t>
        </is>
      </c>
      <c r="F324" s="8" t="inlineStr">
        <is>
          <t>GRAVAMEN LEY 25413 S/DEB</t>
        </is>
      </c>
      <c r="G324" s="8" t="inlineStr">
        <is>
          <t>Anticipo Ganancias Ley 25.413 débitos</t>
        </is>
      </c>
      <c r="H324" s="8" t="inlineStr">
        <is>
          <t>Anticipo Impuesto a las Ganancias</t>
        </is>
      </c>
      <c r="I324" s="9" t="n">
        <v>2.02</v>
      </c>
      <c r="J324" s="9" t="inlineStr"/>
      <c r="K324" s="8" t="inlineStr">
        <is>
          <t>Copiar en Flexxus: Tipo=MB-EXT | Movimiento=GRAVAMEN LEY 25.413 S/DEB | Monto=2,02 | Fecha: 22/04/2026</t>
        </is>
      </c>
    </row>
    <row r="325">
      <c r="A325" s="8" t="inlineStr">
        <is>
          <t>PEND-C86CD696BB63-A001</t>
        </is>
      </c>
      <c r="B325" s="8" t="inlineStr">
        <is>
          <t>ABIERTO_NUEVO</t>
        </is>
      </c>
      <c r="C325" s="8" t="inlineStr">
        <is>
          <t>Banco egreso no Flexxus</t>
        </is>
      </c>
      <c r="D325" s="8" t="inlineStr">
        <is>
          <t>22/04/2026</t>
        </is>
      </c>
      <c r="E325" s="8" t="inlineStr">
        <is>
          <t>31995644</t>
        </is>
      </c>
      <c r="F325" s="8" t="inlineStr">
        <is>
          <t>GRAVAMEN LEY 25413 S/DEB</t>
        </is>
      </c>
      <c r="G325" s="8" t="inlineStr">
        <is>
          <t>Anticipo Ganancias Ley 25.413 débitos</t>
        </is>
      </c>
      <c r="H325" s="8" t="inlineStr">
        <is>
          <t>Anticipo Impuesto a las Ganancias</t>
        </is>
      </c>
      <c r="I325" s="9" t="n">
        <v>39.94</v>
      </c>
      <c r="J325" s="9" t="inlineStr"/>
      <c r="K325" s="8" t="inlineStr">
        <is>
          <t>Copiar en Flexxus: Tipo=MB-EXT | Movimiento=GRAVAMEN LEY 25.413 S/DEB | Monto=39,94 | Fecha: 22/04/2026</t>
        </is>
      </c>
    </row>
    <row r="326">
      <c r="A326" s="8" t="inlineStr">
        <is>
          <t>PEND-8CB01CB01F5C-A001</t>
        </is>
      </c>
      <c r="B326" s="8" t="inlineStr">
        <is>
          <t>ABIERTO_NUEVO</t>
        </is>
      </c>
      <c r="C326" s="8" t="inlineStr">
        <is>
          <t>Banco egreso no Flexxus</t>
        </is>
      </c>
      <c r="D326" s="8" t="inlineStr">
        <is>
          <t>22/04/2026</t>
        </is>
      </c>
      <c r="E326" s="8" t="inlineStr">
        <is>
          <t>29841683</t>
        </is>
      </c>
      <c r="F326" s="8" t="inlineStr">
        <is>
          <t>GRAVAMEN LEY 25413 S/DEB</t>
        </is>
      </c>
      <c r="G326" s="8" t="inlineStr">
        <is>
          <t>Anticipo Ganancias Ley 25.413 débitos</t>
        </is>
      </c>
      <c r="H326" s="8" t="inlineStr">
        <is>
          <t>Anticipo Impuesto a las Ganancias</t>
        </is>
      </c>
      <c r="I326" s="9" t="n">
        <v>0.68</v>
      </c>
      <c r="J326" s="9" t="inlineStr"/>
      <c r="K326" s="8" t="inlineStr">
        <is>
          <t>Copiar en Flexxus: Tipo=MB-EXT | Movimiento=GRAVAMEN LEY 25.413 S/DEB | Monto=0,68 | Fecha: 22/04/2026</t>
        </is>
      </c>
    </row>
    <row r="327">
      <c r="A327" s="8" t="inlineStr">
        <is>
          <t>PEND-76B57631D32E-A001</t>
        </is>
      </c>
      <c r="B327" s="8" t="inlineStr">
        <is>
          <t>ABIERTO_NUEVO</t>
        </is>
      </c>
      <c r="C327" s="8" t="inlineStr">
        <is>
          <t>Banco egreso no Flexxus</t>
        </is>
      </c>
      <c r="D327" s="8" t="inlineStr">
        <is>
          <t>22/04/2026</t>
        </is>
      </c>
      <c r="E327" s="8" t="inlineStr">
        <is>
          <t>29841642</t>
        </is>
      </c>
      <c r="F327" s="8" t="inlineStr">
        <is>
          <t>GRAVAMEN LEY 25413 S/DEB</t>
        </is>
      </c>
      <c r="G327" s="8" t="inlineStr">
        <is>
          <t>Anticipo Ganancias Ley 25.413 débitos</t>
        </is>
      </c>
      <c r="H327" s="8" t="inlineStr">
        <is>
          <t>Anticipo Impuesto a las Ganancias</t>
        </is>
      </c>
      <c r="I327" s="9" t="n">
        <v>0.68</v>
      </c>
      <c r="J327" s="9" t="inlineStr"/>
      <c r="K327" s="8" t="inlineStr">
        <is>
          <t>Copiar en Flexxus: Tipo=MB-EXT | Movimiento=GRAVAMEN LEY 25.413 S/DEB | Monto=0,68 | Fecha: 22/04/2026</t>
        </is>
      </c>
    </row>
    <row r="328">
      <c r="A328" s="8" t="inlineStr">
        <is>
          <t>PEND-3E7C5D577A02-A001</t>
        </is>
      </c>
      <c r="B328" s="8" t="inlineStr">
        <is>
          <t>ABIERTO_NUEVO</t>
        </is>
      </c>
      <c r="C328" s="8" t="inlineStr">
        <is>
          <t>Banco egreso no Flexxus</t>
        </is>
      </c>
      <c r="D328" s="8" t="inlineStr">
        <is>
          <t>22/04/2026</t>
        </is>
      </c>
      <c r="E328" s="8" t="inlineStr">
        <is>
          <t>108182</t>
        </is>
      </c>
      <c r="F328" s="8" t="inlineStr">
        <is>
          <t>GRAVAMEN LEY 25413 S/DEB</t>
        </is>
      </c>
      <c r="G328" s="8" t="inlineStr">
        <is>
          <t>Anticipo Ganancias Ley 25.413 débitos</t>
        </is>
      </c>
      <c r="H328" s="8" t="inlineStr">
        <is>
          <t>Anticipo Impuesto a las Ganancias</t>
        </is>
      </c>
      <c r="I328" s="9" t="n">
        <v>0.68</v>
      </c>
      <c r="J328" s="9" t="inlineStr"/>
      <c r="K328" s="8" t="inlineStr">
        <is>
          <t>Copiar en Flexxus: Tipo=MB-EXT | Movimiento=GRAVAMEN LEY 25.413 S/DEB | Monto=0,68 | Fecha: 22/04/2026</t>
        </is>
      </c>
    </row>
    <row r="329">
      <c r="A329" s="8" t="inlineStr">
        <is>
          <t>PEND-93F16F124060-A001</t>
        </is>
      </c>
      <c r="B329" s="8" t="inlineStr">
        <is>
          <t>ABIERTO_NUEVO</t>
        </is>
      </c>
      <c r="C329" s="8" t="inlineStr">
        <is>
          <t>Banco egreso no Flexxus</t>
        </is>
      </c>
      <c r="D329" s="8" t="inlineStr">
        <is>
          <t>22/04/2026</t>
        </is>
      </c>
      <c r="E329" s="8" t="inlineStr">
        <is>
          <t>108181</t>
        </is>
      </c>
      <c r="F329" s="8" t="inlineStr">
        <is>
          <t>GRAVAMEN LEY 25413 S/DEB</t>
        </is>
      </c>
      <c r="G329" s="8" t="inlineStr">
        <is>
          <t>Anticipo Ganancias Ley 25.413 débitos</t>
        </is>
      </c>
      <c r="H329" s="8" t="inlineStr">
        <is>
          <t>Anticipo Impuesto a las Ganancias</t>
        </is>
      </c>
      <c r="I329" s="9" t="n">
        <v>1.25</v>
      </c>
      <c r="J329" s="9" t="inlineStr"/>
      <c r="K329" s="8" t="inlineStr">
        <is>
          <t>Copiar en Flexxus: Tipo=MB-EXT | Movimiento=GRAVAMEN LEY 25.413 S/DEB | Monto=1,25 | Fecha: 22/04/2026</t>
        </is>
      </c>
    </row>
    <row r="330">
      <c r="A330" s="8" t="inlineStr">
        <is>
          <t>PEND-8F0E283F23D0-A001</t>
        </is>
      </c>
      <c r="B330" s="8" t="inlineStr">
        <is>
          <t>ABIERTO_NUEVO</t>
        </is>
      </c>
      <c r="C330" s="8" t="inlineStr">
        <is>
          <t>Banco egreso no Flexxus</t>
        </is>
      </c>
      <c r="D330" s="8" t="inlineStr">
        <is>
          <t>22/04/2026</t>
        </is>
      </c>
      <c r="E330" s="8" t="inlineStr">
        <is>
          <t>108180</t>
        </is>
      </c>
      <c r="F330" s="8" t="inlineStr">
        <is>
          <t>GRAVAMEN LEY 25413 S/DEB</t>
        </is>
      </c>
      <c r="G330" s="8" t="inlineStr">
        <is>
          <t>Anticipo Ganancias Ley 25.413 débitos</t>
        </is>
      </c>
      <c r="H330" s="8" t="inlineStr">
        <is>
          <t>Anticipo Impuesto a las Ganancias</t>
        </is>
      </c>
      <c r="I330" s="9" t="n">
        <v>0.89</v>
      </c>
      <c r="J330" s="9" t="inlineStr"/>
      <c r="K330" s="8" t="inlineStr">
        <is>
          <t>Copiar en Flexxus: Tipo=MB-EXT | Movimiento=GRAVAMEN LEY 25.413 S/DEB | Monto=0,89 | Fecha: 22/04/2026</t>
        </is>
      </c>
    </row>
    <row r="331">
      <c r="A331" s="8" t="inlineStr">
        <is>
          <t>PEND-6E71A1C1B978-A001</t>
        </is>
      </c>
      <c r="B331" s="8" t="inlineStr">
        <is>
          <t>ABIERTO_NUEVO</t>
        </is>
      </c>
      <c r="C331" s="8" t="inlineStr">
        <is>
          <t>Banco egreso no Flexxus</t>
        </is>
      </c>
      <c r="D331" s="8" t="inlineStr">
        <is>
          <t>22/04/2026</t>
        </is>
      </c>
      <c r="E331" s="8" t="inlineStr">
        <is>
          <t>108179</t>
        </is>
      </c>
      <c r="F331" s="8" t="inlineStr">
        <is>
          <t>GRAVAMEN LEY 25413 S/DEB</t>
        </is>
      </c>
      <c r="G331" s="8" t="inlineStr">
        <is>
          <t>Anticipo Ganancias Ley 25.413 débitos</t>
        </is>
      </c>
      <c r="H331" s="8" t="inlineStr">
        <is>
          <t>Anticipo Impuesto a las Ganancias</t>
        </is>
      </c>
      <c r="I331" s="9" t="n">
        <v>2.48</v>
      </c>
      <c r="J331" s="9" t="inlineStr"/>
      <c r="K331" s="8" t="inlineStr">
        <is>
          <t>Copiar en Flexxus: Tipo=MB-EXT | Movimiento=GRAVAMEN LEY 25.413 S/DEB | Monto=2,48 | Fecha: 22/04/2026</t>
        </is>
      </c>
    </row>
    <row r="332">
      <c r="A332" s="8" t="inlineStr">
        <is>
          <t>PEND-674CD0C9E699-A001</t>
        </is>
      </c>
      <c r="B332" s="8" t="inlineStr">
        <is>
          <t>ABIERTO_NUEVO</t>
        </is>
      </c>
      <c r="C332" s="8" t="inlineStr">
        <is>
          <t>Banco egreso no Flexxus</t>
        </is>
      </c>
      <c r="D332" s="8" t="inlineStr">
        <is>
          <t>22/04/2026</t>
        </is>
      </c>
      <c r="E332" s="8" t="inlineStr">
        <is>
          <t>108177</t>
        </is>
      </c>
      <c r="F332" s="8" t="inlineStr">
        <is>
          <t>GRAVAMEN LEY 25413 S/DEB</t>
        </is>
      </c>
      <c r="G332" s="8" t="inlineStr">
        <is>
          <t>Anticipo Ganancias Ley 25.413 débitos</t>
        </is>
      </c>
      <c r="H332" s="8" t="inlineStr">
        <is>
          <t>Anticipo Impuesto a las Ganancias</t>
        </is>
      </c>
      <c r="I332" s="9" t="n">
        <v>4.09</v>
      </c>
      <c r="J332" s="9" t="inlineStr"/>
      <c r="K332" s="8" t="inlineStr">
        <is>
          <t>Copiar en Flexxus: Tipo=MB-EXT | Movimiento=GRAVAMEN LEY 25.413 S/DEB | Monto=4,09 | Fecha: 22/04/2026</t>
        </is>
      </c>
    </row>
    <row r="333">
      <c r="A333" s="8" t="inlineStr">
        <is>
          <t>PEND-33FB25FAC41E-A001</t>
        </is>
      </c>
      <c r="B333" s="8" t="inlineStr">
        <is>
          <t>ABIERTO_NUEVO</t>
        </is>
      </c>
      <c r="C333" s="8" t="inlineStr">
        <is>
          <t>Banco egreso no Flexxus</t>
        </is>
      </c>
      <c r="D333" s="8" t="inlineStr">
        <is>
          <t>22/04/2026</t>
        </is>
      </c>
      <c r="E333" s="8" t="inlineStr">
        <is>
          <t>108176</t>
        </is>
      </c>
      <c r="F333" s="8" t="inlineStr">
        <is>
          <t>GRAVAMEN LEY 25413 S/DEB</t>
        </is>
      </c>
      <c r="G333" s="8" t="inlineStr">
        <is>
          <t>Anticipo Ganancias Ley 25.413 débitos</t>
        </is>
      </c>
      <c r="H333" s="8" t="inlineStr">
        <is>
          <t>Anticipo Impuesto a las Ganancias</t>
        </is>
      </c>
      <c r="I333" s="9" t="n">
        <v>2.41</v>
      </c>
      <c r="J333" s="9" t="inlineStr"/>
      <c r="K333" s="8" t="inlineStr">
        <is>
          <t>Copiar en Flexxus: Tipo=MB-EXT | Movimiento=GRAVAMEN LEY 25.413 S/DEB | Monto=2,41 | Fecha: 22/04/2026</t>
        </is>
      </c>
    </row>
    <row r="334">
      <c r="A334" s="8" t="inlineStr">
        <is>
          <t>PEND-B52C20146086-A001</t>
        </is>
      </c>
      <c r="B334" s="8" t="inlineStr">
        <is>
          <t>ABIERTO_NUEVO</t>
        </is>
      </c>
      <c r="C334" s="8" t="inlineStr">
        <is>
          <t>Banco egreso no Flexxus</t>
        </is>
      </c>
      <c r="D334" s="8" t="inlineStr">
        <is>
          <t>22/04/2026</t>
        </is>
      </c>
      <c r="E334" s="8" t="inlineStr">
        <is>
          <t>108230</t>
        </is>
      </c>
      <c r="F334" s="8" t="inlineStr">
        <is>
          <t>INGRESOS BRUTOS MENDOZA</t>
        </is>
      </c>
      <c r="G334" s="8" t="inlineStr">
        <is>
          <t>Retención Ingresos Brutos Mendoza</t>
        </is>
      </c>
      <c r="H334" s="8" t="inlineStr">
        <is>
          <t>Retención de Ingresos Brutos</t>
        </is>
      </c>
      <c r="I334" s="9" t="n">
        <v>672.4299999999999</v>
      </c>
      <c r="J334" s="9" t="inlineStr"/>
      <c r="K334" s="8" t="inlineStr">
        <is>
          <t>Copiar en Flexxus: Tipo=MB-EXT | Movimiento=INGRESOS BRUTOS MENDOZA | Monto=672,43 | Fecha: 22/04/2026</t>
        </is>
      </c>
    </row>
    <row r="335">
      <c r="A335" s="8" t="inlineStr">
        <is>
          <t>PEND-FF258839468E-A001</t>
        </is>
      </c>
      <c r="B335" s="8" t="inlineStr">
        <is>
          <t>ABIERTO_NUEVO</t>
        </is>
      </c>
      <c r="C335" s="8" t="inlineStr">
        <is>
          <t>Banco egreso no Flexxus</t>
        </is>
      </c>
      <c r="D335" s="8" t="inlineStr">
        <is>
          <t>22/04/2026</t>
        </is>
      </c>
      <c r="E335" s="8" t="inlineStr">
        <is>
          <t>108230</t>
        </is>
      </c>
      <c r="F335" s="8" t="inlineStr">
        <is>
          <t>GRAVAMEN LEY 25413 S/CRED</t>
        </is>
      </c>
      <c r="G335" s="8" t="inlineStr">
        <is>
          <t>Anticipo Ganancias Ley 25.413 créditos</t>
        </is>
      </c>
      <c r="H335" s="8" t="inlineStr">
        <is>
          <t>Anticipo Impuesto a las Ganancias</t>
        </is>
      </c>
      <c r="I335" s="9" t="n">
        <v>403.46</v>
      </c>
      <c r="J335" s="9" t="inlineStr"/>
      <c r="K335" s="8" t="inlineStr">
        <is>
          <t>Copiar en Flexxus: Tipo=MB-EXT | Movimiento=GRAVAMEN LEY 25.413 S/CRED | Monto=403,46 | Fecha: 22/04/2026</t>
        </is>
      </c>
    </row>
    <row r="336">
      <c r="A336" s="8" t="inlineStr">
        <is>
          <t>PEND-F12DCA11093B-A001</t>
        </is>
      </c>
      <c r="B336" s="8" t="inlineStr">
        <is>
          <t>ABIERTO_NUEVO</t>
        </is>
      </c>
      <c r="C336" s="8" t="inlineStr">
        <is>
          <t>Banco egreso no Flexxus</t>
        </is>
      </c>
      <c r="D336" s="8" t="inlineStr">
        <is>
          <t>22/04/2026</t>
        </is>
      </c>
      <c r="E336" s="8" t="inlineStr">
        <is>
          <t>108229</t>
        </is>
      </c>
      <c r="F336" s="8" t="inlineStr">
        <is>
          <t>INGRESOS BRUTOS MENDOZA</t>
        </is>
      </c>
      <c r="G336" s="8" t="inlineStr">
        <is>
          <t>Retención Ingresos Brutos Mendoza</t>
        </is>
      </c>
      <c r="H336" s="8" t="inlineStr">
        <is>
          <t>Retención de Ingresos Brutos</t>
        </is>
      </c>
      <c r="I336" s="9" t="n">
        <v>906.14</v>
      </c>
      <c r="J336" s="9" t="inlineStr"/>
      <c r="K336" s="8" t="inlineStr">
        <is>
          <t>Copiar en Flexxus: Tipo=MB-EXT | Movimiento=INGRESOS BRUTOS MENDOZA | Monto=906,14 | Fecha: 22/04/2026</t>
        </is>
      </c>
    </row>
    <row r="337">
      <c r="A337" s="8" t="inlineStr">
        <is>
          <t>PEND-4CF1BE49098D-A001</t>
        </is>
      </c>
      <c r="B337" s="8" t="inlineStr">
        <is>
          <t>ABIERTO_NUEVO</t>
        </is>
      </c>
      <c r="C337" s="8" t="inlineStr">
        <is>
          <t>Banco egreso no Flexxus</t>
        </is>
      </c>
      <c r="D337" s="8" t="inlineStr">
        <is>
          <t>22/04/2026</t>
        </is>
      </c>
      <c r="E337" s="8" t="inlineStr">
        <is>
          <t>108229</t>
        </is>
      </c>
      <c r="F337" s="8" t="inlineStr">
        <is>
          <t>GRAVAMEN LEY 25413 S/CRED</t>
        </is>
      </c>
      <c r="G337" s="8" t="inlineStr">
        <is>
          <t>Anticipo Ganancias Ley 25.413 créditos</t>
        </is>
      </c>
      <c r="H337" s="8" t="inlineStr">
        <is>
          <t>Anticipo Impuesto a las Ganancias</t>
        </is>
      </c>
      <c r="I337" s="9" t="n">
        <v>543.6900000000001</v>
      </c>
      <c r="J337" s="9" t="inlineStr"/>
      <c r="K337" s="8" t="inlineStr">
        <is>
          <t>Copiar en Flexxus: Tipo=MB-EXT | Movimiento=GRAVAMEN LEY 25.413 S/CRED | Monto=543,69 | Fecha: 22/04/2026</t>
        </is>
      </c>
    </row>
    <row r="338">
      <c r="A338" s="8" t="inlineStr">
        <is>
          <t>PEND-F51268A26A29-A001</t>
        </is>
      </c>
      <c r="B338" s="8" t="inlineStr">
        <is>
          <t>ABIERTO_NUEVO</t>
        </is>
      </c>
      <c r="C338" s="8" t="inlineStr">
        <is>
          <t>Banco egreso no Flexxus</t>
        </is>
      </c>
      <c r="D338" s="8" t="inlineStr">
        <is>
          <t>22/04/2026</t>
        </is>
      </c>
      <c r="E338" s="8" t="inlineStr">
        <is>
          <t>108228</t>
        </is>
      </c>
      <c r="F338" s="8" t="inlineStr">
        <is>
          <t>INGRESOS BRUTOS MENDOZA</t>
        </is>
      </c>
      <c r="G338" s="8" t="inlineStr">
        <is>
          <t>Retención Ingresos Brutos Mendoza</t>
        </is>
      </c>
      <c r="H338" s="8" t="inlineStr">
        <is>
          <t>Retención de Ingresos Brutos</t>
        </is>
      </c>
      <c r="I338" s="9" t="n">
        <v>227.77</v>
      </c>
      <c r="J338" s="9" t="inlineStr"/>
      <c r="K338" s="8" t="inlineStr">
        <is>
          <t>Copiar en Flexxus: Tipo=MB-EXT | Movimiento=INGRESOS BRUTOS MENDOZA | Monto=227,77 | Fecha: 22/04/2026</t>
        </is>
      </c>
    </row>
    <row r="339">
      <c r="A339" s="8" t="inlineStr">
        <is>
          <t>PEND-E78064627B3F-A001</t>
        </is>
      </c>
      <c r="B339" s="8" t="inlineStr">
        <is>
          <t>ABIERTO_NUEVO</t>
        </is>
      </c>
      <c r="C339" s="8" t="inlineStr">
        <is>
          <t>Banco egreso no Flexxus</t>
        </is>
      </c>
      <c r="D339" s="8" t="inlineStr">
        <is>
          <t>22/04/2026</t>
        </is>
      </c>
      <c r="E339" s="8" t="inlineStr">
        <is>
          <t>108228</t>
        </is>
      </c>
      <c r="F339" s="8" t="inlineStr">
        <is>
          <t>GRAVAMEN LEY 25413 S/CRED</t>
        </is>
      </c>
      <c r="G339" s="8" t="inlineStr">
        <is>
          <t>Anticipo Ganancias Ley 25.413 créditos</t>
        </is>
      </c>
      <c r="H339" s="8" t="inlineStr">
        <is>
          <t>Anticipo Impuesto a las Ganancias</t>
        </is>
      </c>
      <c r="I339" s="9" t="n">
        <v>136.66</v>
      </c>
      <c r="J339" s="9" t="inlineStr"/>
      <c r="K339" s="8" t="inlineStr">
        <is>
          <t>Copiar en Flexxus: Tipo=MB-EXT | Movimiento=GRAVAMEN LEY 25.413 S/CRED | Monto=136,66 | Fecha: 22/04/2026</t>
        </is>
      </c>
    </row>
    <row r="340">
      <c r="A340" s="8" t="inlineStr">
        <is>
          <t>PEND-14A5B17F8DDB-A001</t>
        </is>
      </c>
      <c r="B340" s="8" t="inlineStr">
        <is>
          <t>ABIERTO_NUEVO</t>
        </is>
      </c>
      <c r="C340" s="8" t="inlineStr">
        <is>
          <t>Banco egreso no Flexxus</t>
        </is>
      </c>
      <c r="D340" s="8" t="inlineStr">
        <is>
          <t>22/04/2026</t>
        </is>
      </c>
      <c r="E340" s="8" t="inlineStr">
        <is>
          <t>108227</t>
        </is>
      </c>
      <c r="F340" s="8" t="inlineStr">
        <is>
          <t>INGRESOS BRUTOS MENDOZA</t>
        </is>
      </c>
      <c r="G340" s="8" t="inlineStr">
        <is>
          <t>Retención Ingresos Brutos Mendoza</t>
        </is>
      </c>
      <c r="H340" s="8" t="inlineStr">
        <is>
          <t>Retención de Ingresos Brutos</t>
        </is>
      </c>
      <c r="I340" s="9" t="n">
        <v>255.5</v>
      </c>
      <c r="J340" s="9" t="inlineStr"/>
      <c r="K340" s="8" t="inlineStr">
        <is>
          <t>Copiar en Flexxus: Tipo=MB-EXT | Movimiento=INGRESOS BRUTOS MENDOZA | Monto=255,50 | Fecha: 22/04/2026</t>
        </is>
      </c>
    </row>
    <row r="341">
      <c r="A341" s="8" t="inlineStr">
        <is>
          <t>PEND-59417B18C979-A001</t>
        </is>
      </c>
      <c r="B341" s="8" t="inlineStr">
        <is>
          <t>ABIERTO_NUEVO</t>
        </is>
      </c>
      <c r="C341" s="8" t="inlineStr">
        <is>
          <t>Banco egreso no Flexxus</t>
        </is>
      </c>
      <c r="D341" s="8" t="inlineStr">
        <is>
          <t>22/04/2026</t>
        </is>
      </c>
      <c r="E341" s="8" t="inlineStr">
        <is>
          <t>108227</t>
        </is>
      </c>
      <c r="F341" s="8" t="inlineStr">
        <is>
          <t>GRAVAMEN LEY 25413 S/CRED</t>
        </is>
      </c>
      <c r="G341" s="8" t="inlineStr">
        <is>
          <t>Anticipo Ganancias Ley 25.413 créditos</t>
        </is>
      </c>
      <c r="H341" s="8" t="inlineStr">
        <is>
          <t>Anticipo Impuesto a las Ganancias</t>
        </is>
      </c>
      <c r="I341" s="9" t="n">
        <v>153.3</v>
      </c>
      <c r="J341" s="9" t="inlineStr"/>
      <c r="K341" s="8" t="inlineStr">
        <is>
          <t>Copiar en Flexxus: Tipo=MB-EXT | Movimiento=GRAVAMEN LEY 25.413 S/CRED | Monto=153,30 | Fecha: 22/04/2026</t>
        </is>
      </c>
    </row>
    <row r="342">
      <c r="A342" s="8" t="inlineStr">
        <is>
          <t>PEND-9B0738847486-A001</t>
        </is>
      </c>
      <c r="B342" s="8" t="inlineStr">
        <is>
          <t>ABIERTO_NUEVO</t>
        </is>
      </c>
      <c r="C342" s="8" t="inlineStr">
        <is>
          <t>Banco egreso no Flexxus</t>
        </is>
      </c>
      <c r="D342" s="8" t="inlineStr">
        <is>
          <t>22/04/2026</t>
        </is>
      </c>
      <c r="E342" s="8" t="inlineStr">
        <is>
          <t>108226</t>
        </is>
      </c>
      <c r="F342" s="8" t="inlineStr">
        <is>
          <t>INGRESOS BRUTOS MENDOZA</t>
        </is>
      </c>
      <c r="G342" s="8" t="inlineStr">
        <is>
          <t>Retención Ingresos Brutos Mendoza</t>
        </is>
      </c>
      <c r="H342" s="8" t="inlineStr">
        <is>
          <t>Retención de Ingresos Brutos</t>
        </is>
      </c>
      <c r="I342" s="9" t="n">
        <v>89.13</v>
      </c>
      <c r="J342" s="9" t="inlineStr"/>
      <c r="K342" s="8" t="inlineStr">
        <is>
          <t>Copiar en Flexxus: Tipo=MB-EXT | Movimiento=INGRESOS BRUTOS MENDOZA | Monto=89,13 | Fecha: 22/04/2026</t>
        </is>
      </c>
    </row>
    <row r="343">
      <c r="A343" s="8" t="inlineStr">
        <is>
          <t>PEND-1B65820E3808-A001</t>
        </is>
      </c>
      <c r="B343" s="8" t="inlineStr">
        <is>
          <t>ABIERTO_NUEVO</t>
        </is>
      </c>
      <c r="C343" s="8" t="inlineStr">
        <is>
          <t>Banco egreso no Flexxus</t>
        </is>
      </c>
      <c r="D343" s="8" t="inlineStr">
        <is>
          <t>22/04/2026</t>
        </is>
      </c>
      <c r="E343" s="8" t="inlineStr">
        <is>
          <t>108226</t>
        </is>
      </c>
      <c r="F343" s="8" t="inlineStr">
        <is>
          <t>GRAVAMEN LEY 25413 S/CRED</t>
        </is>
      </c>
      <c r="G343" s="8" t="inlineStr">
        <is>
          <t>Anticipo Ganancias Ley 25.413 créditos</t>
        </is>
      </c>
      <c r="H343" s="8" t="inlineStr">
        <is>
          <t>Anticipo Impuesto a las Ganancias</t>
        </is>
      </c>
      <c r="I343" s="9" t="n">
        <v>53.48</v>
      </c>
      <c r="J343" s="9" t="inlineStr"/>
      <c r="K343" s="8" t="inlineStr">
        <is>
          <t>Copiar en Flexxus: Tipo=MB-EXT | Movimiento=GRAVAMEN LEY 25.413 S/CRED | Monto=53,48 | Fecha: 22/04/2026</t>
        </is>
      </c>
    </row>
    <row r="344">
      <c r="A344" s="8" t="inlineStr">
        <is>
          <t>PEND-0096449E0C7A-A001</t>
        </is>
      </c>
      <c r="B344" s="8" t="inlineStr">
        <is>
          <t>ABIERTO_NUEVO</t>
        </is>
      </c>
      <c r="C344" s="8" t="inlineStr">
        <is>
          <t>Banco egreso no Flexxus</t>
        </is>
      </c>
      <c r="D344" s="8" t="inlineStr">
        <is>
          <t>22/04/2026</t>
        </is>
      </c>
      <c r="E344" s="8" t="inlineStr">
        <is>
          <t>108225</t>
        </is>
      </c>
      <c r="F344" s="8" t="inlineStr">
        <is>
          <t>INGRESOS BRUTOS MENDOZA</t>
        </is>
      </c>
      <c r="G344" s="8" t="inlineStr">
        <is>
          <t>Retención Ingresos Brutos Mendoza</t>
        </is>
      </c>
      <c r="H344" s="8" t="inlineStr">
        <is>
          <t>Retención de Ingresos Brutos</t>
        </is>
      </c>
      <c r="I344" s="9" t="n">
        <v>133.69</v>
      </c>
      <c r="J344" s="9" t="inlineStr"/>
      <c r="K344" s="8" t="inlineStr">
        <is>
          <t>Copiar en Flexxus: Tipo=MB-EXT | Movimiento=INGRESOS BRUTOS MENDOZA | Monto=133,69 | Fecha: 22/04/2026</t>
        </is>
      </c>
    </row>
    <row r="345">
      <c r="A345" s="8" t="inlineStr">
        <is>
          <t>PEND-5B5E35146FB9-A001</t>
        </is>
      </c>
      <c r="B345" s="8" t="inlineStr">
        <is>
          <t>ABIERTO_NUEVO</t>
        </is>
      </c>
      <c r="C345" s="8" t="inlineStr">
        <is>
          <t>Banco egreso no Flexxus</t>
        </is>
      </c>
      <c r="D345" s="8" t="inlineStr">
        <is>
          <t>22/04/2026</t>
        </is>
      </c>
      <c r="E345" s="8" t="inlineStr">
        <is>
          <t>108225</t>
        </is>
      </c>
      <c r="F345" s="8" t="inlineStr">
        <is>
          <t>GRAVAMEN LEY 25413 S/CRED</t>
        </is>
      </c>
      <c r="G345" s="8" t="inlineStr">
        <is>
          <t>Anticipo Ganancias Ley 25.413 créditos</t>
        </is>
      </c>
      <c r="H345" s="8" t="inlineStr">
        <is>
          <t>Anticipo Impuesto a las Ganancias</t>
        </is>
      </c>
      <c r="I345" s="9" t="n">
        <v>80.22</v>
      </c>
      <c r="J345" s="9" t="inlineStr"/>
      <c r="K345" s="8" t="inlineStr">
        <is>
          <t>Copiar en Flexxus: Tipo=MB-EXT | Movimiento=GRAVAMEN LEY 25.413 S/CRED | Monto=80,22 | Fecha: 22/04/2026</t>
        </is>
      </c>
    </row>
    <row r="346">
      <c r="A346" s="8" t="inlineStr">
        <is>
          <t>PEND-2F9698C5211E-A001</t>
        </is>
      </c>
      <c r="B346" s="8" t="inlineStr">
        <is>
          <t>ABIERTO_NUEVO</t>
        </is>
      </c>
      <c r="C346" s="8" t="inlineStr">
        <is>
          <t>Banco egreso no Flexxus</t>
        </is>
      </c>
      <c r="D346" s="8" t="inlineStr">
        <is>
          <t>22/04/2026</t>
        </is>
      </c>
      <c r="E346" s="8" t="inlineStr">
        <is>
          <t>108224</t>
        </is>
      </c>
      <c r="F346" s="8" t="inlineStr">
        <is>
          <t>INGRESOS BRUTOS MENDOZA</t>
        </is>
      </c>
      <c r="G346" s="8" t="inlineStr">
        <is>
          <t>Retención Ingresos Brutos Mendoza</t>
        </is>
      </c>
      <c r="H346" s="8" t="inlineStr">
        <is>
          <t>Retención de Ingresos Brutos</t>
        </is>
      </c>
      <c r="I346" s="9" t="n">
        <v>113.89</v>
      </c>
      <c r="J346" s="9" t="inlineStr"/>
      <c r="K346" s="8" t="inlineStr">
        <is>
          <t>Copiar en Flexxus: Tipo=MB-EXT | Movimiento=INGRESOS BRUTOS MENDOZA | Monto=113,89 | Fecha: 22/04/2026</t>
        </is>
      </c>
    </row>
    <row r="347">
      <c r="A347" s="8" t="inlineStr">
        <is>
          <t>PEND-37D72B33A855-A001</t>
        </is>
      </c>
      <c r="B347" s="8" t="inlineStr">
        <is>
          <t>ABIERTO_NUEVO</t>
        </is>
      </c>
      <c r="C347" s="8" t="inlineStr">
        <is>
          <t>Banco egreso no Flexxus</t>
        </is>
      </c>
      <c r="D347" s="8" t="inlineStr">
        <is>
          <t>22/04/2026</t>
        </is>
      </c>
      <c r="E347" s="8" t="inlineStr">
        <is>
          <t>108224</t>
        </is>
      </c>
      <c r="F347" s="8" t="inlineStr">
        <is>
          <t>GRAVAMEN LEY 25413 S/CRED</t>
        </is>
      </c>
      <c r="G347" s="8" t="inlineStr">
        <is>
          <t>Anticipo Ganancias Ley 25.413 créditos</t>
        </is>
      </c>
      <c r="H347" s="8" t="inlineStr">
        <is>
          <t>Anticipo Impuesto a las Ganancias</t>
        </is>
      </c>
      <c r="I347" s="9" t="n">
        <v>68.33</v>
      </c>
      <c r="J347" s="9" t="inlineStr"/>
      <c r="K347" s="8" t="inlineStr">
        <is>
          <t>Copiar en Flexxus: Tipo=MB-EXT | Movimiento=GRAVAMEN LEY 25.413 S/CRED | Monto=68,33 | Fecha: 22/04/2026</t>
        </is>
      </c>
    </row>
    <row r="348">
      <c r="A348" s="8" t="inlineStr">
        <is>
          <t>PEND-8455FCDA3571-A001</t>
        </is>
      </c>
      <c r="B348" s="8" t="inlineStr">
        <is>
          <t>ABIERTO_NUEVO</t>
        </is>
      </c>
      <c r="C348" s="8" t="inlineStr">
        <is>
          <t>Banco egreso no Flexxus</t>
        </is>
      </c>
      <c r="D348" s="8" t="inlineStr">
        <is>
          <t>22/04/2026</t>
        </is>
      </c>
      <c r="E348" s="8" t="inlineStr">
        <is>
          <t>108223</t>
        </is>
      </c>
      <c r="F348" s="8" t="inlineStr">
        <is>
          <t>INGRESOS BRUTOS MENDOZA</t>
        </is>
      </c>
      <c r="G348" s="8" t="inlineStr">
        <is>
          <t>Retención Ingresos Brutos Mendoza</t>
        </is>
      </c>
      <c r="H348" s="8" t="inlineStr">
        <is>
          <t>Retención de Ingresos Brutos</t>
        </is>
      </c>
      <c r="I348" s="9" t="n">
        <v>133.69</v>
      </c>
      <c r="J348" s="9" t="inlineStr"/>
      <c r="K348" s="8" t="inlineStr">
        <is>
          <t>Copiar en Flexxus: Tipo=MB-EXT | Movimiento=INGRESOS BRUTOS MENDOZA | Monto=133,69 | Fecha: 22/04/2026</t>
        </is>
      </c>
    </row>
    <row r="349">
      <c r="A349" s="8" t="inlineStr">
        <is>
          <t>PEND-0BEB04E5683E-A001</t>
        </is>
      </c>
      <c r="B349" s="8" t="inlineStr">
        <is>
          <t>ABIERTO_NUEVO</t>
        </is>
      </c>
      <c r="C349" s="8" t="inlineStr">
        <is>
          <t>Banco egreso no Flexxus</t>
        </is>
      </c>
      <c r="D349" s="8" t="inlineStr">
        <is>
          <t>22/04/2026</t>
        </is>
      </c>
      <c r="E349" s="8" t="inlineStr">
        <is>
          <t>108223</t>
        </is>
      </c>
      <c r="F349" s="8" t="inlineStr">
        <is>
          <t>GRAVAMEN LEY 25413 S/CRED</t>
        </is>
      </c>
      <c r="G349" s="8" t="inlineStr">
        <is>
          <t>Anticipo Ganancias Ley 25.413 créditos</t>
        </is>
      </c>
      <c r="H349" s="8" t="inlineStr">
        <is>
          <t>Anticipo Impuesto a las Ganancias</t>
        </is>
      </c>
      <c r="I349" s="9" t="n">
        <v>80.22</v>
      </c>
      <c r="J349" s="9" t="inlineStr"/>
      <c r="K349" s="8" t="inlineStr">
        <is>
          <t>Copiar en Flexxus: Tipo=MB-EXT | Movimiento=GRAVAMEN LEY 25.413 S/CRED | Monto=80,22 | Fecha: 22/04/2026</t>
        </is>
      </c>
    </row>
    <row r="350">
      <c r="A350" s="8" t="inlineStr">
        <is>
          <t>PEND-40DC3F3C593A-A001</t>
        </is>
      </c>
      <c r="B350" s="8" t="inlineStr">
        <is>
          <t>ABIERTO_NUEVO</t>
        </is>
      </c>
      <c r="C350" s="8" t="inlineStr">
        <is>
          <t>Banco egreso no Flexxus</t>
        </is>
      </c>
      <c r="D350" s="8" t="inlineStr">
        <is>
          <t>22/04/2026</t>
        </is>
      </c>
      <c r="E350" s="8" t="inlineStr">
        <is>
          <t>108222</t>
        </is>
      </c>
      <c r="F350" s="8" t="inlineStr">
        <is>
          <t>INGRESOS BRUTOS MENDOZA</t>
        </is>
      </c>
      <c r="G350" s="8" t="inlineStr">
        <is>
          <t>Retención Ingresos Brutos Mendoza</t>
        </is>
      </c>
      <c r="H350" s="8" t="inlineStr">
        <is>
          <t>Retención de Ingresos Brutos</t>
        </is>
      </c>
      <c r="I350" s="9" t="n">
        <v>1007.16</v>
      </c>
      <c r="J350" s="9" t="inlineStr"/>
      <c r="K350" s="8" t="inlineStr">
        <is>
          <t>Copiar en Flexxus: Tipo=MB-EXT | Movimiento=INGRESOS BRUTOS MENDOZA | Monto=1.007,16 | Fecha: 22/04/2026</t>
        </is>
      </c>
    </row>
    <row r="351">
      <c r="A351" s="8" t="inlineStr">
        <is>
          <t>PEND-F7B226294C48-A001</t>
        </is>
      </c>
      <c r="B351" s="8" t="inlineStr">
        <is>
          <t>ABIERTO_NUEVO</t>
        </is>
      </c>
      <c r="C351" s="8" t="inlineStr">
        <is>
          <t>Banco egreso no Flexxus</t>
        </is>
      </c>
      <c r="D351" s="8" t="inlineStr">
        <is>
          <t>22/04/2026</t>
        </is>
      </c>
      <c r="E351" s="8" t="inlineStr">
        <is>
          <t>108222</t>
        </is>
      </c>
      <c r="F351" s="8" t="inlineStr">
        <is>
          <t>GRAVAMEN LEY 25413 S/CRED</t>
        </is>
      </c>
      <c r="G351" s="8" t="inlineStr">
        <is>
          <t>Anticipo Ganancias Ley 25.413 créditos</t>
        </is>
      </c>
      <c r="H351" s="8" t="inlineStr">
        <is>
          <t>Anticipo Impuesto a las Ganancias</t>
        </is>
      </c>
      <c r="I351" s="9" t="n">
        <v>604.29</v>
      </c>
      <c r="J351" s="9" t="inlineStr"/>
      <c r="K351" s="8" t="inlineStr">
        <is>
          <t>Copiar en Flexxus: Tipo=MB-EXT | Movimiento=GRAVAMEN LEY 25.413 S/CRED | Monto=604,29 | Fecha: 22/04/2026</t>
        </is>
      </c>
    </row>
    <row r="352">
      <c r="A352" s="8" t="inlineStr">
        <is>
          <t>PEND-F47CF1874906-A001</t>
        </is>
      </c>
      <c r="B352" s="8" t="inlineStr">
        <is>
          <t>ABIERTO_NUEVO</t>
        </is>
      </c>
      <c r="C352" s="8" t="inlineStr">
        <is>
          <t>Banco egreso no Flexxus</t>
        </is>
      </c>
      <c r="D352" s="8" t="inlineStr">
        <is>
          <t>22/04/2026</t>
        </is>
      </c>
      <c r="E352" s="8" t="inlineStr">
        <is>
          <t>108221</t>
        </is>
      </c>
      <c r="F352" s="8" t="inlineStr">
        <is>
          <t>INGRESOS BRUTOS MENDOZA</t>
        </is>
      </c>
      <c r="G352" s="8" t="inlineStr">
        <is>
          <t>Retención Ingresos Brutos Mendoza</t>
        </is>
      </c>
      <c r="H352" s="8" t="inlineStr">
        <is>
          <t>Retención de Ingresos Brutos</t>
        </is>
      </c>
      <c r="I352" s="9" t="n">
        <v>722.9299999999999</v>
      </c>
      <c r="J352" s="9" t="inlineStr"/>
      <c r="K352" s="8" t="inlineStr">
        <is>
          <t>Copiar en Flexxus: Tipo=MB-EXT | Movimiento=INGRESOS BRUTOS MENDOZA | Monto=722,93 | Fecha: 22/04/2026</t>
        </is>
      </c>
    </row>
    <row r="353">
      <c r="A353" s="8" t="inlineStr">
        <is>
          <t>PEND-5668CFA2D87F-A001</t>
        </is>
      </c>
      <c r="B353" s="8" t="inlineStr">
        <is>
          <t>ABIERTO_NUEVO</t>
        </is>
      </c>
      <c r="C353" s="8" t="inlineStr">
        <is>
          <t>Banco egreso no Flexxus</t>
        </is>
      </c>
      <c r="D353" s="8" t="inlineStr">
        <is>
          <t>22/04/2026</t>
        </is>
      </c>
      <c r="E353" s="8" t="inlineStr">
        <is>
          <t>108221</t>
        </is>
      </c>
      <c r="F353" s="8" t="inlineStr">
        <is>
          <t>GRAVAMEN LEY 25413 S/CRED</t>
        </is>
      </c>
      <c r="G353" s="8" t="inlineStr">
        <is>
          <t>Anticipo Ganancias Ley 25.413 créditos</t>
        </is>
      </c>
      <c r="H353" s="8" t="inlineStr">
        <is>
          <t>Anticipo Impuesto a las Ganancias</t>
        </is>
      </c>
      <c r="I353" s="9" t="n">
        <v>433.76</v>
      </c>
      <c r="J353" s="9" t="inlineStr"/>
      <c r="K353" s="8" t="inlineStr">
        <is>
          <t>Copiar en Flexxus: Tipo=MB-EXT | Movimiento=GRAVAMEN LEY 25.413 S/CRED | Monto=433,76 | Fecha: 22/04/2026</t>
        </is>
      </c>
    </row>
    <row r="354">
      <c r="A354" s="8" t="inlineStr">
        <is>
          <t>PEND-E71648BF5080-A001</t>
        </is>
      </c>
      <c r="B354" s="8" t="inlineStr">
        <is>
          <t>ABIERTO_NUEVO</t>
        </is>
      </c>
      <c r="C354" s="8" t="inlineStr">
        <is>
          <t>Banco egreso no Flexxus</t>
        </is>
      </c>
      <c r="D354" s="8" t="inlineStr">
        <is>
          <t>22/04/2026</t>
        </is>
      </c>
      <c r="E354" s="8" t="inlineStr">
        <is>
          <t>108220</t>
        </is>
      </c>
      <c r="F354" s="8" t="inlineStr">
        <is>
          <t>INGRESOS BRUTOS MENDOZA</t>
        </is>
      </c>
      <c r="G354" s="8" t="inlineStr">
        <is>
          <t>Retención Ingresos Brutos Mendoza</t>
        </is>
      </c>
      <c r="H354" s="8" t="inlineStr">
        <is>
          <t>Retención de Ingresos Brutos</t>
        </is>
      </c>
      <c r="I354" s="9" t="n">
        <v>189.15</v>
      </c>
      <c r="J354" s="9" t="inlineStr"/>
      <c r="K354" s="8" t="inlineStr">
        <is>
          <t>Copiar en Flexxus: Tipo=MB-EXT | Movimiento=INGRESOS BRUTOS MENDOZA | Monto=189,15 | Fecha: 22/04/2026</t>
        </is>
      </c>
    </row>
    <row r="355">
      <c r="A355" s="8" t="inlineStr">
        <is>
          <t>PEND-1AC6A6992E35-A001</t>
        </is>
      </c>
      <c r="B355" s="8" t="inlineStr">
        <is>
          <t>ABIERTO_NUEVO</t>
        </is>
      </c>
      <c r="C355" s="8" t="inlineStr">
        <is>
          <t>Banco egreso no Flexxus</t>
        </is>
      </c>
      <c r="D355" s="8" t="inlineStr">
        <is>
          <t>22/04/2026</t>
        </is>
      </c>
      <c r="E355" s="8" t="inlineStr">
        <is>
          <t>108220</t>
        </is>
      </c>
      <c r="F355" s="8" t="inlineStr">
        <is>
          <t>GRAVAMEN LEY 25413 S/CRED</t>
        </is>
      </c>
      <c r="G355" s="8" t="inlineStr">
        <is>
          <t>Anticipo Ganancias Ley 25.413 créditos</t>
        </is>
      </c>
      <c r="H355" s="8" t="inlineStr">
        <is>
          <t>Anticipo Impuesto a las Ganancias</t>
        </is>
      </c>
      <c r="I355" s="9" t="n">
        <v>113.49</v>
      </c>
      <c r="J355" s="9" t="inlineStr"/>
      <c r="K355" s="8" t="inlineStr">
        <is>
          <t>Copiar en Flexxus: Tipo=MB-EXT | Movimiento=GRAVAMEN LEY 25.413 S/CRED | Monto=113,49 | Fecha: 22/04/2026</t>
        </is>
      </c>
    </row>
    <row r="356">
      <c r="A356" s="8" t="inlineStr">
        <is>
          <t>PEND-3C7A916D08BC-A001</t>
        </is>
      </c>
      <c r="B356" s="8" t="inlineStr">
        <is>
          <t>ABIERTO_NUEVO</t>
        </is>
      </c>
      <c r="C356" s="8" t="inlineStr">
        <is>
          <t>Banco egreso no Flexxus</t>
        </is>
      </c>
      <c r="D356" s="8" t="inlineStr">
        <is>
          <t>22/04/2026</t>
        </is>
      </c>
      <c r="E356" s="8" t="inlineStr">
        <is>
          <t>108219</t>
        </is>
      </c>
      <c r="F356" s="8" t="inlineStr">
        <is>
          <t>GRAVAMEN LEY 25413 S/DEB</t>
        </is>
      </c>
      <c r="G356" s="8" t="inlineStr">
        <is>
          <t>Anticipo Ganancias Ley 25.413 débitos</t>
        </is>
      </c>
      <c r="H356" s="8" t="inlineStr">
        <is>
          <t>Anticipo Impuesto a las Ganancias</t>
        </is>
      </c>
      <c r="I356" s="9" t="n">
        <v>12000</v>
      </c>
      <c r="J356" s="9" t="inlineStr"/>
      <c r="K356" s="8" t="inlineStr">
        <is>
          <t>Copiar en Flexxus: Tipo=MB-EXT | Movimiento=GRAVAMEN LEY 25.413 S/DEB | Monto=12.000,00 | Fecha: 22/04/2026</t>
        </is>
      </c>
    </row>
    <row r="357">
      <c r="A357" s="8" t="inlineStr">
        <is>
          <t>PEND-47200598A865-A001</t>
        </is>
      </c>
      <c r="B357" s="8" t="inlineStr">
        <is>
          <t>ABIERTO_NUEVO</t>
        </is>
      </c>
      <c r="C357" s="8" t="inlineStr">
        <is>
          <t>Banco egreso no Flexxus</t>
        </is>
      </c>
      <c r="D357" s="8" t="inlineStr">
        <is>
          <t>22/04/2026</t>
        </is>
      </c>
      <c r="E357" s="8" t="inlineStr">
        <is>
          <t>108218</t>
        </is>
      </c>
      <c r="F357" s="8" t="inlineStr">
        <is>
          <t>INGRESOS BRUTOS MENDOZA</t>
        </is>
      </c>
      <c r="G357" s="8" t="inlineStr">
        <is>
          <t>Retención Ingresos Brutos Mendoza</t>
        </is>
      </c>
      <c r="H357" s="8" t="inlineStr">
        <is>
          <t>Retención de Ingresos Brutos</t>
        </is>
      </c>
      <c r="I357" s="9" t="n">
        <v>525.86</v>
      </c>
      <c r="J357" s="9" t="inlineStr"/>
      <c r="K357" s="8" t="inlineStr">
        <is>
          <t>Copiar en Flexxus: Tipo=MB-EXT | Movimiento=INGRESOS BRUTOS MENDOZA | Monto=525,86 | Fecha: 22/04/2026</t>
        </is>
      </c>
    </row>
    <row r="358">
      <c r="A358" s="8" t="inlineStr">
        <is>
          <t>PEND-25557B50CCDF-A001</t>
        </is>
      </c>
      <c r="B358" s="8" t="inlineStr">
        <is>
          <t>ABIERTO_NUEVO</t>
        </is>
      </c>
      <c r="C358" s="8" t="inlineStr">
        <is>
          <t>Banco egreso no Flexxus</t>
        </is>
      </c>
      <c r="D358" s="8" t="inlineStr">
        <is>
          <t>22/04/2026</t>
        </is>
      </c>
      <c r="E358" s="8" t="inlineStr">
        <is>
          <t>108218</t>
        </is>
      </c>
      <c r="F358" s="8" t="inlineStr">
        <is>
          <t>GRAVAMEN LEY 25413 S/CRED</t>
        </is>
      </c>
      <c r="G358" s="8" t="inlineStr">
        <is>
          <t>Anticipo Ganancias Ley 25.413 créditos</t>
        </is>
      </c>
      <c r="H358" s="8" t="inlineStr">
        <is>
          <t>Anticipo Impuesto a las Ganancias</t>
        </is>
      </c>
      <c r="I358" s="9" t="n">
        <v>315.52</v>
      </c>
      <c r="J358" s="9" t="inlineStr"/>
      <c r="K358" s="8" t="inlineStr">
        <is>
          <t>Copiar en Flexxus: Tipo=MB-EXT | Movimiento=GRAVAMEN LEY 25.413 S/CRED | Monto=315,52 | Fecha: 22/04/2026</t>
        </is>
      </c>
    </row>
    <row r="359">
      <c r="A359" s="8" t="inlineStr">
        <is>
          <t>PEND-E75B8FD7B7E9-A001</t>
        </is>
      </c>
      <c r="B359" s="8" t="inlineStr">
        <is>
          <t>ABIERTO_NUEVO</t>
        </is>
      </c>
      <c r="C359" s="8" t="inlineStr">
        <is>
          <t>Banco egreso no Flexxus</t>
        </is>
      </c>
      <c r="D359" s="8" t="inlineStr">
        <is>
          <t>22/04/2026</t>
        </is>
      </c>
      <c r="E359" s="8" t="inlineStr">
        <is>
          <t>32032899</t>
        </is>
      </c>
      <c r="F359" s="8" t="inlineStr">
        <is>
          <t>INGRESOS BRUTOS MENDOZA</t>
        </is>
      </c>
      <c r="G359" s="8" t="inlineStr">
        <is>
          <t>Retención Ingresos Brutos Mendoza</t>
        </is>
      </c>
      <c r="H359" s="8" t="inlineStr">
        <is>
          <t>Retención de Ingresos Brutos</t>
        </is>
      </c>
      <c r="I359" s="9" t="n">
        <v>2108.53</v>
      </c>
      <c r="J359" s="9" t="inlineStr"/>
      <c r="K359" s="8" t="inlineStr">
        <is>
          <t>Copiar en Flexxus: Tipo=MB-EXT | Movimiento=INGRESOS BRUTOS MENDOZA | Monto=2.108,53 | Fecha: 22/04/2026</t>
        </is>
      </c>
    </row>
    <row r="360">
      <c r="A360" s="8" t="inlineStr">
        <is>
          <t>PEND-27B675F56E00-A001</t>
        </is>
      </c>
      <c r="B360" s="8" t="inlineStr">
        <is>
          <t>ABIERTO_NUEVO</t>
        </is>
      </c>
      <c r="C360" s="8" t="inlineStr">
        <is>
          <t>Banco egreso no Flexxus</t>
        </is>
      </c>
      <c r="D360" s="8" t="inlineStr">
        <is>
          <t>22/04/2026</t>
        </is>
      </c>
      <c r="E360" s="8" t="inlineStr">
        <is>
          <t>32032899</t>
        </is>
      </c>
      <c r="F360" s="8" t="inlineStr">
        <is>
          <t>GRAVAMEN LEY 25413 S/CRED</t>
        </is>
      </c>
      <c r="G360" s="8" t="inlineStr">
        <is>
          <t>Anticipo Ganancias Ley 25.413 créditos</t>
        </is>
      </c>
      <c r="H360" s="8" t="inlineStr">
        <is>
          <t>Anticipo Impuesto a las Ganancias</t>
        </is>
      </c>
      <c r="I360" s="9" t="n">
        <v>1265.12</v>
      </c>
      <c r="J360" s="9" t="inlineStr"/>
      <c r="K360" s="8" t="inlineStr">
        <is>
          <t>Copiar en Flexxus: Tipo=MB-EXT | Movimiento=GRAVAMEN LEY 25.413 S/CRED | Monto=1.265,12 | Fecha: 22/04/2026</t>
        </is>
      </c>
    </row>
    <row r="361">
      <c r="A361" s="8" t="inlineStr">
        <is>
          <t>PEND-C659145B63CA-A001</t>
        </is>
      </c>
      <c r="B361" s="8" t="inlineStr">
        <is>
          <t>ABIERTO_NUEVO</t>
        </is>
      </c>
      <c r="C361" s="8" t="inlineStr">
        <is>
          <t>Banco egreso no Flexxus</t>
        </is>
      </c>
      <c r="D361" s="8" t="inlineStr">
        <is>
          <t>22/04/2026</t>
        </is>
      </c>
      <c r="E361" s="8" t="inlineStr">
        <is>
          <t>31995644</t>
        </is>
      </c>
      <c r="F361" s="8" t="inlineStr">
        <is>
          <t>INGRESOS BRUTOS MENDOZA</t>
        </is>
      </c>
      <c r="G361" s="8" t="inlineStr">
        <is>
          <t>Retención Ingresos Brutos Mendoza</t>
        </is>
      </c>
      <c r="H361" s="8" t="inlineStr">
        <is>
          <t>Retención de Ingresos Brutos</t>
        </is>
      </c>
      <c r="I361" s="9" t="n">
        <v>702.4</v>
      </c>
      <c r="J361" s="9" t="inlineStr"/>
      <c r="K361" s="8" t="inlineStr">
        <is>
          <t>Copiar en Flexxus: Tipo=MB-EXT | Movimiento=INGRESOS BRUTOS MENDOZA | Monto=702,40 | Fecha: 22/04/2026</t>
        </is>
      </c>
    </row>
    <row r="362">
      <c r="A362" s="8" t="inlineStr">
        <is>
          <t>PEND-B160CF9FB996-A001</t>
        </is>
      </c>
      <c r="B362" s="8" t="inlineStr">
        <is>
          <t>ABIERTO_NUEVO</t>
        </is>
      </c>
      <c r="C362" s="8" t="inlineStr">
        <is>
          <t>Banco egreso no Flexxus</t>
        </is>
      </c>
      <c r="D362" s="8" t="inlineStr">
        <is>
          <t>22/04/2026</t>
        </is>
      </c>
      <c r="E362" s="8" t="inlineStr">
        <is>
          <t>31995644</t>
        </is>
      </c>
      <c r="F362" s="8" t="inlineStr">
        <is>
          <t>GRAVAMEN LEY 25413 S/CRED</t>
        </is>
      </c>
      <c r="G362" s="8" t="inlineStr">
        <is>
          <t>Anticipo Ganancias Ley 25.413 créditos</t>
        </is>
      </c>
      <c r="H362" s="8" t="inlineStr">
        <is>
          <t>Anticipo Impuesto a las Ganancias</t>
        </is>
      </c>
      <c r="I362" s="9" t="n">
        <v>421.44</v>
      </c>
      <c r="J362" s="9" t="inlineStr"/>
      <c r="K362" s="8" t="inlineStr">
        <is>
          <t>Copiar en Flexxus: Tipo=MB-EXT | Movimiento=GRAVAMEN LEY 25.413 S/CRED | Monto=421,44 | Fecha: 22/04/2026</t>
        </is>
      </c>
    </row>
    <row r="363">
      <c r="A363" s="8" t="inlineStr">
        <is>
          <t>PEND-C2ED1755EB60-A001</t>
        </is>
      </c>
      <c r="B363" s="8" t="inlineStr">
        <is>
          <t>ABIERTO_NUEVO</t>
        </is>
      </c>
      <c r="C363" s="8" t="inlineStr">
        <is>
          <t>Banco egreso no Flexxus</t>
        </is>
      </c>
      <c r="D363" s="8" t="inlineStr">
        <is>
          <t>22/04/2026</t>
        </is>
      </c>
      <c r="E363" s="8" t="inlineStr">
        <is>
          <t>29841705</t>
        </is>
      </c>
      <c r="F363" s="8" t="inlineStr">
        <is>
          <t>INGRESOS BRUTOS MENDOZA</t>
        </is>
      </c>
      <c r="G363" s="8" t="inlineStr">
        <is>
          <t>Retención Ingresos Brutos Mendoza</t>
        </is>
      </c>
      <c r="H363" s="8" t="inlineStr">
        <is>
          <t>Retención de Ingresos Brutos</t>
        </is>
      </c>
      <c r="I363" s="9" t="n">
        <v>271.67</v>
      </c>
      <c r="J363" s="9" t="inlineStr"/>
      <c r="K363" s="8" t="inlineStr">
        <is>
          <t>Copiar en Flexxus: Tipo=MB-EXT | Movimiento=INGRESOS BRUTOS MENDOZA | Monto=271,67 | Fecha: 22/04/2026</t>
        </is>
      </c>
    </row>
    <row r="364">
      <c r="A364" s="8" t="inlineStr">
        <is>
          <t>PEND-15672E56ECAB-A001</t>
        </is>
      </c>
      <c r="B364" s="8" t="inlineStr">
        <is>
          <t>ABIERTO_NUEVO</t>
        </is>
      </c>
      <c r="C364" s="8" t="inlineStr">
        <is>
          <t>Banco egreso no Flexxus</t>
        </is>
      </c>
      <c r="D364" s="8" t="inlineStr">
        <is>
          <t>22/04/2026</t>
        </is>
      </c>
      <c r="E364" s="8" t="inlineStr">
        <is>
          <t>29841705</t>
        </is>
      </c>
      <c r="F364" s="8" t="inlineStr">
        <is>
          <t>GRAVAMEN LEY 25413 S/CRED</t>
        </is>
      </c>
      <c r="G364" s="8" t="inlineStr">
        <is>
          <t>Anticipo Ganancias Ley 25.413 créditos</t>
        </is>
      </c>
      <c r="H364" s="8" t="inlineStr">
        <is>
          <t>Anticipo Impuesto a las Ganancias</t>
        </is>
      </c>
      <c r="I364" s="9" t="n">
        <v>163</v>
      </c>
      <c r="J364" s="9" t="inlineStr"/>
      <c r="K364" s="8" t="inlineStr">
        <is>
          <t>Copiar en Flexxus: Tipo=MB-EXT | Movimiento=GRAVAMEN LEY 25.413 S/CRED | Monto=163,00 | Fecha: 22/04/2026</t>
        </is>
      </c>
    </row>
    <row r="365">
      <c r="A365" s="8" t="inlineStr">
        <is>
          <t>PEND-8612F8DDEBF8-A001</t>
        </is>
      </c>
      <c r="B365" s="8" t="inlineStr">
        <is>
          <t>ABIERTO_NUEVO</t>
        </is>
      </c>
      <c r="C365" s="8" t="inlineStr">
        <is>
          <t>Banco egreso no Flexxus</t>
        </is>
      </c>
      <c r="D365" s="8" t="inlineStr">
        <is>
          <t>22/04/2026</t>
        </is>
      </c>
      <c r="E365" s="8" t="inlineStr">
        <is>
          <t>29841670</t>
        </is>
      </c>
      <c r="F365" s="8" t="inlineStr">
        <is>
          <t>INGRESOS BRUTOS MENDOZA</t>
        </is>
      </c>
      <c r="G365" s="8" t="inlineStr">
        <is>
          <t>Retención Ingresos Brutos Mendoza</t>
        </is>
      </c>
      <c r="H365" s="8" t="inlineStr">
        <is>
          <t>Retención de Ingresos Brutos</t>
        </is>
      </c>
      <c r="I365" s="9" t="n">
        <v>908.87</v>
      </c>
      <c r="J365" s="9" t="inlineStr"/>
      <c r="K365" s="8" t="inlineStr">
        <is>
          <t>Copiar en Flexxus: Tipo=MB-EXT | Movimiento=INGRESOS BRUTOS MENDOZA | Monto=908,87 | Fecha: 22/04/2026</t>
        </is>
      </c>
    </row>
    <row r="366">
      <c r="A366" s="8" t="inlineStr">
        <is>
          <t>PEND-B66DD7E13889-A001</t>
        </is>
      </c>
      <c r="B366" s="8" t="inlineStr">
        <is>
          <t>ABIERTO_NUEVO</t>
        </is>
      </c>
      <c r="C366" s="8" t="inlineStr">
        <is>
          <t>Banco egreso no Flexxus</t>
        </is>
      </c>
      <c r="D366" s="8" t="inlineStr">
        <is>
          <t>22/04/2026</t>
        </is>
      </c>
      <c r="E366" s="8" t="inlineStr">
        <is>
          <t>29841670</t>
        </is>
      </c>
      <c r="F366" s="8" t="inlineStr">
        <is>
          <t>GRAVAMEN LEY 25413 S/CRED</t>
        </is>
      </c>
      <c r="G366" s="8" t="inlineStr">
        <is>
          <t>Anticipo Ganancias Ley 25.413 créditos</t>
        </is>
      </c>
      <c r="H366" s="8" t="inlineStr">
        <is>
          <t>Anticipo Impuesto a las Ganancias</t>
        </is>
      </c>
      <c r="I366" s="9" t="n">
        <v>545.3200000000001</v>
      </c>
      <c r="J366" s="9" t="inlineStr"/>
      <c r="K366" s="8" t="inlineStr">
        <is>
          <t>Copiar en Flexxus: Tipo=MB-EXT | Movimiento=GRAVAMEN LEY 25.413 S/CRED | Monto=545,32 | Fecha: 22/04/2026</t>
        </is>
      </c>
    </row>
    <row r="367">
      <c r="A367" s="8" t="inlineStr">
        <is>
          <t>PEND-5BF5BAE49B9F-A001</t>
        </is>
      </c>
      <c r="B367" s="8" t="inlineStr">
        <is>
          <t>ABIERTO_NUEVO</t>
        </is>
      </c>
      <c r="C367" s="8" t="inlineStr">
        <is>
          <t>Banco egreso no Flexxus</t>
        </is>
      </c>
      <c r="D367" s="8" t="inlineStr">
        <is>
          <t>22/04/2026</t>
        </is>
      </c>
      <c r="E367" s="8" t="inlineStr">
        <is>
          <t>29841642</t>
        </is>
      </c>
      <c r="F367" s="8" t="inlineStr">
        <is>
          <t>INGRESOS BRUTOS MENDOZA</t>
        </is>
      </c>
      <c r="G367" s="8" t="inlineStr">
        <is>
          <t>Retención Ingresos Brutos Mendoza</t>
        </is>
      </c>
      <c r="H367" s="8" t="inlineStr">
        <is>
          <t>Retención de Ingresos Brutos</t>
        </is>
      </c>
      <c r="I367" s="9" t="n">
        <v>587.8</v>
      </c>
      <c r="J367" s="9" t="inlineStr"/>
      <c r="K367" s="8" t="inlineStr">
        <is>
          <t>Copiar en Flexxus: Tipo=MB-EXT | Movimiento=INGRESOS BRUTOS MENDOZA | Monto=587,80 | Fecha: 22/04/2026</t>
        </is>
      </c>
    </row>
    <row r="368">
      <c r="A368" s="8" t="inlineStr">
        <is>
          <t>PEND-8A39A603D03E-A001</t>
        </is>
      </c>
      <c r="B368" s="8" t="inlineStr">
        <is>
          <t>ABIERTO_NUEVO</t>
        </is>
      </c>
      <c r="C368" s="8" t="inlineStr">
        <is>
          <t>Banco egreso no Flexxus</t>
        </is>
      </c>
      <c r="D368" s="8" t="inlineStr">
        <is>
          <t>22/04/2026</t>
        </is>
      </c>
      <c r="E368" s="8" t="inlineStr">
        <is>
          <t>29841642</t>
        </is>
      </c>
      <c r="F368" s="8" t="inlineStr">
        <is>
          <t>GRAVAMEN LEY 25413 S/CRED</t>
        </is>
      </c>
      <c r="G368" s="8" t="inlineStr">
        <is>
          <t>Anticipo Ganancias Ley 25.413 créditos</t>
        </is>
      </c>
      <c r="H368" s="8" t="inlineStr">
        <is>
          <t>Anticipo Impuesto a las Ganancias</t>
        </is>
      </c>
      <c r="I368" s="9" t="n">
        <v>352.68</v>
      </c>
      <c r="J368" s="9" t="inlineStr"/>
      <c r="K368" s="8" t="inlineStr">
        <is>
          <t>Copiar en Flexxus: Tipo=MB-EXT | Movimiento=GRAVAMEN LEY 25.413 S/CRED | Monto=352,68 | Fecha: 22/04/2026</t>
        </is>
      </c>
    </row>
    <row r="369">
      <c r="A369" s="8" t="inlineStr">
        <is>
          <t>PEND-7B5DD4290C89-A001</t>
        </is>
      </c>
      <c r="B369" s="8" t="inlineStr">
        <is>
          <t>ABIERTO_NUEVO</t>
        </is>
      </c>
      <c r="C369" s="8" t="inlineStr">
        <is>
          <t>Banco egreso no Flexxus</t>
        </is>
      </c>
      <c r="D369" s="8" t="inlineStr">
        <is>
          <t>22/04/2026</t>
        </is>
      </c>
      <c r="E369" s="8" t="inlineStr">
        <is>
          <t>29841627</t>
        </is>
      </c>
      <c r="F369" s="8" t="inlineStr">
        <is>
          <t>INGRESOS BRUTOS MENDOZA</t>
        </is>
      </c>
      <c r="G369" s="8" t="inlineStr">
        <is>
          <t>Retención Ingresos Brutos Mendoza</t>
        </is>
      </c>
      <c r="H369" s="8" t="inlineStr">
        <is>
          <t>Retención de Ingresos Brutos</t>
        </is>
      </c>
      <c r="I369" s="9" t="n">
        <v>154.11</v>
      </c>
      <c r="J369" s="9" t="inlineStr"/>
      <c r="K369" s="8" t="inlineStr">
        <is>
          <t>Copiar en Flexxus: Tipo=MB-EXT | Movimiento=INGRESOS BRUTOS MENDOZA | Monto=154,11 | Fecha: 22/04/2026</t>
        </is>
      </c>
    </row>
    <row r="370">
      <c r="A370" s="8" t="inlineStr">
        <is>
          <t>PEND-86BB3DDADA2F-A001</t>
        </is>
      </c>
      <c r="B370" s="8" t="inlineStr">
        <is>
          <t>ABIERTO_NUEVO</t>
        </is>
      </c>
      <c r="C370" s="8" t="inlineStr">
        <is>
          <t>Banco egreso no Flexxus</t>
        </is>
      </c>
      <c r="D370" s="8" t="inlineStr">
        <is>
          <t>22/04/2026</t>
        </is>
      </c>
      <c r="E370" s="8" t="inlineStr">
        <is>
          <t>29841627</t>
        </is>
      </c>
      <c r="F370" s="8" t="inlineStr">
        <is>
          <t>GRAVAMEN LEY 25413 S/CRED</t>
        </is>
      </c>
      <c r="G370" s="8" t="inlineStr">
        <is>
          <t>Anticipo Ganancias Ley 25.413 créditos</t>
        </is>
      </c>
      <c r="H370" s="8" t="inlineStr">
        <is>
          <t>Anticipo Impuesto a las Ganancias</t>
        </is>
      </c>
      <c r="I370" s="9" t="n">
        <v>92.47</v>
      </c>
      <c r="J370" s="9" t="inlineStr"/>
      <c r="K370" s="8" t="inlineStr">
        <is>
          <t>Copiar en Flexxus: Tipo=MB-EXT | Movimiento=GRAVAMEN LEY 25.413 S/CRED | Monto=92,47 | Fecha: 22/04/2026</t>
        </is>
      </c>
    </row>
    <row r="371">
      <c r="A371" s="8" t="inlineStr">
        <is>
          <t>PEND-CB1C91F57990-A001</t>
        </is>
      </c>
      <c r="B371" s="8" t="inlineStr">
        <is>
          <t>ABIERTO_NUEVO</t>
        </is>
      </c>
      <c r="C371" s="8" t="inlineStr">
        <is>
          <t>Banco egreso no Flexxus</t>
        </is>
      </c>
      <c r="D371" s="8" t="inlineStr">
        <is>
          <t>22/04/2026</t>
        </is>
      </c>
      <c r="E371" s="8" t="inlineStr">
        <is>
          <t>32032899</t>
        </is>
      </c>
      <c r="F371" s="8" t="inlineStr">
        <is>
          <t>INGRESOS BRUTOS MENDOZA</t>
        </is>
      </c>
      <c r="G371" s="8" t="inlineStr">
        <is>
          <t>Retención Ingresos Brutos Mendoza</t>
        </is>
      </c>
      <c r="H371" s="8" t="inlineStr">
        <is>
          <t>Retención de Ingresos Brutos</t>
        </is>
      </c>
      <c r="I371" s="9" t="n">
        <v>326.99</v>
      </c>
      <c r="J371" s="9" t="inlineStr"/>
      <c r="K371" s="8" t="inlineStr">
        <is>
          <t>Copiar en Flexxus: Tipo=MB-EXT | Movimiento=INGRESOS BRUTOS MENDOZA | Monto=326,99 | Fecha: 22/04/2026</t>
        </is>
      </c>
    </row>
    <row r="372">
      <c r="A372" s="8" t="inlineStr">
        <is>
          <t>PEND-FD1B5661AE95-A001</t>
        </is>
      </c>
      <c r="B372" s="8" t="inlineStr">
        <is>
          <t>ABIERTO_NUEVO</t>
        </is>
      </c>
      <c r="C372" s="8" t="inlineStr">
        <is>
          <t>Banco egreso no Flexxus</t>
        </is>
      </c>
      <c r="D372" s="8" t="inlineStr">
        <is>
          <t>22/04/2026</t>
        </is>
      </c>
      <c r="E372" s="8" t="inlineStr">
        <is>
          <t>32032899</t>
        </is>
      </c>
      <c r="F372" s="8" t="inlineStr">
        <is>
          <t>GRAVAMEN LEY 25413 S/CRED</t>
        </is>
      </c>
      <c r="G372" s="8" t="inlineStr">
        <is>
          <t>Anticipo Ganancias Ley 25.413 créditos</t>
        </is>
      </c>
      <c r="H372" s="8" t="inlineStr">
        <is>
          <t>Anticipo Impuesto a las Ganancias</t>
        </is>
      </c>
      <c r="I372" s="9" t="n">
        <v>196.2</v>
      </c>
      <c r="J372" s="9" t="inlineStr"/>
      <c r="K372" s="8" t="inlineStr">
        <is>
          <t>Copiar en Flexxus: Tipo=MB-EXT | Movimiento=GRAVAMEN LEY 25.413 S/CRED | Monto=196,20 | Fecha: 22/04/2026</t>
        </is>
      </c>
    </row>
    <row r="373">
      <c r="A373" s="8" t="inlineStr">
        <is>
          <t>PEND-2AD064EDE966-A001</t>
        </is>
      </c>
      <c r="B373" s="8" t="inlineStr">
        <is>
          <t>ABIERTO_NUEVO</t>
        </is>
      </c>
      <c r="C373" s="8" t="inlineStr">
        <is>
          <t>Banco egreso no Flexxus</t>
        </is>
      </c>
      <c r="D373" s="8" t="inlineStr">
        <is>
          <t>22/04/2026</t>
        </is>
      </c>
      <c r="E373" s="8" t="inlineStr">
        <is>
          <t>108210</t>
        </is>
      </c>
      <c r="F373" s="8" t="inlineStr">
        <is>
          <t>INGRESOS BRUTOS MENDOZA</t>
        </is>
      </c>
      <c r="G373" s="8" t="inlineStr">
        <is>
          <t>Retención Ingresos Brutos Mendoza</t>
        </is>
      </c>
      <c r="H373" s="8" t="inlineStr">
        <is>
          <t>Retención de Ingresos Brutos</t>
        </is>
      </c>
      <c r="I373" s="9" t="n">
        <v>123.79</v>
      </c>
      <c r="J373" s="9" t="inlineStr"/>
      <c r="K373" s="8" t="inlineStr">
        <is>
          <t>Copiar en Flexxus: Tipo=MB-EXT | Movimiento=INGRESOS BRUTOS MENDOZA | Monto=123,79 | Fecha: 22/04/2026</t>
        </is>
      </c>
    </row>
    <row r="374">
      <c r="A374" s="8" t="inlineStr">
        <is>
          <t>PEND-1B0E69C8C7BA-A001</t>
        </is>
      </c>
      <c r="B374" s="8" t="inlineStr">
        <is>
          <t>ABIERTO_NUEVO</t>
        </is>
      </c>
      <c r="C374" s="8" t="inlineStr">
        <is>
          <t>Banco egreso no Flexxus</t>
        </is>
      </c>
      <c r="D374" s="8" t="inlineStr">
        <is>
          <t>22/04/2026</t>
        </is>
      </c>
      <c r="E374" s="8" t="inlineStr">
        <is>
          <t>108210</t>
        </is>
      </c>
      <c r="F374" s="8" t="inlineStr">
        <is>
          <t>GRAVAMEN LEY 25413 S/CRED</t>
        </is>
      </c>
      <c r="G374" s="8" t="inlineStr">
        <is>
          <t>Anticipo Ganancias Ley 25.413 créditos</t>
        </is>
      </c>
      <c r="H374" s="8" t="inlineStr">
        <is>
          <t>Anticipo Impuesto a las Ganancias</t>
        </is>
      </c>
      <c r="I374" s="9" t="n">
        <v>74.27</v>
      </c>
      <c r="J374" s="9" t="inlineStr"/>
      <c r="K374" s="8" t="inlineStr">
        <is>
          <t>Copiar en Flexxus: Tipo=MB-EXT | Movimiento=GRAVAMEN LEY 25.413 S/CRED | Monto=74,27 | Fecha: 22/04/2026</t>
        </is>
      </c>
    </row>
    <row r="375">
      <c r="A375" s="8" t="inlineStr">
        <is>
          <t>PEND-8D514ABD3647-A001</t>
        </is>
      </c>
      <c r="B375" s="8" t="inlineStr">
        <is>
          <t>ABIERTO_NUEVO</t>
        </is>
      </c>
      <c r="C375" s="8" t="inlineStr">
        <is>
          <t>Banco egreso no Flexxus</t>
        </is>
      </c>
      <c r="D375" s="8" t="inlineStr">
        <is>
          <t>22/04/2026</t>
        </is>
      </c>
      <c r="E375" s="8" t="inlineStr">
        <is>
          <t>29841705</t>
        </is>
      </c>
      <c r="F375" s="8" t="inlineStr">
        <is>
          <t>INGRESOS BRUTOS MENDOZA</t>
        </is>
      </c>
      <c r="G375" s="8" t="inlineStr">
        <is>
          <t>Retención Ingresos Brutos Mendoza</t>
        </is>
      </c>
      <c r="H375" s="8" t="inlineStr">
        <is>
          <t>Retención de Ingresos Brutos</t>
        </is>
      </c>
      <c r="I375" s="9" t="n">
        <v>378.37</v>
      </c>
      <c r="J375" s="9" t="inlineStr"/>
      <c r="K375" s="8" t="inlineStr">
        <is>
          <t>Copiar en Flexxus: Tipo=MB-EXT | Movimiento=INGRESOS BRUTOS MENDOZA | Monto=378,37 | Fecha: 22/04/2026</t>
        </is>
      </c>
    </row>
    <row r="376">
      <c r="A376" s="8" t="inlineStr">
        <is>
          <t>PEND-0B11B2E7F814-A001</t>
        </is>
      </c>
      <c r="B376" s="8" t="inlineStr">
        <is>
          <t>ABIERTO_NUEVO</t>
        </is>
      </c>
      <c r="C376" s="8" t="inlineStr">
        <is>
          <t>Banco egreso no Flexxus</t>
        </is>
      </c>
      <c r="D376" s="8" t="inlineStr">
        <is>
          <t>22/04/2026</t>
        </is>
      </c>
      <c r="E376" s="8" t="inlineStr">
        <is>
          <t>29841705</t>
        </is>
      </c>
      <c r="F376" s="8" t="inlineStr">
        <is>
          <t>GRAVAMEN LEY 25413 S/CRED</t>
        </is>
      </c>
      <c r="G376" s="8" t="inlineStr">
        <is>
          <t>Anticipo Ganancias Ley 25.413 créditos</t>
        </is>
      </c>
      <c r="H376" s="8" t="inlineStr">
        <is>
          <t>Anticipo Impuesto a las Ganancias</t>
        </is>
      </c>
      <c r="I376" s="9" t="n">
        <v>227.02</v>
      </c>
      <c r="J376" s="9" t="inlineStr"/>
      <c r="K376" s="8" t="inlineStr">
        <is>
          <t>Copiar en Flexxus: Tipo=MB-EXT | Movimiento=GRAVAMEN LEY 25.413 S/CRED | Monto=227,02 | Fecha: 22/04/2026</t>
        </is>
      </c>
    </row>
    <row r="377">
      <c r="A377" s="8" t="inlineStr">
        <is>
          <t>PEND-73DDBD4DD1BF-A001</t>
        </is>
      </c>
      <c r="B377" s="8" t="inlineStr">
        <is>
          <t>ABIERTO_NUEVO</t>
        </is>
      </c>
      <c r="C377" s="8" t="inlineStr">
        <is>
          <t>Banco egreso no Flexxus</t>
        </is>
      </c>
      <c r="D377" s="8" t="inlineStr">
        <is>
          <t>22/04/2026</t>
        </is>
      </c>
      <c r="E377" s="8" t="inlineStr">
        <is>
          <t>29841683</t>
        </is>
      </c>
      <c r="F377" s="8" t="inlineStr">
        <is>
          <t>INGRESOS BRUTOS MENDOZA</t>
        </is>
      </c>
      <c r="G377" s="8" t="inlineStr">
        <is>
          <t>Retención Ingresos Brutos Mendoza</t>
        </is>
      </c>
      <c r="H377" s="8" t="inlineStr">
        <is>
          <t>Retención de Ingresos Brutos</t>
        </is>
      </c>
      <c r="I377" s="9" t="n">
        <v>297.36</v>
      </c>
      <c r="J377" s="9" t="inlineStr"/>
      <c r="K377" s="8" t="inlineStr">
        <is>
          <t>Copiar en Flexxus: Tipo=MB-EXT | Movimiento=INGRESOS BRUTOS MENDOZA | Monto=297,36 | Fecha: 22/04/2026</t>
        </is>
      </c>
    </row>
    <row r="378">
      <c r="A378" s="8" t="inlineStr">
        <is>
          <t>PEND-026B15A23AC2-A001</t>
        </is>
      </c>
      <c r="B378" s="8" t="inlineStr">
        <is>
          <t>ABIERTO_NUEVO</t>
        </is>
      </c>
      <c r="C378" s="8" t="inlineStr">
        <is>
          <t>Banco egreso no Flexxus</t>
        </is>
      </c>
      <c r="D378" s="8" t="inlineStr">
        <is>
          <t>22/04/2026</t>
        </is>
      </c>
      <c r="E378" s="8" t="inlineStr">
        <is>
          <t>29841683</t>
        </is>
      </c>
      <c r="F378" s="8" t="inlineStr">
        <is>
          <t>GRAVAMEN LEY 25413 S/CRED</t>
        </is>
      </c>
      <c r="G378" s="8" t="inlineStr">
        <is>
          <t>Anticipo Ganancias Ley 25.413 créditos</t>
        </is>
      </c>
      <c r="H378" s="8" t="inlineStr">
        <is>
          <t>Anticipo Impuesto a las Ganancias</t>
        </is>
      </c>
      <c r="I378" s="9" t="n">
        <v>178.41</v>
      </c>
      <c r="J378" s="9" t="inlineStr"/>
      <c r="K378" s="8" t="inlineStr">
        <is>
          <t>Copiar en Flexxus: Tipo=MB-EXT | Movimiento=GRAVAMEN LEY 25.413 S/CRED | Monto=178,41 | Fecha: 22/04/2026</t>
        </is>
      </c>
    </row>
    <row r="379">
      <c r="A379" s="8" t="inlineStr">
        <is>
          <t>PEND-5746ECE9ADCF-A001</t>
        </is>
      </c>
      <c r="B379" s="8" t="inlineStr">
        <is>
          <t>ABIERTO_NUEVO</t>
        </is>
      </c>
      <c r="C379" s="8" t="inlineStr">
        <is>
          <t>Banco egreso no Flexxus</t>
        </is>
      </c>
      <c r="D379" s="8" t="inlineStr">
        <is>
          <t>22/04/2026</t>
        </is>
      </c>
      <c r="E379" s="8" t="inlineStr">
        <is>
          <t>29841642</t>
        </is>
      </c>
      <c r="F379" s="8" t="inlineStr">
        <is>
          <t>INGRESOS BRUTOS MENDOZA</t>
        </is>
      </c>
      <c r="G379" s="8" t="inlineStr">
        <is>
          <t>Retención Ingresos Brutos Mendoza</t>
        </is>
      </c>
      <c r="H379" s="8" t="inlineStr">
        <is>
          <t>Retención de Ingresos Brutos</t>
        </is>
      </c>
      <c r="I379" s="9" t="n">
        <v>1243.77</v>
      </c>
      <c r="J379" s="9" t="inlineStr"/>
      <c r="K379" s="8" t="inlineStr">
        <is>
          <t>Copiar en Flexxus: Tipo=MB-EXT | Movimiento=INGRESOS BRUTOS MENDOZA | Monto=1.243,77 | Fecha: 22/04/2026</t>
        </is>
      </c>
    </row>
    <row r="380">
      <c r="A380" s="8" t="inlineStr">
        <is>
          <t>PEND-2BDD05F3C404-A001</t>
        </is>
      </c>
      <c r="B380" s="8" t="inlineStr">
        <is>
          <t>ABIERTO_NUEVO</t>
        </is>
      </c>
      <c r="C380" s="8" t="inlineStr">
        <is>
          <t>Banco egreso no Flexxus</t>
        </is>
      </c>
      <c r="D380" s="8" t="inlineStr">
        <is>
          <t>22/04/2026</t>
        </is>
      </c>
      <c r="E380" s="8" t="inlineStr">
        <is>
          <t>29841642</t>
        </is>
      </c>
      <c r="F380" s="8" t="inlineStr">
        <is>
          <t>GRAVAMEN LEY 25413 S/CRED</t>
        </is>
      </c>
      <c r="G380" s="8" t="inlineStr">
        <is>
          <t>Anticipo Ganancias Ley 25.413 créditos</t>
        </is>
      </c>
      <c r="H380" s="8" t="inlineStr">
        <is>
          <t>Anticipo Impuesto a las Ganancias</t>
        </is>
      </c>
      <c r="I380" s="9" t="n">
        <v>746.26</v>
      </c>
      <c r="J380" s="9" t="inlineStr"/>
      <c r="K380" s="8" t="inlineStr">
        <is>
          <t>Copiar en Flexxus: Tipo=MB-EXT | Movimiento=GRAVAMEN LEY 25.413 S/CRED | Monto=746,26 | Fecha: 22/04/2026</t>
        </is>
      </c>
    </row>
    <row r="381">
      <c r="A381" s="8" t="inlineStr">
        <is>
          <t>PEND-63711CA380B2-A001</t>
        </is>
      </c>
      <c r="B381" s="8" t="inlineStr">
        <is>
          <t>ABIERTO_NUEVO</t>
        </is>
      </c>
      <c r="C381" s="8" t="inlineStr">
        <is>
          <t>Banco egreso no Flexxus</t>
        </is>
      </c>
      <c r="D381" s="8" t="inlineStr">
        <is>
          <t>22/04/2026</t>
        </is>
      </c>
      <c r="E381" s="8" t="inlineStr">
        <is>
          <t>32032899</t>
        </is>
      </c>
      <c r="F381" s="8" t="inlineStr">
        <is>
          <t>INGRESOS BRUTOS MENDOZA</t>
        </is>
      </c>
      <c r="G381" s="8" t="inlineStr">
        <is>
          <t>Retención Ingresos Brutos Mendoza</t>
        </is>
      </c>
      <c r="H381" s="8" t="inlineStr">
        <is>
          <t>Retención de Ingresos Brutos</t>
        </is>
      </c>
      <c r="I381" s="9" t="n">
        <v>1950.47</v>
      </c>
      <c r="J381" s="9" t="inlineStr"/>
      <c r="K381" s="8" t="inlineStr">
        <is>
          <t>Copiar en Flexxus: Tipo=MB-EXT | Movimiento=INGRESOS BRUTOS MENDOZA | Monto=1.950,47 | Fecha: 22/04/2026</t>
        </is>
      </c>
    </row>
    <row r="382">
      <c r="A382" s="8" t="inlineStr">
        <is>
          <t>PEND-A47B05F11829-A001</t>
        </is>
      </c>
      <c r="B382" s="8" t="inlineStr">
        <is>
          <t>ABIERTO_NUEVO</t>
        </is>
      </c>
      <c r="C382" s="8" t="inlineStr">
        <is>
          <t>Banco egreso no Flexxus</t>
        </is>
      </c>
      <c r="D382" s="8" t="inlineStr">
        <is>
          <t>22/04/2026</t>
        </is>
      </c>
      <c r="E382" s="8" t="inlineStr">
        <is>
          <t>32032899</t>
        </is>
      </c>
      <c r="F382" s="8" t="inlineStr">
        <is>
          <t>GRAVAMEN LEY 25413 S/CRED</t>
        </is>
      </c>
      <c r="G382" s="8" t="inlineStr">
        <is>
          <t>Anticipo Ganancias Ley 25.413 créditos</t>
        </is>
      </c>
      <c r="H382" s="8" t="inlineStr">
        <is>
          <t>Anticipo Impuesto a las Ganancias</t>
        </is>
      </c>
      <c r="I382" s="9" t="n">
        <v>1170.28</v>
      </c>
      <c r="J382" s="9" t="inlineStr"/>
      <c r="K382" s="8" t="inlineStr">
        <is>
          <t>Copiar en Flexxus: Tipo=MB-EXT | Movimiento=GRAVAMEN LEY 25.413 S/CRED | Monto=1.170,28 | Fecha: 22/04/2026</t>
        </is>
      </c>
    </row>
    <row r="383">
      <c r="A383" s="8" t="inlineStr">
        <is>
          <t>PEND-A2FC49579A4A-A001</t>
        </is>
      </c>
      <c r="B383" s="8" t="inlineStr">
        <is>
          <t>ABIERTO_NUEVO</t>
        </is>
      </c>
      <c r="C383" s="8" t="inlineStr">
        <is>
          <t>Banco egreso no Flexxus</t>
        </is>
      </c>
      <c r="D383" s="8" t="inlineStr">
        <is>
          <t>22/04/2026</t>
        </is>
      </c>
      <c r="E383" s="8" t="inlineStr">
        <is>
          <t>31995644</t>
        </is>
      </c>
      <c r="F383" s="8" t="inlineStr">
        <is>
          <t>INGRESOS BRUTOS MENDOZA</t>
        </is>
      </c>
      <c r="G383" s="8" t="inlineStr">
        <is>
          <t>Retención Ingresos Brutos Mendoza</t>
        </is>
      </c>
      <c r="H383" s="8" t="inlineStr">
        <is>
          <t>Retención de Ingresos Brutos</t>
        </is>
      </c>
      <c r="I383" s="9" t="n">
        <v>2938.91</v>
      </c>
      <c r="J383" s="9" t="inlineStr"/>
      <c r="K383" s="8" t="inlineStr">
        <is>
          <t>Copiar en Flexxus: Tipo=MB-EXT | Movimiento=INGRESOS BRUTOS MENDOZA | Monto=2.938,91 | Fecha: 22/04/2026</t>
        </is>
      </c>
    </row>
    <row r="384">
      <c r="A384" s="8" t="inlineStr">
        <is>
          <t>PEND-CBAC0340C1FB-A001</t>
        </is>
      </c>
      <c r="B384" s="8" t="inlineStr">
        <is>
          <t>ABIERTO_NUEVO</t>
        </is>
      </c>
      <c r="C384" s="8" t="inlineStr">
        <is>
          <t>Banco egreso no Flexxus</t>
        </is>
      </c>
      <c r="D384" s="8" t="inlineStr">
        <is>
          <t>22/04/2026</t>
        </is>
      </c>
      <c r="E384" s="8" t="inlineStr">
        <is>
          <t>31995644</t>
        </is>
      </c>
      <c r="F384" s="8" t="inlineStr">
        <is>
          <t>GRAVAMEN LEY 25413 S/CRED</t>
        </is>
      </c>
      <c r="G384" s="8" t="inlineStr">
        <is>
          <t>Anticipo Ganancias Ley 25.413 créditos</t>
        </is>
      </c>
      <c r="H384" s="8" t="inlineStr">
        <is>
          <t>Anticipo Impuesto a las Ganancias</t>
        </is>
      </c>
      <c r="I384" s="9" t="n">
        <v>1763.34</v>
      </c>
      <c r="J384" s="9" t="inlineStr"/>
      <c r="K384" s="8" t="inlineStr">
        <is>
          <t>Copiar en Flexxus: Tipo=MB-EXT | Movimiento=GRAVAMEN LEY 25.413 S/CRED | Monto=1.763,34 | Fecha: 22/04/2026</t>
        </is>
      </c>
    </row>
    <row r="385">
      <c r="A385" s="8" t="inlineStr">
        <is>
          <t>PEND-6DBF5A80B529-A001</t>
        </is>
      </c>
      <c r="B385" s="8" t="inlineStr">
        <is>
          <t>ABIERTO_NUEVO</t>
        </is>
      </c>
      <c r="C385" s="8" t="inlineStr">
        <is>
          <t>Banco egreso no Flexxus</t>
        </is>
      </c>
      <c r="D385" s="8" t="inlineStr">
        <is>
          <t>22/04/2026</t>
        </is>
      </c>
      <c r="E385" s="8" t="inlineStr">
        <is>
          <t>108203</t>
        </is>
      </c>
      <c r="F385" s="8" t="inlineStr">
        <is>
          <t>INGRESOS BRUTOS MENDOZA</t>
        </is>
      </c>
      <c r="G385" s="8" t="inlineStr">
        <is>
          <t>Retención Ingresos Brutos Mendoza</t>
        </is>
      </c>
      <c r="H385" s="8" t="inlineStr">
        <is>
          <t>Retención de Ingresos Brutos</t>
        </is>
      </c>
      <c r="I385" s="9" t="n">
        <v>239.66</v>
      </c>
      <c r="J385" s="9" t="inlineStr"/>
      <c r="K385" s="8" t="inlineStr">
        <is>
          <t>Copiar en Flexxus: Tipo=MB-EXT | Movimiento=INGRESOS BRUTOS MENDOZA | Monto=239,66 | Fecha: 22/04/2026</t>
        </is>
      </c>
    </row>
    <row r="386">
      <c r="A386" s="8" t="inlineStr">
        <is>
          <t>PEND-FBAD747D5654-A001</t>
        </is>
      </c>
      <c r="B386" s="8" t="inlineStr">
        <is>
          <t>ABIERTO_NUEVO</t>
        </is>
      </c>
      <c r="C386" s="8" t="inlineStr">
        <is>
          <t>Banco egreso no Flexxus</t>
        </is>
      </c>
      <c r="D386" s="8" t="inlineStr">
        <is>
          <t>22/04/2026</t>
        </is>
      </c>
      <c r="E386" s="8" t="inlineStr">
        <is>
          <t>108203</t>
        </is>
      </c>
      <c r="F386" s="8" t="inlineStr">
        <is>
          <t>GRAVAMEN LEY 25413 S/CRED</t>
        </is>
      </c>
      <c r="G386" s="8" t="inlineStr">
        <is>
          <t>Anticipo Ganancias Ley 25.413 créditos</t>
        </is>
      </c>
      <c r="H386" s="8" t="inlineStr">
        <is>
          <t>Anticipo Impuesto a las Ganancias</t>
        </is>
      </c>
      <c r="I386" s="9" t="n">
        <v>143.79</v>
      </c>
      <c r="J386" s="9" t="inlineStr"/>
      <c r="K386" s="8" t="inlineStr">
        <is>
          <t>Copiar en Flexxus: Tipo=MB-EXT | Movimiento=GRAVAMEN LEY 25.413 S/CRED | Monto=143,79 | Fecha: 22/04/2026</t>
        </is>
      </c>
    </row>
    <row r="387">
      <c r="A387" s="8" t="inlineStr">
        <is>
          <t>PEND-9D90FE3977A2-A001</t>
        </is>
      </c>
      <c r="B387" s="8" t="inlineStr">
        <is>
          <t>ABIERTO_NUEVO</t>
        </is>
      </c>
      <c r="C387" s="8" t="inlineStr">
        <is>
          <t>Banco egreso no Flexxus</t>
        </is>
      </c>
      <c r="D387" s="8" t="inlineStr">
        <is>
          <t>22/04/2026</t>
        </is>
      </c>
      <c r="E387" s="8" t="inlineStr">
        <is>
          <t>29841705</t>
        </is>
      </c>
      <c r="F387" s="8" t="inlineStr">
        <is>
          <t>INGRESOS BRUTOS MENDOZA</t>
        </is>
      </c>
      <c r="G387" s="8" t="inlineStr">
        <is>
          <t>Retención Ingresos Brutos Mendoza</t>
        </is>
      </c>
      <c r="H387" s="8" t="inlineStr">
        <is>
          <t>Retención de Ingresos Brutos</t>
        </is>
      </c>
      <c r="I387" s="9" t="n">
        <v>377.59</v>
      </c>
      <c r="J387" s="9" t="inlineStr"/>
      <c r="K387" s="8" t="inlineStr">
        <is>
          <t>Copiar en Flexxus: Tipo=MB-EXT | Movimiento=INGRESOS BRUTOS MENDOZA | Monto=377,59 | Fecha: 22/04/2026</t>
        </is>
      </c>
    </row>
    <row r="388">
      <c r="A388" s="8" t="inlineStr">
        <is>
          <t>PEND-883E5A96CCE0-A001</t>
        </is>
      </c>
      <c r="B388" s="8" t="inlineStr">
        <is>
          <t>ABIERTO_NUEVO</t>
        </is>
      </c>
      <c r="C388" s="8" t="inlineStr">
        <is>
          <t>Banco egreso no Flexxus</t>
        </is>
      </c>
      <c r="D388" s="8" t="inlineStr">
        <is>
          <t>22/04/2026</t>
        </is>
      </c>
      <c r="E388" s="8" t="inlineStr">
        <is>
          <t>29841705</t>
        </is>
      </c>
      <c r="F388" s="8" t="inlineStr">
        <is>
          <t>GRAVAMEN LEY 25413 S/CRED</t>
        </is>
      </c>
      <c r="G388" s="8" t="inlineStr">
        <is>
          <t>Anticipo Ganancias Ley 25.413 créditos</t>
        </is>
      </c>
      <c r="H388" s="8" t="inlineStr">
        <is>
          <t>Anticipo Impuesto a las Ganancias</t>
        </is>
      </c>
      <c r="I388" s="9" t="n">
        <v>226.56</v>
      </c>
      <c r="J388" s="9" t="inlineStr"/>
      <c r="K388" s="8" t="inlineStr">
        <is>
          <t>Copiar en Flexxus: Tipo=MB-EXT | Movimiento=GRAVAMEN LEY 25.413 S/CRED | Monto=226,56 | Fecha: 22/04/2026</t>
        </is>
      </c>
    </row>
    <row r="389">
      <c r="A389" s="8" t="inlineStr">
        <is>
          <t>PEND-7D94FC8A8236-A001</t>
        </is>
      </c>
      <c r="B389" s="8" t="inlineStr">
        <is>
          <t>ABIERTO_NUEVO</t>
        </is>
      </c>
      <c r="C389" s="8" t="inlineStr">
        <is>
          <t>Banco egreso no Flexxus</t>
        </is>
      </c>
      <c r="D389" s="8" t="inlineStr">
        <is>
          <t>22/04/2026</t>
        </is>
      </c>
      <c r="E389" s="8" t="inlineStr">
        <is>
          <t>29841670</t>
        </is>
      </c>
      <c r="F389" s="8" t="inlineStr">
        <is>
          <t>INGRESOS BRUTOS MENDOZA</t>
        </is>
      </c>
      <c r="G389" s="8" t="inlineStr">
        <is>
          <t>Retención Ingresos Brutos Mendoza</t>
        </is>
      </c>
      <c r="H389" s="8" t="inlineStr">
        <is>
          <t>Retención de Ingresos Brutos</t>
        </is>
      </c>
      <c r="I389" s="9" t="n">
        <v>377.59</v>
      </c>
      <c r="J389" s="9" t="inlineStr"/>
      <c r="K389" s="8" t="inlineStr">
        <is>
          <t>Copiar en Flexxus: Tipo=MB-EXT | Movimiento=INGRESOS BRUTOS MENDOZA | Monto=377,59 | Fecha: 22/04/2026</t>
        </is>
      </c>
    </row>
    <row r="390">
      <c r="A390" s="8" t="inlineStr">
        <is>
          <t>PEND-D3D7C169449B-A001</t>
        </is>
      </c>
      <c r="B390" s="8" t="inlineStr">
        <is>
          <t>ABIERTO_NUEVO</t>
        </is>
      </c>
      <c r="C390" s="8" t="inlineStr">
        <is>
          <t>Banco egreso no Flexxus</t>
        </is>
      </c>
      <c r="D390" s="8" t="inlineStr">
        <is>
          <t>22/04/2026</t>
        </is>
      </c>
      <c r="E390" s="8" t="inlineStr">
        <is>
          <t>29841670</t>
        </is>
      </c>
      <c r="F390" s="8" t="inlineStr">
        <is>
          <t>GRAVAMEN LEY 25413 S/CRED</t>
        </is>
      </c>
      <c r="G390" s="8" t="inlineStr">
        <is>
          <t>Anticipo Ganancias Ley 25.413 créditos</t>
        </is>
      </c>
      <c r="H390" s="8" t="inlineStr">
        <is>
          <t>Anticipo Impuesto a las Ganancias</t>
        </is>
      </c>
      <c r="I390" s="9" t="n">
        <v>226.56</v>
      </c>
      <c r="J390" s="9" t="inlineStr"/>
      <c r="K390" s="8" t="inlineStr">
        <is>
          <t>Copiar en Flexxus: Tipo=MB-EXT | Movimiento=GRAVAMEN LEY 25.413 S/CRED | Monto=226,56 | Fecha: 22/04/2026</t>
        </is>
      </c>
    </row>
    <row r="391">
      <c r="A391" s="8" t="inlineStr">
        <is>
          <t>PEND-09EE1E37EA1E-A001</t>
        </is>
      </c>
      <c r="B391" s="8" t="inlineStr">
        <is>
          <t>ABIERTO_NUEVO</t>
        </is>
      </c>
      <c r="C391" s="8" t="inlineStr">
        <is>
          <t>Banco egreso no Flexxus</t>
        </is>
      </c>
      <c r="D391" s="8" t="inlineStr">
        <is>
          <t>22/04/2026</t>
        </is>
      </c>
      <c r="E391" s="8" t="inlineStr">
        <is>
          <t>29841642</t>
        </is>
      </c>
      <c r="F391" s="8" t="inlineStr">
        <is>
          <t>INGRESOS BRUTOS MENDOZA</t>
        </is>
      </c>
      <c r="G391" s="8" t="inlineStr">
        <is>
          <t>Retención Ingresos Brutos Mendoza</t>
        </is>
      </c>
      <c r="H391" s="8" t="inlineStr">
        <is>
          <t>Retención de Ingresos Brutos</t>
        </is>
      </c>
      <c r="I391" s="9" t="n">
        <v>420.83</v>
      </c>
      <c r="J391" s="9" t="inlineStr"/>
      <c r="K391" s="8" t="inlineStr">
        <is>
          <t>Copiar en Flexxus: Tipo=MB-EXT | Movimiento=INGRESOS BRUTOS MENDOZA | Monto=420,83 | Fecha: 22/04/2026</t>
        </is>
      </c>
    </row>
    <row r="392">
      <c r="A392" s="8" t="inlineStr">
        <is>
          <t>PEND-7F13D5D9E845-A001</t>
        </is>
      </c>
      <c r="B392" s="8" t="inlineStr">
        <is>
          <t>ABIERTO_NUEVO</t>
        </is>
      </c>
      <c r="C392" s="8" t="inlineStr">
        <is>
          <t>Banco egreso no Flexxus</t>
        </is>
      </c>
      <c r="D392" s="8" t="inlineStr">
        <is>
          <t>22/04/2026</t>
        </is>
      </c>
      <c r="E392" s="8" t="inlineStr">
        <is>
          <t>29841642</t>
        </is>
      </c>
      <c r="F392" s="8" t="inlineStr">
        <is>
          <t>GRAVAMEN LEY 25413 S/CRED</t>
        </is>
      </c>
      <c r="G392" s="8" t="inlineStr">
        <is>
          <t>Anticipo Ganancias Ley 25.413 créditos</t>
        </is>
      </c>
      <c r="H392" s="8" t="inlineStr">
        <is>
          <t>Anticipo Impuesto a las Ganancias</t>
        </is>
      </c>
      <c r="I392" s="9" t="n">
        <v>252.5</v>
      </c>
      <c r="J392" s="9" t="inlineStr"/>
      <c r="K392" s="8" t="inlineStr">
        <is>
          <t>Copiar en Flexxus: Tipo=MB-EXT | Movimiento=GRAVAMEN LEY 25.413 S/CRED | Monto=252,50 | Fecha: 22/04/2026</t>
        </is>
      </c>
    </row>
    <row r="393">
      <c r="A393" s="8" t="inlineStr">
        <is>
          <t>PEND-4C1531C052B9-A001</t>
        </is>
      </c>
      <c r="B393" s="8" t="inlineStr">
        <is>
          <t>ABIERTO_NUEVO</t>
        </is>
      </c>
      <c r="C393" s="8" t="inlineStr">
        <is>
          <t>Banco egreso no Flexxus</t>
        </is>
      </c>
      <c r="D393" s="8" t="inlineStr">
        <is>
          <t>22/04/2026</t>
        </is>
      </c>
      <c r="E393" s="8" t="inlineStr">
        <is>
          <t>32032899</t>
        </is>
      </c>
      <c r="F393" s="8" t="inlineStr">
        <is>
          <t>INGRESOS BRUTOS MENDOZA</t>
        </is>
      </c>
      <c r="G393" s="8" t="inlineStr">
        <is>
          <t>Retención Ingresos Brutos Mendoza</t>
        </is>
      </c>
      <c r="H393" s="8" t="inlineStr">
        <is>
          <t>Retención de Ingresos Brutos</t>
        </is>
      </c>
      <c r="I393" s="9" t="n">
        <v>1142.91</v>
      </c>
      <c r="J393" s="9" t="inlineStr"/>
      <c r="K393" s="8" t="inlineStr">
        <is>
          <t>Copiar en Flexxus: Tipo=MB-EXT | Movimiento=INGRESOS BRUTOS MENDOZA | Monto=1.142,91 | Fecha: 22/04/2026</t>
        </is>
      </c>
    </row>
    <row r="394">
      <c r="A394" s="8" t="inlineStr">
        <is>
          <t>PEND-9509AB658E21-A001</t>
        </is>
      </c>
      <c r="B394" s="8" t="inlineStr">
        <is>
          <t>ABIERTO_NUEVO</t>
        </is>
      </c>
      <c r="C394" s="8" t="inlineStr">
        <is>
          <t>Banco egreso no Flexxus</t>
        </is>
      </c>
      <c r="D394" s="8" t="inlineStr">
        <is>
          <t>22/04/2026</t>
        </is>
      </c>
      <c r="E394" s="8" t="inlineStr">
        <is>
          <t>32032899</t>
        </is>
      </c>
      <c r="F394" s="8" t="inlineStr">
        <is>
          <t>GRAVAMEN LEY 25413 S/CRED</t>
        </is>
      </c>
      <c r="G394" s="8" t="inlineStr">
        <is>
          <t>Anticipo Ganancias Ley 25.413 créditos</t>
        </is>
      </c>
      <c r="H394" s="8" t="inlineStr">
        <is>
          <t>Anticipo Impuesto a las Ganancias</t>
        </is>
      </c>
      <c r="I394" s="9" t="n">
        <v>685.74</v>
      </c>
      <c r="J394" s="9" t="inlineStr"/>
      <c r="K394" s="8" t="inlineStr">
        <is>
          <t>Copiar en Flexxus: Tipo=MB-EXT | Movimiento=GRAVAMEN LEY 25.413 S/CRED | Monto=685,74 | Fecha: 22/04/2026</t>
        </is>
      </c>
    </row>
    <row r="395">
      <c r="A395" s="8" t="inlineStr">
        <is>
          <t>PEND-FDF212A88B78-A001</t>
        </is>
      </c>
      <c r="B395" s="8" t="inlineStr">
        <is>
          <t>ABIERTO_NUEVO</t>
        </is>
      </c>
      <c r="C395" s="8" t="inlineStr">
        <is>
          <t>Banco egreso no Flexxus</t>
        </is>
      </c>
      <c r="D395" s="8" t="inlineStr">
        <is>
          <t>22/04/2026</t>
        </is>
      </c>
      <c r="E395" s="8" t="inlineStr">
        <is>
          <t>32032899</t>
        </is>
      </c>
      <c r="F395" s="8" t="inlineStr">
        <is>
          <t>INGRESOS BRUTOS MENDOZA</t>
        </is>
      </c>
      <c r="G395" s="8" t="inlineStr">
        <is>
          <t>Retención Ingresos Brutos Mendoza</t>
        </is>
      </c>
      <c r="H395" s="8" t="inlineStr">
        <is>
          <t>Retención de Ingresos Brutos</t>
        </is>
      </c>
      <c r="I395" s="9" t="n">
        <v>1114.56</v>
      </c>
      <c r="J395" s="9" t="inlineStr"/>
      <c r="K395" s="8" t="inlineStr">
        <is>
          <t>Copiar en Flexxus: Tipo=MB-EXT | Movimiento=INGRESOS BRUTOS MENDOZA | Monto=1.114,56 | Fecha: 22/04/2026</t>
        </is>
      </c>
    </row>
    <row r="396">
      <c r="A396" s="8" t="inlineStr">
        <is>
          <t>PEND-DD654C9B3F4C-A001</t>
        </is>
      </c>
      <c r="B396" s="8" t="inlineStr">
        <is>
          <t>ABIERTO_NUEVO</t>
        </is>
      </c>
      <c r="C396" s="8" t="inlineStr">
        <is>
          <t>Banco egreso no Flexxus</t>
        </is>
      </c>
      <c r="D396" s="8" t="inlineStr">
        <is>
          <t>22/04/2026</t>
        </is>
      </c>
      <c r="E396" s="8" t="inlineStr">
        <is>
          <t>32032899</t>
        </is>
      </c>
      <c r="F396" s="8" t="inlineStr">
        <is>
          <t>GRAVAMEN LEY 25413 S/CRED</t>
        </is>
      </c>
      <c r="G396" s="8" t="inlineStr">
        <is>
          <t>Anticipo Ganancias Ley 25.413 créditos</t>
        </is>
      </c>
      <c r="H396" s="8" t="inlineStr">
        <is>
          <t>Anticipo Impuesto a las Ganancias</t>
        </is>
      </c>
      <c r="I396" s="9" t="n">
        <v>668.73</v>
      </c>
      <c r="J396" s="9" t="inlineStr"/>
      <c r="K396" s="8" t="inlineStr">
        <is>
          <t>Copiar en Flexxus: Tipo=MB-EXT | Movimiento=GRAVAMEN LEY 25.413 S/CRED | Monto=668,73 | Fecha: 22/04/2026</t>
        </is>
      </c>
    </row>
    <row r="397">
      <c r="A397" s="8" t="inlineStr">
        <is>
          <t>PEND-A97F99388C9D-A001</t>
        </is>
      </c>
      <c r="B397" s="8" t="inlineStr">
        <is>
          <t>ABIERTO_NUEVO</t>
        </is>
      </c>
      <c r="C397" s="8" t="inlineStr">
        <is>
          <t>Banco egreso no Flexxus</t>
        </is>
      </c>
      <c r="D397" s="8" t="inlineStr">
        <is>
          <t>22/04/2026</t>
        </is>
      </c>
      <c r="E397" s="8" t="inlineStr">
        <is>
          <t>31995644</t>
        </is>
      </c>
      <c r="F397" s="8" t="inlineStr">
        <is>
          <t>INGRESOS BRUTOS MENDOZA</t>
        </is>
      </c>
      <c r="G397" s="8" t="inlineStr">
        <is>
          <t>Retención Ingresos Brutos Mendoza</t>
        </is>
      </c>
      <c r="H397" s="8" t="inlineStr">
        <is>
          <t>Retención de Ingresos Brutos</t>
        </is>
      </c>
      <c r="I397" s="9" t="n">
        <v>7855.66</v>
      </c>
      <c r="J397" s="9" t="inlineStr"/>
      <c r="K397" s="8" t="inlineStr">
        <is>
          <t>Copiar en Flexxus: Tipo=MB-EXT | Movimiento=INGRESOS BRUTOS MENDOZA | Monto=7.855,66 | Fecha: 22/04/2026</t>
        </is>
      </c>
    </row>
    <row r="398">
      <c r="A398" s="8" t="inlineStr">
        <is>
          <t>PEND-4ACF92032F3B-A001</t>
        </is>
      </c>
      <c r="B398" s="8" t="inlineStr">
        <is>
          <t>ABIERTO_NUEVO</t>
        </is>
      </c>
      <c r="C398" s="8" t="inlineStr">
        <is>
          <t>Banco egreso no Flexxus</t>
        </is>
      </c>
      <c r="D398" s="8" t="inlineStr">
        <is>
          <t>22/04/2026</t>
        </is>
      </c>
      <c r="E398" s="8" t="inlineStr">
        <is>
          <t>31995644</t>
        </is>
      </c>
      <c r="F398" s="8" t="inlineStr">
        <is>
          <t>GRAVAMEN LEY 25413 S/CRED</t>
        </is>
      </c>
      <c r="G398" s="8" t="inlineStr">
        <is>
          <t>Anticipo Ganancias Ley 25.413 créditos</t>
        </is>
      </c>
      <c r="H398" s="8" t="inlineStr">
        <is>
          <t>Anticipo Impuesto a las Ganancias</t>
        </is>
      </c>
      <c r="I398" s="9" t="n">
        <v>4713.4</v>
      </c>
      <c r="J398" s="9" t="inlineStr"/>
      <c r="K398" s="8" t="inlineStr">
        <is>
          <t>Copiar en Flexxus: Tipo=MB-EXT | Movimiento=GRAVAMEN LEY 25.413 S/CRED | Monto=4.713,40 | Fecha: 22/04/2026</t>
        </is>
      </c>
    </row>
    <row r="399">
      <c r="A399" s="8" t="inlineStr">
        <is>
          <t>PEND-10B7D18A0EE9-A001</t>
        </is>
      </c>
      <c r="B399" s="8" t="inlineStr">
        <is>
          <t>ABIERTO_NUEVO</t>
        </is>
      </c>
      <c r="C399" s="8" t="inlineStr">
        <is>
          <t>Banco egreso no Flexxus</t>
        </is>
      </c>
      <c r="D399" s="8" t="inlineStr">
        <is>
          <t>22/04/2026</t>
        </is>
      </c>
      <c r="E399" s="8" t="inlineStr">
        <is>
          <t>31995644</t>
        </is>
      </c>
      <c r="F399" s="8" t="inlineStr">
        <is>
          <t>INGRESOS BRUTOS MENDOZA</t>
        </is>
      </c>
      <c r="G399" s="8" t="inlineStr">
        <is>
          <t>Retención Ingresos Brutos Mendoza</t>
        </is>
      </c>
      <c r="H399" s="8" t="inlineStr">
        <is>
          <t>Retención de Ingresos Brutos</t>
        </is>
      </c>
      <c r="I399" s="9" t="n">
        <v>17542.51</v>
      </c>
      <c r="J399" s="9" t="inlineStr"/>
      <c r="K399" s="8" t="inlineStr">
        <is>
          <t>Copiar en Flexxus: Tipo=MB-EXT | Movimiento=INGRESOS BRUTOS MENDOZA | Monto=17.542,51 | Fecha: 22/04/2026</t>
        </is>
      </c>
    </row>
    <row r="400">
      <c r="A400" s="8" t="inlineStr">
        <is>
          <t>PEND-53CF6200DBF2-A001</t>
        </is>
      </c>
      <c r="B400" s="8" t="inlineStr">
        <is>
          <t>ABIERTO_NUEVO</t>
        </is>
      </c>
      <c r="C400" s="8" t="inlineStr">
        <is>
          <t>Banco egreso no Flexxus</t>
        </is>
      </c>
      <c r="D400" s="8" t="inlineStr">
        <is>
          <t>22/04/2026</t>
        </is>
      </c>
      <c r="E400" s="8" t="inlineStr">
        <is>
          <t>31995644</t>
        </is>
      </c>
      <c r="F400" s="8" t="inlineStr">
        <is>
          <t>GRAVAMEN LEY 25413 S/CRED</t>
        </is>
      </c>
      <c r="G400" s="8" t="inlineStr">
        <is>
          <t>Anticipo Ganancias Ley 25.413 créditos</t>
        </is>
      </c>
      <c r="H400" s="8" t="inlineStr">
        <is>
          <t>Anticipo Impuesto a las Ganancias</t>
        </is>
      </c>
      <c r="I400" s="9" t="n">
        <v>10525.51</v>
      </c>
      <c r="J400" s="9" t="inlineStr"/>
      <c r="K400" s="8" t="inlineStr">
        <is>
          <t>Copiar en Flexxus: Tipo=MB-EXT | Movimiento=GRAVAMEN LEY 25.413 S/CRED | Monto=10.525,51 | Fecha: 22/04/2026</t>
        </is>
      </c>
    </row>
    <row r="401">
      <c r="A401" s="8" t="inlineStr">
        <is>
          <t>PEND-D467E4759175-A001</t>
        </is>
      </c>
      <c r="B401" s="8" t="inlineStr">
        <is>
          <t>ABIERTO_NUEVO</t>
        </is>
      </c>
      <c r="C401" s="8" t="inlineStr">
        <is>
          <t>Banco egreso no Flexxus</t>
        </is>
      </c>
      <c r="D401" s="8" t="inlineStr">
        <is>
          <t>22/04/2026</t>
        </is>
      </c>
      <c r="E401" s="8" t="inlineStr">
        <is>
          <t>29841705</t>
        </is>
      </c>
      <c r="F401" s="8" t="inlineStr">
        <is>
          <t>INGRESOS BRUTOS MENDOZA</t>
        </is>
      </c>
      <c r="G401" s="8" t="inlineStr">
        <is>
          <t>Retención Ingresos Brutos Mendoza</t>
        </is>
      </c>
      <c r="H401" s="8" t="inlineStr">
        <is>
          <t>Retención de Ingresos Brutos</t>
        </is>
      </c>
      <c r="I401" s="9" t="n">
        <v>1307.16</v>
      </c>
      <c r="J401" s="9" t="inlineStr"/>
      <c r="K401" s="8" t="inlineStr">
        <is>
          <t>Copiar en Flexxus: Tipo=MB-EXT | Movimiento=INGRESOS BRUTOS MENDOZA | Monto=1.307,16 | Fecha: 22/04/2026</t>
        </is>
      </c>
    </row>
    <row r="402">
      <c r="A402" s="8" t="inlineStr">
        <is>
          <t>PEND-F06EE74BF520-A001</t>
        </is>
      </c>
      <c r="B402" s="8" t="inlineStr">
        <is>
          <t>ABIERTO_NUEVO</t>
        </is>
      </c>
      <c r="C402" s="8" t="inlineStr">
        <is>
          <t>Banco egreso no Flexxus</t>
        </is>
      </c>
      <c r="D402" s="8" t="inlineStr">
        <is>
          <t>22/04/2026</t>
        </is>
      </c>
      <c r="E402" s="8" t="inlineStr">
        <is>
          <t>29841705</t>
        </is>
      </c>
      <c r="F402" s="8" t="inlineStr">
        <is>
          <t>GRAVAMEN LEY 25413 S/CRED</t>
        </is>
      </c>
      <c r="G402" s="8" t="inlineStr">
        <is>
          <t>Anticipo Ganancias Ley 25.413 créditos</t>
        </is>
      </c>
      <c r="H402" s="8" t="inlineStr">
        <is>
          <t>Anticipo Impuesto a las Ganancias</t>
        </is>
      </c>
      <c r="I402" s="9" t="n">
        <v>784.29</v>
      </c>
      <c r="J402" s="9" t="inlineStr"/>
      <c r="K402" s="8" t="inlineStr">
        <is>
          <t>Copiar en Flexxus: Tipo=MB-EXT | Movimiento=GRAVAMEN LEY 25.413 S/CRED | Monto=784,29 | Fecha: 22/04/2026</t>
        </is>
      </c>
    </row>
    <row r="403">
      <c r="A403" s="8" t="inlineStr">
        <is>
          <t>PEND-133C9779D723-A001</t>
        </is>
      </c>
      <c r="B403" s="8" t="inlineStr">
        <is>
          <t>ABIERTO_NUEVO</t>
        </is>
      </c>
      <c r="C403" s="8" t="inlineStr">
        <is>
          <t>Banco egreso no Flexxus</t>
        </is>
      </c>
      <c r="D403" s="8" t="inlineStr">
        <is>
          <t>22/04/2026</t>
        </is>
      </c>
      <c r="E403" s="8" t="inlineStr">
        <is>
          <t>29841705</t>
        </is>
      </c>
      <c r="F403" s="8" t="inlineStr">
        <is>
          <t>INGRESOS BRUTOS MENDOZA</t>
        </is>
      </c>
      <c r="G403" s="8" t="inlineStr">
        <is>
          <t>Retención Ingresos Brutos Mendoza</t>
        </is>
      </c>
      <c r="H403" s="8" t="inlineStr">
        <is>
          <t>Retención de Ingresos Brutos</t>
        </is>
      </c>
      <c r="I403" s="9" t="n">
        <v>428.46</v>
      </c>
      <c r="J403" s="9" t="inlineStr"/>
      <c r="K403" s="8" t="inlineStr">
        <is>
          <t>Copiar en Flexxus: Tipo=MB-EXT | Movimiento=INGRESOS BRUTOS MENDOZA | Monto=428,46 | Fecha: 22/04/2026</t>
        </is>
      </c>
    </row>
    <row r="404">
      <c r="A404" s="8" t="inlineStr">
        <is>
          <t>PEND-5822DF3C2709-A001</t>
        </is>
      </c>
      <c r="B404" s="8" t="inlineStr">
        <is>
          <t>ABIERTO_NUEVO</t>
        </is>
      </c>
      <c r="C404" s="8" t="inlineStr">
        <is>
          <t>Banco egreso no Flexxus</t>
        </is>
      </c>
      <c r="D404" s="8" t="inlineStr">
        <is>
          <t>22/04/2026</t>
        </is>
      </c>
      <c r="E404" s="8" t="inlineStr">
        <is>
          <t>29841705</t>
        </is>
      </c>
      <c r="F404" s="8" t="inlineStr">
        <is>
          <t>GRAVAMEN LEY 25413 S/CRED</t>
        </is>
      </c>
      <c r="G404" s="8" t="inlineStr">
        <is>
          <t>Anticipo Ganancias Ley 25.413 créditos</t>
        </is>
      </c>
      <c r="H404" s="8" t="inlineStr">
        <is>
          <t>Anticipo Impuesto a las Ganancias</t>
        </is>
      </c>
      <c r="I404" s="9" t="n">
        <v>257.08</v>
      </c>
      <c r="J404" s="9" t="inlineStr"/>
      <c r="K404" s="8" t="inlineStr">
        <is>
          <t>Copiar en Flexxus: Tipo=MB-EXT | Movimiento=GRAVAMEN LEY 25.413 S/CRED | Monto=257,08 | Fecha: 22/04/2026</t>
        </is>
      </c>
    </row>
    <row r="405">
      <c r="A405" s="8" t="inlineStr">
        <is>
          <t>PEND-610366CDDE9F-A001</t>
        </is>
      </c>
      <c r="B405" s="8" t="inlineStr">
        <is>
          <t>ABIERTO_NUEVO</t>
        </is>
      </c>
      <c r="C405" s="8" t="inlineStr">
        <is>
          <t>Banco egreso no Flexxus</t>
        </is>
      </c>
      <c r="D405" s="8" t="inlineStr">
        <is>
          <t>22/04/2026</t>
        </is>
      </c>
      <c r="E405" s="8" t="inlineStr">
        <is>
          <t>29841683</t>
        </is>
      </c>
      <c r="F405" s="8" t="inlineStr">
        <is>
          <t>INGRESOS BRUTOS MENDOZA</t>
        </is>
      </c>
      <c r="G405" s="8" t="inlineStr">
        <is>
          <t>Retención Ingresos Brutos Mendoza</t>
        </is>
      </c>
      <c r="H405" s="8" t="inlineStr">
        <is>
          <t>Retención de Ingresos Brutos</t>
        </is>
      </c>
      <c r="I405" s="9" t="n">
        <v>1250.65</v>
      </c>
      <c r="J405" s="9" t="inlineStr"/>
      <c r="K405" s="8" t="inlineStr">
        <is>
          <t>Copiar en Flexxus: Tipo=MB-EXT | Movimiento=INGRESOS BRUTOS MENDOZA | Monto=1.250,65 | Fecha: 22/04/2026</t>
        </is>
      </c>
    </row>
    <row r="406">
      <c r="A406" s="8" t="inlineStr">
        <is>
          <t>PEND-C769A76AEBB9-A001</t>
        </is>
      </c>
      <c r="B406" s="8" t="inlineStr">
        <is>
          <t>ABIERTO_NUEVO</t>
        </is>
      </c>
      <c r="C406" s="8" t="inlineStr">
        <is>
          <t>Banco egreso no Flexxus</t>
        </is>
      </c>
      <c r="D406" s="8" t="inlineStr">
        <is>
          <t>22/04/2026</t>
        </is>
      </c>
      <c r="E406" s="8" t="inlineStr">
        <is>
          <t>29841683</t>
        </is>
      </c>
      <c r="F406" s="8" t="inlineStr">
        <is>
          <t>GRAVAMEN LEY 25413 S/CRED</t>
        </is>
      </c>
      <c r="G406" s="8" t="inlineStr">
        <is>
          <t>Anticipo Ganancias Ley 25.413 créditos</t>
        </is>
      </c>
      <c r="H406" s="8" t="inlineStr">
        <is>
          <t>Anticipo Impuesto a las Ganancias</t>
        </is>
      </c>
      <c r="I406" s="9" t="n">
        <v>750.39</v>
      </c>
      <c r="J406" s="9" t="inlineStr"/>
      <c r="K406" s="8" t="inlineStr">
        <is>
          <t>Copiar en Flexxus: Tipo=MB-EXT | Movimiento=GRAVAMEN LEY 25.413 S/CRED | Monto=750,39 | Fecha: 22/04/2026</t>
        </is>
      </c>
    </row>
    <row r="407">
      <c r="A407" s="8" t="inlineStr">
        <is>
          <t>PEND-065DFF257515-A001</t>
        </is>
      </c>
      <c r="B407" s="8" t="inlineStr">
        <is>
          <t>ABIERTO_NUEVO</t>
        </is>
      </c>
      <c r="C407" s="8" t="inlineStr">
        <is>
          <t>Banco egreso no Flexxus</t>
        </is>
      </c>
      <c r="D407" s="8" t="inlineStr">
        <is>
          <t>22/04/2026</t>
        </is>
      </c>
      <c r="E407" s="8" t="inlineStr">
        <is>
          <t>29841642</t>
        </is>
      </c>
      <c r="F407" s="8" t="inlineStr">
        <is>
          <t>INGRESOS BRUTOS MENDOZA</t>
        </is>
      </c>
      <c r="G407" s="8" t="inlineStr">
        <is>
          <t>Retención Ingresos Brutos Mendoza</t>
        </is>
      </c>
      <c r="H407" s="8" t="inlineStr">
        <is>
          <t>Retención de Ingresos Brutos</t>
        </is>
      </c>
      <c r="I407" s="9" t="n">
        <v>666.17</v>
      </c>
      <c r="J407" s="9" t="inlineStr"/>
      <c r="K407" s="8" t="inlineStr">
        <is>
          <t>Copiar en Flexxus: Tipo=MB-EXT | Movimiento=INGRESOS BRUTOS MENDOZA | Monto=666,17 | Fecha: 22/04/2026</t>
        </is>
      </c>
    </row>
    <row r="408">
      <c r="A408" s="8" t="inlineStr">
        <is>
          <t>PEND-548FE40C39FB-A001</t>
        </is>
      </c>
      <c r="B408" s="8" t="inlineStr">
        <is>
          <t>ABIERTO_NUEVO</t>
        </is>
      </c>
      <c r="C408" s="8" t="inlineStr">
        <is>
          <t>Banco egreso no Flexxus</t>
        </is>
      </c>
      <c r="D408" s="8" t="inlineStr">
        <is>
          <t>22/04/2026</t>
        </is>
      </c>
      <c r="E408" s="8" t="inlineStr">
        <is>
          <t>29841642</t>
        </is>
      </c>
      <c r="F408" s="8" t="inlineStr">
        <is>
          <t>GRAVAMEN LEY 25413 S/CRED</t>
        </is>
      </c>
      <c r="G408" s="8" t="inlineStr">
        <is>
          <t>Anticipo Ganancias Ley 25.413 créditos</t>
        </is>
      </c>
      <c r="H408" s="8" t="inlineStr">
        <is>
          <t>Anticipo Impuesto a las Ganancias</t>
        </is>
      </c>
      <c r="I408" s="9" t="n">
        <v>399.7</v>
      </c>
      <c r="J408" s="9" t="inlineStr"/>
      <c r="K408" s="8" t="inlineStr">
        <is>
          <t>Copiar en Flexxus: Tipo=MB-EXT | Movimiento=GRAVAMEN LEY 25.413 S/CRED | Monto=399,70 | Fecha: 22/04/2026</t>
        </is>
      </c>
    </row>
    <row r="409">
      <c r="A409" s="8" t="inlineStr">
        <is>
          <t>PEND-69330B526409-A001</t>
        </is>
      </c>
      <c r="B409" s="8" t="inlineStr">
        <is>
          <t>ABIERTO_NUEVO</t>
        </is>
      </c>
      <c r="C409" s="8" t="inlineStr">
        <is>
          <t>Banco egreso no Flexxus</t>
        </is>
      </c>
      <c r="D409" s="8" t="inlineStr">
        <is>
          <t>22/04/2026</t>
        </is>
      </c>
      <c r="E409" s="8" t="inlineStr">
        <is>
          <t>29841627</t>
        </is>
      </c>
      <c r="F409" s="8" t="inlineStr">
        <is>
          <t>INGRESOS BRUTOS MENDOZA</t>
        </is>
      </c>
      <c r="G409" s="8" t="inlineStr">
        <is>
          <t>Retención Ingresos Brutos Mendoza</t>
        </is>
      </c>
      <c r="H409" s="8" t="inlineStr">
        <is>
          <t>Retención de Ingresos Brutos</t>
        </is>
      </c>
      <c r="I409" s="9" t="n">
        <v>132.06</v>
      </c>
      <c r="J409" s="9" t="inlineStr"/>
      <c r="K409" s="8" t="inlineStr">
        <is>
          <t>Copiar en Flexxus: Tipo=MB-EXT | Movimiento=INGRESOS BRUTOS MENDOZA | Monto=132,06 | Fecha: 22/04/2026</t>
        </is>
      </c>
    </row>
    <row r="410">
      <c r="A410" s="8" t="inlineStr">
        <is>
          <t>PEND-ADBDB040C673-A001</t>
        </is>
      </c>
      <c r="B410" s="8" t="inlineStr">
        <is>
          <t>ABIERTO_NUEVO</t>
        </is>
      </c>
      <c r="C410" s="8" t="inlineStr">
        <is>
          <t>Banco egreso no Flexxus</t>
        </is>
      </c>
      <c r="D410" s="8" t="inlineStr">
        <is>
          <t>22/04/2026</t>
        </is>
      </c>
      <c r="E410" s="8" t="inlineStr">
        <is>
          <t>29841627</t>
        </is>
      </c>
      <c r="F410" s="8" t="inlineStr">
        <is>
          <t>GRAVAMEN LEY 25413 S/CRED</t>
        </is>
      </c>
      <c r="G410" s="8" t="inlineStr">
        <is>
          <t>Anticipo Ganancias Ley 25.413 créditos</t>
        </is>
      </c>
      <c r="H410" s="8" t="inlineStr">
        <is>
          <t>Anticipo Impuesto a las Ganancias</t>
        </is>
      </c>
      <c r="I410" s="9" t="n">
        <v>79.23999999999999</v>
      </c>
      <c r="J410" s="9" t="inlineStr"/>
      <c r="K410" s="8" t="inlineStr">
        <is>
          <t>Copiar en Flexxus: Tipo=MB-EXT | Movimiento=GRAVAMEN LEY 25.413 S/CRED | Monto=79,24 | Fecha: 22/04/2026</t>
        </is>
      </c>
    </row>
    <row r="411">
      <c r="A411" s="8" t="inlineStr">
        <is>
          <t>PEND-B6DAC574D0D5-A001</t>
        </is>
      </c>
      <c r="B411" s="8" t="inlineStr">
        <is>
          <t>ABIERTO_NUEVO</t>
        </is>
      </c>
      <c r="C411" s="8" t="inlineStr">
        <is>
          <t>Banco egreso no Flexxus</t>
        </is>
      </c>
      <c r="D411" s="8" t="inlineStr">
        <is>
          <t>22/04/2026</t>
        </is>
      </c>
      <c r="E411" s="8" t="inlineStr">
        <is>
          <t>32032899</t>
        </is>
      </c>
      <c r="F411" s="8" t="inlineStr">
        <is>
          <t>INGRESOS BRUTOS MENDOZA</t>
        </is>
      </c>
      <c r="G411" s="8" t="inlineStr">
        <is>
          <t>Retención Ingresos Brutos Mendoza</t>
        </is>
      </c>
      <c r="H411" s="8" t="inlineStr">
        <is>
          <t>Retención de Ingresos Brutos</t>
        </is>
      </c>
      <c r="I411" s="9" t="n">
        <v>1960.25</v>
      </c>
      <c r="J411" s="9" t="inlineStr"/>
      <c r="K411" s="8" t="inlineStr">
        <is>
          <t>Copiar en Flexxus: Tipo=MB-EXT | Movimiento=INGRESOS BRUTOS MENDOZA | Monto=1.960,25 | Fecha: 22/04/2026</t>
        </is>
      </c>
    </row>
    <row r="412">
      <c r="A412" s="8" t="inlineStr">
        <is>
          <t>PEND-EFA3C6362B25-A001</t>
        </is>
      </c>
      <c r="B412" s="8" t="inlineStr">
        <is>
          <t>ABIERTO_NUEVO</t>
        </is>
      </c>
      <c r="C412" s="8" t="inlineStr">
        <is>
          <t>Banco egreso no Flexxus</t>
        </is>
      </c>
      <c r="D412" s="8" t="inlineStr">
        <is>
          <t>22/04/2026</t>
        </is>
      </c>
      <c r="E412" s="8" t="inlineStr">
        <is>
          <t>32032899</t>
        </is>
      </c>
      <c r="F412" s="8" t="inlineStr">
        <is>
          <t>GRAVAMEN LEY 25413 S/CRED</t>
        </is>
      </c>
      <c r="G412" s="8" t="inlineStr">
        <is>
          <t>Anticipo Ganancias Ley 25.413 créditos</t>
        </is>
      </c>
      <c r="H412" s="8" t="inlineStr">
        <is>
          <t>Anticipo Impuesto a las Ganancias</t>
        </is>
      </c>
      <c r="I412" s="9" t="n">
        <v>1176.15</v>
      </c>
      <c r="J412" s="9" t="inlineStr"/>
      <c r="K412" s="8" t="inlineStr">
        <is>
          <t>Copiar en Flexxus: Tipo=MB-EXT | Movimiento=GRAVAMEN LEY 25.413 S/CRED | Monto=1.176,15 | Fecha: 22/04/2026</t>
        </is>
      </c>
    </row>
    <row r="413">
      <c r="A413" s="8" t="inlineStr">
        <is>
          <t>PEND-42817DE1340A-A001</t>
        </is>
      </c>
      <c r="B413" s="8" t="inlineStr">
        <is>
          <t>ABIERTO_NUEVO</t>
        </is>
      </c>
      <c r="C413" s="8" t="inlineStr">
        <is>
          <t>Banco egreso no Flexxus</t>
        </is>
      </c>
      <c r="D413" s="8" t="inlineStr">
        <is>
          <t>22/04/2026</t>
        </is>
      </c>
      <c r="E413" s="8" t="inlineStr">
        <is>
          <t>32032899</t>
        </is>
      </c>
      <c r="F413" s="8" t="inlineStr">
        <is>
          <t>INGRESOS BRUTOS MENDOZA</t>
        </is>
      </c>
      <c r="G413" s="8" t="inlineStr">
        <is>
          <t>Retención Ingresos Brutos Mendoza</t>
        </is>
      </c>
      <c r="H413" s="8" t="inlineStr">
        <is>
          <t>Retención de Ingresos Brutos</t>
        </is>
      </c>
      <c r="I413" s="9" t="n">
        <v>1693.34</v>
      </c>
      <c r="J413" s="9" t="inlineStr"/>
      <c r="K413" s="8" t="inlineStr">
        <is>
          <t>Copiar en Flexxus: Tipo=MB-EXT | Movimiento=INGRESOS BRUTOS MENDOZA | Monto=1.693,34 | Fecha: 22/04/2026</t>
        </is>
      </c>
    </row>
    <row r="414">
      <c r="A414" s="8" t="inlineStr">
        <is>
          <t>PEND-090640699836-A001</t>
        </is>
      </c>
      <c r="B414" s="8" t="inlineStr">
        <is>
          <t>ABIERTO_NUEVO</t>
        </is>
      </c>
      <c r="C414" s="8" t="inlineStr">
        <is>
          <t>Banco egreso no Flexxus</t>
        </is>
      </c>
      <c r="D414" s="8" t="inlineStr">
        <is>
          <t>22/04/2026</t>
        </is>
      </c>
      <c r="E414" s="8" t="inlineStr">
        <is>
          <t>32032899</t>
        </is>
      </c>
      <c r="F414" s="8" t="inlineStr">
        <is>
          <t>GRAVAMEN LEY 25413 S/CRED</t>
        </is>
      </c>
      <c r="G414" s="8" t="inlineStr">
        <is>
          <t>Anticipo Ganancias Ley 25.413 créditos</t>
        </is>
      </c>
      <c r="H414" s="8" t="inlineStr">
        <is>
          <t>Anticipo Impuesto a las Ganancias</t>
        </is>
      </c>
      <c r="I414" s="9" t="n">
        <v>1016.01</v>
      </c>
      <c r="J414" s="9" t="inlineStr"/>
      <c r="K414" s="8" t="inlineStr">
        <is>
          <t>Copiar en Flexxus: Tipo=MB-EXT | Movimiento=GRAVAMEN LEY 25.413 S/CRED | Monto=1.016,01 | Fecha: 22/04/2026</t>
        </is>
      </c>
    </row>
    <row r="415">
      <c r="A415" s="8" t="inlineStr">
        <is>
          <t>PEND-42179216B246-A001</t>
        </is>
      </c>
      <c r="B415" s="8" t="inlineStr">
        <is>
          <t>ABIERTO_NUEVO</t>
        </is>
      </c>
      <c r="C415" s="8" t="inlineStr">
        <is>
          <t>Banco egreso no Flexxus</t>
        </is>
      </c>
      <c r="D415" s="8" t="inlineStr">
        <is>
          <t>22/04/2026</t>
        </is>
      </c>
      <c r="E415" s="8" t="inlineStr">
        <is>
          <t>31995644</t>
        </is>
      </c>
      <c r="F415" s="8" t="inlineStr">
        <is>
          <t>INGRESOS BRUTOS MENDOZA</t>
        </is>
      </c>
      <c r="G415" s="8" t="inlineStr">
        <is>
          <t>Retención Ingresos Brutos Mendoza</t>
        </is>
      </c>
      <c r="H415" s="8" t="inlineStr">
        <is>
          <t>Retención de Ingresos Brutos</t>
        </is>
      </c>
      <c r="I415" s="9" t="n">
        <v>336.51</v>
      </c>
      <c r="J415" s="9" t="inlineStr"/>
      <c r="K415" s="8" t="inlineStr">
        <is>
          <t>Copiar en Flexxus: Tipo=MB-EXT | Movimiento=INGRESOS BRUTOS MENDOZA | Monto=336,51 | Fecha: 22/04/2026</t>
        </is>
      </c>
    </row>
    <row r="416">
      <c r="A416" s="8" t="inlineStr">
        <is>
          <t>PEND-40942BED405D-A001</t>
        </is>
      </c>
      <c r="B416" s="8" t="inlineStr">
        <is>
          <t>ABIERTO_NUEVO</t>
        </is>
      </c>
      <c r="C416" s="8" t="inlineStr">
        <is>
          <t>Banco egreso no Flexxus</t>
        </is>
      </c>
      <c r="D416" s="8" t="inlineStr">
        <is>
          <t>22/04/2026</t>
        </is>
      </c>
      <c r="E416" s="8" t="inlineStr">
        <is>
          <t>31995644</t>
        </is>
      </c>
      <c r="F416" s="8" t="inlineStr">
        <is>
          <t>GRAVAMEN LEY 25413 S/CRED</t>
        </is>
      </c>
      <c r="G416" s="8" t="inlineStr">
        <is>
          <t>Anticipo Ganancias Ley 25.413 créditos</t>
        </is>
      </c>
      <c r="H416" s="8" t="inlineStr">
        <is>
          <t>Anticipo Impuesto a las Ganancias</t>
        </is>
      </c>
      <c r="I416" s="9" t="n">
        <v>201.9</v>
      </c>
      <c r="J416" s="9" t="inlineStr"/>
      <c r="K416" s="8" t="inlineStr">
        <is>
          <t>Copiar en Flexxus: Tipo=MB-EXT | Movimiento=GRAVAMEN LEY 25.413 S/CRED | Monto=201,90 | Fecha: 22/04/2026</t>
        </is>
      </c>
    </row>
    <row r="417">
      <c r="A417" s="8" t="inlineStr">
        <is>
          <t>PEND-BD0782EFB5F4-A001</t>
        </is>
      </c>
      <c r="B417" s="8" t="inlineStr">
        <is>
          <t>ABIERTO_NUEVO</t>
        </is>
      </c>
      <c r="C417" s="8" t="inlineStr">
        <is>
          <t>Banco egreso no Flexxus</t>
        </is>
      </c>
      <c r="D417" s="8" t="inlineStr">
        <is>
          <t>22/04/2026</t>
        </is>
      </c>
      <c r="E417" s="8" t="inlineStr">
        <is>
          <t>31995644</t>
        </is>
      </c>
      <c r="F417" s="8" t="inlineStr">
        <is>
          <t>INGRESOS BRUTOS MENDOZA</t>
        </is>
      </c>
      <c r="G417" s="8" t="inlineStr">
        <is>
          <t>Retención Ingresos Brutos Mendoza</t>
        </is>
      </c>
      <c r="H417" s="8" t="inlineStr">
        <is>
          <t>Retención de Ingresos Brutos</t>
        </is>
      </c>
      <c r="I417" s="9" t="n">
        <v>6656.53</v>
      </c>
      <c r="J417" s="9" t="inlineStr"/>
      <c r="K417" s="8" t="inlineStr">
        <is>
          <t>Copiar en Flexxus: Tipo=MB-EXT | Movimiento=INGRESOS BRUTOS MENDOZA | Monto=6.656,53 | Fecha: 22/04/2026</t>
        </is>
      </c>
    </row>
    <row r="418">
      <c r="A418" s="8" t="inlineStr">
        <is>
          <t>PEND-40D55102381C-A001</t>
        </is>
      </c>
      <c r="B418" s="8" t="inlineStr">
        <is>
          <t>ABIERTO_NUEVO</t>
        </is>
      </c>
      <c r="C418" s="8" t="inlineStr">
        <is>
          <t>Banco egreso no Flexxus</t>
        </is>
      </c>
      <c r="D418" s="8" t="inlineStr">
        <is>
          <t>22/04/2026</t>
        </is>
      </c>
      <c r="E418" s="8" t="inlineStr">
        <is>
          <t>31995644</t>
        </is>
      </c>
      <c r="F418" s="8" t="inlineStr">
        <is>
          <t>GRAVAMEN LEY 25413 S/CRED</t>
        </is>
      </c>
      <c r="G418" s="8" t="inlineStr">
        <is>
          <t>Anticipo Ganancias Ley 25.413 créditos</t>
        </is>
      </c>
      <c r="H418" s="8" t="inlineStr">
        <is>
          <t>Anticipo Impuesto a las Ganancias</t>
        </is>
      </c>
      <c r="I418" s="9" t="n">
        <v>3993.92</v>
      </c>
      <c r="J418" s="9" t="inlineStr"/>
      <c r="K418" s="8" t="inlineStr">
        <is>
          <t>Copiar en Flexxus: Tipo=MB-EXT | Movimiento=GRAVAMEN LEY 25.413 S/CRED | Monto=3.993,92 | Fecha: 22/04/2026</t>
        </is>
      </c>
    </row>
    <row r="419">
      <c r="A419" s="8" t="inlineStr">
        <is>
          <t>PEND-87C4021CF8B9-A001</t>
        </is>
      </c>
      <c r="B419" s="8" t="inlineStr">
        <is>
          <t>ABIERTO_NUEVO</t>
        </is>
      </c>
      <c r="C419" s="8" t="inlineStr">
        <is>
          <t>Banco egreso no Flexxus</t>
        </is>
      </c>
      <c r="D419" s="8" t="inlineStr">
        <is>
          <t>22/04/2026</t>
        </is>
      </c>
      <c r="E419" s="8" t="inlineStr">
        <is>
          <t>29841683</t>
        </is>
      </c>
      <c r="F419" s="8" t="inlineStr">
        <is>
          <t>INGRESOS BRUTOS MENDOZA</t>
        </is>
      </c>
      <c r="G419" s="8" t="inlineStr">
        <is>
          <t>Retención Ingresos Brutos Mendoza</t>
        </is>
      </c>
      <c r="H419" s="8" t="inlineStr">
        <is>
          <t>Retención de Ingresos Brutos</t>
        </is>
      </c>
      <c r="I419" s="9" t="n">
        <v>112.5</v>
      </c>
      <c r="J419" s="9" t="inlineStr"/>
      <c r="K419" s="8" t="inlineStr">
        <is>
          <t>Copiar en Flexxus: Tipo=MB-EXT | Movimiento=INGRESOS BRUTOS MENDOZA | Monto=112,50 | Fecha: 22/04/2026</t>
        </is>
      </c>
    </row>
    <row r="420">
      <c r="A420" s="8" t="inlineStr">
        <is>
          <t>PEND-96041E8C3178-A001</t>
        </is>
      </c>
      <c r="B420" s="8" t="inlineStr">
        <is>
          <t>ABIERTO_NUEVO</t>
        </is>
      </c>
      <c r="C420" s="8" t="inlineStr">
        <is>
          <t>Banco egreso no Flexxus</t>
        </is>
      </c>
      <c r="D420" s="8" t="inlineStr">
        <is>
          <t>22/04/2026</t>
        </is>
      </c>
      <c r="E420" s="8" t="inlineStr">
        <is>
          <t>29841683</t>
        </is>
      </c>
      <c r="F420" s="8" t="inlineStr">
        <is>
          <t>GRAVAMEN LEY 25413 S/CRED</t>
        </is>
      </c>
      <c r="G420" s="8" t="inlineStr">
        <is>
          <t>Anticipo Ganancias Ley 25.413 créditos</t>
        </is>
      </c>
      <c r="H420" s="8" t="inlineStr">
        <is>
          <t>Anticipo Impuesto a las Ganancias</t>
        </is>
      </c>
      <c r="I420" s="9" t="n">
        <v>67.5</v>
      </c>
      <c r="J420" s="9" t="inlineStr"/>
      <c r="K420" s="8" t="inlineStr">
        <is>
          <t>Copiar en Flexxus: Tipo=MB-EXT | Movimiento=GRAVAMEN LEY 25.413 S/CRED | Monto=67,50 | Fecha: 22/04/2026</t>
        </is>
      </c>
    </row>
    <row r="421">
      <c r="A421" s="8" t="inlineStr">
        <is>
          <t>PEND-E5919D73E2E6-A001</t>
        </is>
      </c>
      <c r="B421" s="8" t="inlineStr">
        <is>
          <t>ABIERTO_NUEVO</t>
        </is>
      </c>
      <c r="C421" s="8" t="inlineStr">
        <is>
          <t>Banco egreso no Flexxus</t>
        </is>
      </c>
      <c r="D421" s="8" t="inlineStr">
        <is>
          <t>22/04/2026</t>
        </is>
      </c>
      <c r="E421" s="8" t="inlineStr">
        <is>
          <t>29841642</t>
        </is>
      </c>
      <c r="F421" s="8" t="inlineStr">
        <is>
          <t>INGRESOS BRUTOS MENDOZA</t>
        </is>
      </c>
      <c r="G421" s="8" t="inlineStr">
        <is>
          <t>Retención Ingresos Brutos Mendoza</t>
        </is>
      </c>
      <c r="H421" s="8" t="inlineStr">
        <is>
          <t>Retención de Ingresos Brutos</t>
        </is>
      </c>
      <c r="I421" s="9" t="n">
        <v>112.5</v>
      </c>
      <c r="J421" s="9" t="inlineStr"/>
      <c r="K421" s="8" t="inlineStr">
        <is>
          <t>Copiar en Flexxus: Tipo=MB-EXT | Movimiento=INGRESOS BRUTOS MENDOZA | Monto=112,50 | Fecha: 22/04/2026</t>
        </is>
      </c>
    </row>
    <row r="422">
      <c r="A422" s="8" t="inlineStr">
        <is>
          <t>PEND-6ABB4614FF3E-A001</t>
        </is>
      </c>
      <c r="B422" s="8" t="inlineStr">
        <is>
          <t>ABIERTO_NUEVO</t>
        </is>
      </c>
      <c r="C422" s="8" t="inlineStr">
        <is>
          <t>Banco egreso no Flexxus</t>
        </is>
      </c>
      <c r="D422" s="8" t="inlineStr">
        <is>
          <t>22/04/2026</t>
        </is>
      </c>
      <c r="E422" s="8" t="inlineStr">
        <is>
          <t>29841642</t>
        </is>
      </c>
      <c r="F422" s="8" t="inlineStr">
        <is>
          <t>GRAVAMEN LEY 25413 S/CRED</t>
        </is>
      </c>
      <c r="G422" s="8" t="inlineStr">
        <is>
          <t>Anticipo Ganancias Ley 25.413 créditos</t>
        </is>
      </c>
      <c r="H422" s="8" t="inlineStr">
        <is>
          <t>Anticipo Impuesto a las Ganancias</t>
        </is>
      </c>
      <c r="I422" s="9" t="n">
        <v>67.5</v>
      </c>
      <c r="J422" s="9" t="inlineStr"/>
      <c r="K422" s="8" t="inlineStr">
        <is>
          <t>Copiar en Flexxus: Tipo=MB-EXT | Movimiento=GRAVAMEN LEY 25.413 S/CRED | Monto=67,50 | Fecha: 22/04/2026</t>
        </is>
      </c>
    </row>
    <row r="423">
      <c r="A423" s="8" t="inlineStr">
        <is>
          <t>PEND-89D752445193-A001</t>
        </is>
      </c>
      <c r="B423" s="8" t="inlineStr">
        <is>
          <t>ABIERTO_NUEVO</t>
        </is>
      </c>
      <c r="C423" s="8" t="inlineStr">
        <is>
          <t>Banco egreso no Flexxus</t>
        </is>
      </c>
      <c r="D423" s="8" t="inlineStr">
        <is>
          <t>22/04/2026</t>
        </is>
      </c>
      <c r="E423" s="8" t="inlineStr">
        <is>
          <t>108182</t>
        </is>
      </c>
      <c r="F423" s="8" t="inlineStr">
        <is>
          <t>INGRESOS BRUTOS MENDOZA</t>
        </is>
      </c>
      <c r="G423" s="8" t="inlineStr">
        <is>
          <t>Retención Ingresos Brutos Mendoza</t>
        </is>
      </c>
      <c r="H423" s="8" t="inlineStr">
        <is>
          <t>Retención de Ingresos Brutos</t>
        </is>
      </c>
      <c r="I423" s="9" t="n">
        <v>113.89</v>
      </c>
      <c r="J423" s="9" t="inlineStr"/>
      <c r="K423" s="8" t="inlineStr">
        <is>
          <t>Copiar en Flexxus: Tipo=MB-EXT | Movimiento=INGRESOS BRUTOS MENDOZA | Monto=113,89 | Fecha: 22/04/2026</t>
        </is>
      </c>
    </row>
    <row r="424">
      <c r="A424" s="8" t="inlineStr">
        <is>
          <t>PEND-3CA45E62CEA4-A001</t>
        </is>
      </c>
      <c r="B424" s="8" t="inlineStr">
        <is>
          <t>ABIERTO_NUEVO</t>
        </is>
      </c>
      <c r="C424" s="8" t="inlineStr">
        <is>
          <t>Banco egreso no Flexxus</t>
        </is>
      </c>
      <c r="D424" s="8" t="inlineStr">
        <is>
          <t>22/04/2026</t>
        </is>
      </c>
      <c r="E424" s="8" t="inlineStr">
        <is>
          <t>108182</t>
        </is>
      </c>
      <c r="F424" s="8" t="inlineStr">
        <is>
          <t>GRAVAMEN LEY 25413 S/CRED</t>
        </is>
      </c>
      <c r="G424" s="8" t="inlineStr">
        <is>
          <t>Anticipo Ganancias Ley 25.413 créditos</t>
        </is>
      </c>
      <c r="H424" s="8" t="inlineStr">
        <is>
          <t>Anticipo Impuesto a las Ganancias</t>
        </is>
      </c>
      <c r="I424" s="9" t="n">
        <v>68.33</v>
      </c>
      <c r="J424" s="9" t="inlineStr"/>
      <c r="K424" s="8" t="inlineStr">
        <is>
          <t>Copiar en Flexxus: Tipo=MB-EXT | Movimiento=GRAVAMEN LEY 25.413 S/CRED | Monto=68,33 | Fecha: 22/04/2026</t>
        </is>
      </c>
    </row>
    <row r="425">
      <c r="A425" s="8" t="inlineStr">
        <is>
          <t>PEND-2BA303777926-A001</t>
        </is>
      </c>
      <c r="B425" s="8" t="inlineStr">
        <is>
          <t>ABIERTO_NUEVO</t>
        </is>
      </c>
      <c r="C425" s="8" t="inlineStr">
        <is>
          <t>Banco egreso no Flexxus</t>
        </is>
      </c>
      <c r="D425" s="8" t="inlineStr">
        <is>
          <t>22/04/2026</t>
        </is>
      </c>
      <c r="E425" s="8" t="inlineStr">
        <is>
          <t>108181</t>
        </is>
      </c>
      <c r="F425" s="8" t="inlineStr">
        <is>
          <t>INGRESOS BRUTOS MENDOZA</t>
        </is>
      </c>
      <c r="G425" s="8" t="inlineStr">
        <is>
          <t>Retención Ingresos Brutos Mendoza</t>
        </is>
      </c>
      <c r="H425" s="8" t="inlineStr">
        <is>
          <t>Retención de Ingresos Brutos</t>
        </is>
      </c>
      <c r="I425" s="9" t="n">
        <v>207.97</v>
      </c>
      <c r="J425" s="9" t="inlineStr"/>
      <c r="K425" s="8" t="inlineStr">
        <is>
          <t>Copiar en Flexxus: Tipo=MB-EXT | Movimiento=INGRESOS BRUTOS MENDOZA | Monto=207,97 | Fecha: 22/04/2026</t>
        </is>
      </c>
    </row>
    <row r="426">
      <c r="A426" s="8" t="inlineStr">
        <is>
          <t>PEND-676B6F01CAFB-A001</t>
        </is>
      </c>
      <c r="B426" s="8" t="inlineStr">
        <is>
          <t>ABIERTO_NUEVO</t>
        </is>
      </c>
      <c r="C426" s="8" t="inlineStr">
        <is>
          <t>Banco egreso no Flexxus</t>
        </is>
      </c>
      <c r="D426" s="8" t="inlineStr">
        <is>
          <t>22/04/2026</t>
        </is>
      </c>
      <c r="E426" s="8" t="inlineStr">
        <is>
          <t>108181</t>
        </is>
      </c>
      <c r="F426" s="8" t="inlineStr">
        <is>
          <t>GRAVAMEN LEY 25413 S/CRED</t>
        </is>
      </c>
      <c r="G426" s="8" t="inlineStr">
        <is>
          <t>Anticipo Ganancias Ley 25.413 créditos</t>
        </is>
      </c>
      <c r="H426" s="8" t="inlineStr">
        <is>
          <t>Anticipo Impuesto a las Ganancias</t>
        </is>
      </c>
      <c r="I426" s="9" t="n">
        <v>124.78</v>
      </c>
      <c r="J426" s="9" t="inlineStr"/>
      <c r="K426" s="8" t="inlineStr">
        <is>
          <t>Copiar en Flexxus: Tipo=MB-EXT | Movimiento=GRAVAMEN LEY 25.413 S/CRED | Monto=124,78 | Fecha: 22/04/2026</t>
        </is>
      </c>
    </row>
    <row r="427">
      <c r="A427" s="8" t="inlineStr">
        <is>
          <t>PEND-FA3691B35504-A001</t>
        </is>
      </c>
      <c r="B427" s="8" t="inlineStr">
        <is>
          <t>ABIERTO_NUEVO</t>
        </is>
      </c>
      <c r="C427" s="8" t="inlineStr">
        <is>
          <t>Banco egreso no Flexxus</t>
        </is>
      </c>
      <c r="D427" s="8" t="inlineStr">
        <is>
          <t>22/04/2026</t>
        </is>
      </c>
      <c r="E427" s="8" t="inlineStr">
        <is>
          <t>108180</t>
        </is>
      </c>
      <c r="F427" s="8" t="inlineStr">
        <is>
          <t>INGRESOS BRUTOS MENDOZA</t>
        </is>
      </c>
      <c r="G427" s="8" t="inlineStr">
        <is>
          <t>Retención Ingresos Brutos Mendoza</t>
        </is>
      </c>
      <c r="H427" s="8" t="inlineStr">
        <is>
          <t>Retención de Ingresos Brutos</t>
        </is>
      </c>
      <c r="I427" s="9" t="n">
        <v>148.55</v>
      </c>
      <c r="J427" s="9" t="inlineStr"/>
      <c r="K427" s="8" t="inlineStr">
        <is>
          <t>Copiar en Flexxus: Tipo=MB-EXT | Movimiento=INGRESOS BRUTOS MENDOZA | Monto=148,55 | Fecha: 22/04/2026</t>
        </is>
      </c>
    </row>
    <row r="428">
      <c r="A428" s="8" t="inlineStr">
        <is>
          <t>PEND-4B1521086702-A001</t>
        </is>
      </c>
      <c r="B428" s="8" t="inlineStr">
        <is>
          <t>ABIERTO_NUEVO</t>
        </is>
      </c>
      <c r="C428" s="8" t="inlineStr">
        <is>
          <t>Banco egreso no Flexxus</t>
        </is>
      </c>
      <c r="D428" s="8" t="inlineStr">
        <is>
          <t>22/04/2026</t>
        </is>
      </c>
      <c r="E428" s="8" t="inlineStr">
        <is>
          <t>108180</t>
        </is>
      </c>
      <c r="F428" s="8" t="inlineStr">
        <is>
          <t>GRAVAMEN LEY 25413 S/CRED</t>
        </is>
      </c>
      <c r="G428" s="8" t="inlineStr">
        <is>
          <t>Anticipo Ganancias Ley 25.413 créditos</t>
        </is>
      </c>
      <c r="H428" s="8" t="inlineStr">
        <is>
          <t>Anticipo Impuesto a las Ganancias</t>
        </is>
      </c>
      <c r="I428" s="9" t="n">
        <v>89.13</v>
      </c>
      <c r="J428" s="9" t="inlineStr"/>
      <c r="K428" s="8" t="inlineStr">
        <is>
          <t>Copiar en Flexxus: Tipo=MB-EXT | Movimiento=GRAVAMEN LEY 25.413 S/CRED | Monto=89,13 | Fecha: 22/04/2026</t>
        </is>
      </c>
    </row>
    <row r="429">
      <c r="A429" s="8" t="inlineStr">
        <is>
          <t>PEND-977A37A1B4E5-A001</t>
        </is>
      </c>
      <c r="B429" s="8" t="inlineStr">
        <is>
          <t>ABIERTO_NUEVO</t>
        </is>
      </c>
      <c r="C429" s="8" t="inlineStr">
        <is>
          <t>Banco egreso no Flexxus</t>
        </is>
      </c>
      <c r="D429" s="8" t="inlineStr">
        <is>
          <t>22/04/2026</t>
        </is>
      </c>
      <c r="E429" s="8" t="inlineStr">
        <is>
          <t>108179</t>
        </is>
      </c>
      <c r="F429" s="8" t="inlineStr">
        <is>
          <t>INGRESOS BRUTOS MENDOZA</t>
        </is>
      </c>
      <c r="G429" s="8" t="inlineStr">
        <is>
          <t>Retención Ingresos Brutos Mendoza</t>
        </is>
      </c>
      <c r="H429" s="8" t="inlineStr">
        <is>
          <t>Retención de Ingresos Brutos</t>
        </is>
      </c>
      <c r="I429" s="9" t="n">
        <v>413.95</v>
      </c>
      <c r="J429" s="9" t="inlineStr"/>
      <c r="K429" s="8" t="inlineStr">
        <is>
          <t>Copiar en Flexxus: Tipo=MB-EXT | Movimiento=INGRESOS BRUTOS MENDOZA | Monto=413,95 | Fecha: 22/04/2026</t>
        </is>
      </c>
    </row>
    <row r="430">
      <c r="A430" s="8" t="inlineStr">
        <is>
          <t>PEND-3A07904E166F-A001</t>
        </is>
      </c>
      <c r="B430" s="8" t="inlineStr">
        <is>
          <t>ABIERTO_NUEVO</t>
        </is>
      </c>
      <c r="C430" s="8" t="inlineStr">
        <is>
          <t>Banco egreso no Flexxus</t>
        </is>
      </c>
      <c r="D430" s="8" t="inlineStr">
        <is>
          <t>22/04/2026</t>
        </is>
      </c>
      <c r="E430" s="8" t="inlineStr">
        <is>
          <t>108179</t>
        </is>
      </c>
      <c r="F430" s="8" t="inlineStr">
        <is>
          <t>GRAVAMEN LEY 25413 S/CRED</t>
        </is>
      </c>
      <c r="G430" s="8" t="inlineStr">
        <is>
          <t>Anticipo Ganancias Ley 25.413 créditos</t>
        </is>
      </c>
      <c r="H430" s="8" t="inlineStr">
        <is>
          <t>Anticipo Impuesto a las Ganancias</t>
        </is>
      </c>
      <c r="I430" s="9" t="n">
        <v>248.37</v>
      </c>
      <c r="J430" s="9" t="inlineStr"/>
      <c r="K430" s="8" t="inlineStr">
        <is>
          <t>Copiar en Flexxus: Tipo=MB-EXT | Movimiento=GRAVAMEN LEY 25.413 S/CRED | Monto=248,37 | Fecha: 22/04/2026</t>
        </is>
      </c>
    </row>
    <row r="431">
      <c r="A431" s="8" t="inlineStr">
        <is>
          <t>PEND-0112C022B417-A001</t>
        </is>
      </c>
      <c r="B431" s="8" t="inlineStr">
        <is>
          <t>ABIERTO_NUEVO</t>
        </is>
      </c>
      <c r="C431" s="8" t="inlineStr">
        <is>
          <t>Banco egreso no Flexxus</t>
        </is>
      </c>
      <c r="D431" s="8" t="inlineStr">
        <is>
          <t>22/04/2026</t>
        </is>
      </c>
      <c r="E431" s="8" t="inlineStr">
        <is>
          <t>108177</t>
        </is>
      </c>
      <c r="F431" s="8" t="inlineStr">
        <is>
          <t>INGRESOS BRUTOS MENDOZA</t>
        </is>
      </c>
      <c r="G431" s="8" t="inlineStr">
        <is>
          <t>Retención Ingresos Brutos Mendoza</t>
        </is>
      </c>
      <c r="H431" s="8" t="inlineStr">
        <is>
          <t>Retención de Ingresos Brutos</t>
        </is>
      </c>
      <c r="I431" s="9" t="n">
        <v>682.33</v>
      </c>
      <c r="J431" s="9" t="inlineStr"/>
      <c r="K431" s="8" t="inlineStr">
        <is>
          <t>Copiar en Flexxus: Tipo=MB-EXT | Movimiento=INGRESOS BRUTOS MENDOZA | Monto=682,33 | Fecha: 22/04/2026</t>
        </is>
      </c>
    </row>
    <row r="432">
      <c r="A432" s="8" t="inlineStr">
        <is>
          <t>PEND-F15BBFBCBD67-A001</t>
        </is>
      </c>
      <c r="B432" s="8" t="inlineStr">
        <is>
          <t>ABIERTO_NUEVO</t>
        </is>
      </c>
      <c r="C432" s="8" t="inlineStr">
        <is>
          <t>Banco egreso no Flexxus</t>
        </is>
      </c>
      <c r="D432" s="8" t="inlineStr">
        <is>
          <t>22/04/2026</t>
        </is>
      </c>
      <c r="E432" s="8" t="inlineStr">
        <is>
          <t>108177</t>
        </is>
      </c>
      <c r="F432" s="8" t="inlineStr">
        <is>
          <t>GRAVAMEN LEY 25413 S/CRED</t>
        </is>
      </c>
      <c r="G432" s="8" t="inlineStr">
        <is>
          <t>Anticipo Ganancias Ley 25.413 créditos</t>
        </is>
      </c>
      <c r="H432" s="8" t="inlineStr">
        <is>
          <t>Anticipo Impuesto a las Ganancias</t>
        </is>
      </c>
      <c r="I432" s="9" t="n">
        <v>409.4</v>
      </c>
      <c r="J432" s="9" t="inlineStr"/>
      <c r="K432" s="8" t="inlineStr">
        <is>
          <t>Copiar en Flexxus: Tipo=MB-EXT | Movimiento=GRAVAMEN LEY 25.413 S/CRED | Monto=409,40 | Fecha: 22/04/2026</t>
        </is>
      </c>
    </row>
    <row r="433">
      <c r="A433" s="8" t="inlineStr">
        <is>
          <t>PEND-FBEDDC442508-A001</t>
        </is>
      </c>
      <c r="B433" s="8" t="inlineStr">
        <is>
          <t>ABIERTO_NUEVO</t>
        </is>
      </c>
      <c r="C433" s="8" t="inlineStr">
        <is>
          <t>Banco egreso no Flexxus</t>
        </is>
      </c>
      <c r="D433" s="8" t="inlineStr">
        <is>
          <t>22/04/2026</t>
        </is>
      </c>
      <c r="E433" s="8" t="inlineStr">
        <is>
          <t>108176</t>
        </is>
      </c>
      <c r="F433" s="8" t="inlineStr">
        <is>
          <t>INGRESOS BRUTOS MENDOZA</t>
        </is>
      </c>
      <c r="G433" s="8" t="inlineStr">
        <is>
          <t>Retención Ingresos Brutos Mendoza</t>
        </is>
      </c>
      <c r="H433" s="8" t="inlineStr">
        <is>
          <t>Retención de Ingresos Brutos</t>
        </is>
      </c>
      <c r="I433" s="9" t="n">
        <v>401.08</v>
      </c>
      <c r="J433" s="9" t="inlineStr"/>
      <c r="K433" s="8" t="inlineStr">
        <is>
          <t>Copiar en Flexxus: Tipo=MB-EXT | Movimiento=INGRESOS BRUTOS MENDOZA | Monto=401,08 | Fecha: 22/04/2026</t>
        </is>
      </c>
    </row>
    <row r="434">
      <c r="A434" s="8" t="inlineStr">
        <is>
          <t>PEND-837A6A9E0D42-A001</t>
        </is>
      </c>
      <c r="B434" s="8" t="inlineStr">
        <is>
          <t>ABIERTO_NUEVO</t>
        </is>
      </c>
      <c r="C434" s="8" t="inlineStr">
        <is>
          <t>Banco egreso no Flexxus</t>
        </is>
      </c>
      <c r="D434" s="8" t="inlineStr">
        <is>
          <t>22/04/2026</t>
        </is>
      </c>
      <c r="E434" s="8" t="inlineStr">
        <is>
          <t>108176</t>
        </is>
      </c>
      <c r="F434" s="8" t="inlineStr">
        <is>
          <t>GRAVAMEN LEY 25413 S/CRED</t>
        </is>
      </c>
      <c r="G434" s="8" t="inlineStr">
        <is>
          <t>Anticipo Ganancias Ley 25.413 créditos</t>
        </is>
      </c>
      <c r="H434" s="8" t="inlineStr">
        <is>
          <t>Anticipo Impuesto a las Ganancias</t>
        </is>
      </c>
      <c r="I434" s="9" t="n">
        <v>240.65</v>
      </c>
      <c r="J434" s="9" t="inlineStr"/>
      <c r="K434" s="8" t="inlineStr">
        <is>
          <t>Copiar en Flexxus: Tipo=MB-EXT | Movimiento=GRAVAMEN LEY 25.413 S/CRED | Monto=240,65 | Fecha: 22/04/2026</t>
        </is>
      </c>
    </row>
    <row r="435">
      <c r="A435" s="8" t="inlineStr">
        <is>
          <t>PEND-7ED5636D0EFC-A001</t>
        </is>
      </c>
      <c r="B435" s="8" t="inlineStr">
        <is>
          <t>ABIERTO_NUEVO</t>
        </is>
      </c>
      <c r="C435" s="8" t="inlineStr">
        <is>
          <t>Banco egreso no Flexxus</t>
        </is>
      </c>
      <c r="D435" s="8" t="inlineStr">
        <is>
          <t>22/04/2026</t>
        </is>
      </c>
      <c r="E435" s="8" t="inlineStr">
        <is>
          <t>32032899</t>
        </is>
      </c>
      <c r="F435" s="8" t="inlineStr">
        <is>
          <t>DEB LIQ MASTERCARD 24H</t>
        </is>
      </c>
      <c r="G435" s="8" t="inlineStr">
        <is>
          <t>Débito liquidación tarjeta</t>
        </is>
      </c>
      <c r="H435" s="8" t="inlineStr">
        <is>
          <t>Revisar según concepto</t>
        </is>
      </c>
      <c r="I435" s="9" t="n">
        <v>676.01</v>
      </c>
      <c r="J435" s="9" t="inlineStr"/>
      <c r="K435" s="8" t="inlineStr">
        <is>
          <t>Copiar en Flexxus: Tipo=MB-EXT | Movimiento=DEB LIQ MASTERCARD 24H | Monto=676,01 | Fecha: 22/04/2026</t>
        </is>
      </c>
    </row>
    <row r="436">
      <c r="A436" s="8" t="inlineStr">
        <is>
          <t>PEND-DDE07089D71F-A001</t>
        </is>
      </c>
      <c r="B436" s="8" t="inlineStr">
        <is>
          <t>ABIERTO_NUEVO</t>
        </is>
      </c>
      <c r="C436" s="8" t="inlineStr">
        <is>
          <t>Banco egreso no Flexxus</t>
        </is>
      </c>
      <c r="D436" s="8" t="inlineStr">
        <is>
          <t>22/04/2026</t>
        </is>
      </c>
      <c r="E436" s="8" t="inlineStr">
        <is>
          <t>29841705</t>
        </is>
      </c>
      <c r="F436" s="8" t="inlineStr">
        <is>
          <t>DEB LIQ MASTERCARD 24H</t>
        </is>
      </c>
      <c r="G436" s="8" t="inlineStr">
        <is>
          <t>Débito liquidación tarjeta</t>
        </is>
      </c>
      <c r="H436" s="8" t="inlineStr">
        <is>
          <t>Revisar según concepto</t>
        </is>
      </c>
      <c r="I436" s="9" t="n">
        <v>229.06</v>
      </c>
      <c r="J436" s="9" t="inlineStr"/>
      <c r="K436" s="8" t="inlineStr">
        <is>
          <t>Copiar en Flexxus: Tipo=MB-EXT | Movimiento=DEB LIQ MASTERCARD 24H | Monto=229,06 | Fecha: 22/04/2026</t>
        </is>
      </c>
    </row>
    <row r="437">
      <c r="A437" s="8" t="inlineStr">
        <is>
          <t>PEND-80FB2BD7AEB8-A001</t>
        </is>
      </c>
      <c r="B437" s="8" t="inlineStr">
        <is>
          <t>ABIERTO_NUEVO</t>
        </is>
      </c>
      <c r="C437" s="8" t="inlineStr">
        <is>
          <t>Banco egreso no Flexxus</t>
        </is>
      </c>
      <c r="D437" s="8" t="inlineStr">
        <is>
          <t>22/04/2026</t>
        </is>
      </c>
      <c r="E437" s="8" t="inlineStr">
        <is>
          <t>29841670</t>
        </is>
      </c>
      <c r="F437" s="8" t="inlineStr">
        <is>
          <t>DEB LIQ MASTERCARD 24H</t>
        </is>
      </c>
      <c r="G437" s="8" t="inlineStr">
        <is>
          <t>Débito liquidación tarjeta</t>
        </is>
      </c>
      <c r="H437" s="8" t="inlineStr">
        <is>
          <t>Revisar según concepto</t>
        </is>
      </c>
      <c r="I437" s="9" t="n">
        <v>168.2</v>
      </c>
      <c r="J437" s="9" t="inlineStr"/>
      <c r="K437" s="8" t="inlineStr">
        <is>
          <t>Copiar en Flexxus: Tipo=MB-EXT | Movimiento=DEB LIQ MASTERCARD 24H | Monto=168,20 | Fecha: 22/04/2026</t>
        </is>
      </c>
    </row>
    <row r="438">
      <c r="A438" s="8" t="inlineStr">
        <is>
          <t>PEND-BA55C0C31837-A001</t>
        </is>
      </c>
      <c r="B438" s="8" t="inlineStr">
        <is>
          <t>ABIERTO_NUEVO</t>
        </is>
      </c>
      <c r="C438" s="8" t="inlineStr">
        <is>
          <t>Banco egreso no Flexxus</t>
        </is>
      </c>
      <c r="D438" s="8" t="inlineStr">
        <is>
          <t>21/04/2026</t>
        </is>
      </c>
      <c r="E438" s="8" t="inlineStr">
        <is>
          <t>108058</t>
        </is>
      </c>
      <c r="F438" s="8" t="inlineStr">
        <is>
          <t>GRAVAMEN LEY 25413 S/DEB</t>
        </is>
      </c>
      <c r="G438" s="8" t="inlineStr">
        <is>
          <t>Anticipo Ganancias Ley 25.413 débitos</t>
        </is>
      </c>
      <c r="H438" s="8" t="inlineStr">
        <is>
          <t>Anticipo Impuesto a las Ganancias</t>
        </is>
      </c>
      <c r="I438" s="9" t="n">
        <v>0.27</v>
      </c>
      <c r="J438" s="9" t="inlineStr"/>
      <c r="K438" s="8" t="inlineStr">
        <is>
          <t>Copiar en Flexxus: Tipo=MB-EXT | Movimiento=GRAVAMEN LEY 25.413 S/DEB | Monto=0,27 | Fecha: 21/04/2026</t>
        </is>
      </c>
    </row>
    <row r="439">
      <c r="A439" s="8" t="inlineStr">
        <is>
          <t>PEND-F7586D9DEFAF-A001</t>
        </is>
      </c>
      <c r="B439" s="8" t="inlineStr">
        <is>
          <t>ABIERTO_NUEVO</t>
        </is>
      </c>
      <c r="C439" s="8" t="inlineStr">
        <is>
          <t>Banco egreso no Flexxus</t>
        </is>
      </c>
      <c r="D439" s="8" t="inlineStr">
        <is>
          <t>21/04/2026</t>
        </is>
      </c>
      <c r="E439" s="8" t="inlineStr">
        <is>
          <t>108057</t>
        </is>
      </c>
      <c r="F439" s="8" t="inlineStr">
        <is>
          <t>GRAVAMEN LEY 25413 S/DEB</t>
        </is>
      </c>
      <c r="G439" s="8" t="inlineStr">
        <is>
          <t>Anticipo Ganancias Ley 25.413 débitos</t>
        </is>
      </c>
      <c r="H439" s="8" t="inlineStr">
        <is>
          <t>Anticipo Impuesto a las Ganancias</t>
        </is>
      </c>
      <c r="I439" s="9" t="n">
        <v>1.4</v>
      </c>
      <c r="J439" s="9" t="inlineStr"/>
      <c r="K439" s="8" t="inlineStr">
        <is>
          <t>Copiar en Flexxus: Tipo=MB-EXT | Movimiento=GRAVAMEN LEY 25.413 S/DEB | Monto=1,40 | Fecha: 21/04/2026</t>
        </is>
      </c>
    </row>
    <row r="440">
      <c r="A440" s="8" t="inlineStr">
        <is>
          <t>PEND-7B5D3F5DCCBF-A001</t>
        </is>
      </c>
      <c r="B440" s="8" t="inlineStr">
        <is>
          <t>ABIERTO_NUEVO</t>
        </is>
      </c>
      <c r="C440" s="8" t="inlineStr">
        <is>
          <t>Banco egreso no Flexxus</t>
        </is>
      </c>
      <c r="D440" s="8" t="inlineStr">
        <is>
          <t>21/04/2026</t>
        </is>
      </c>
      <c r="E440" s="8" t="inlineStr">
        <is>
          <t>108056</t>
        </is>
      </c>
      <c r="F440" s="8" t="inlineStr">
        <is>
          <t>GRAVAMEN LEY 25413 S/DEB</t>
        </is>
      </c>
      <c r="G440" s="8" t="inlineStr">
        <is>
          <t>Anticipo Ganancias Ley 25.413 débitos</t>
        </is>
      </c>
      <c r="H440" s="8" t="inlineStr">
        <is>
          <t>Anticipo Impuesto a las Ganancias</t>
        </is>
      </c>
      <c r="I440" s="9" t="n">
        <v>0.88</v>
      </c>
      <c r="J440" s="9" t="inlineStr"/>
      <c r="K440" s="8" t="inlineStr">
        <is>
          <t>Copiar en Flexxus: Tipo=MB-EXT | Movimiento=GRAVAMEN LEY 25.413 S/DEB | Monto=0,88 | Fecha: 21/04/2026</t>
        </is>
      </c>
    </row>
    <row r="441">
      <c r="A441" s="8" t="inlineStr">
        <is>
          <t>PEND-35439C75BBBC-A001</t>
        </is>
      </c>
      <c r="B441" s="8" t="inlineStr">
        <is>
          <t>ABIERTO_NUEVO</t>
        </is>
      </c>
      <c r="C441" s="8" t="inlineStr">
        <is>
          <t>Banco egreso no Flexxus</t>
        </is>
      </c>
      <c r="D441" s="8" t="inlineStr">
        <is>
          <t>21/04/2026</t>
        </is>
      </c>
      <c r="E441" s="8" t="inlineStr">
        <is>
          <t>108055</t>
        </is>
      </c>
      <c r="F441" s="8" t="inlineStr">
        <is>
          <t>GRAVAMEN LEY 25413 S/DEB</t>
        </is>
      </c>
      <c r="G441" s="8" t="inlineStr">
        <is>
          <t>Anticipo Ganancias Ley 25.413 débitos</t>
        </is>
      </c>
      <c r="H441" s="8" t="inlineStr">
        <is>
          <t>Anticipo Impuesto a las Ganancias</t>
        </is>
      </c>
      <c r="I441" s="9" t="n">
        <v>3.28</v>
      </c>
      <c r="J441" s="9" t="inlineStr"/>
      <c r="K441" s="8" t="inlineStr">
        <is>
          <t>Copiar en Flexxus: Tipo=MB-EXT | Movimiento=GRAVAMEN LEY 25.413 S/DEB | Monto=3,28 | Fecha: 21/04/2026</t>
        </is>
      </c>
    </row>
    <row r="442">
      <c r="A442" s="8" t="inlineStr">
        <is>
          <t>PEND-3A6876CF652C-A001</t>
        </is>
      </c>
      <c r="B442" s="8" t="inlineStr">
        <is>
          <t>ABIERTO_NUEVO</t>
        </is>
      </c>
      <c r="C442" s="8" t="inlineStr">
        <is>
          <t>Banco egreso no Flexxus</t>
        </is>
      </c>
      <c r="D442" s="8" t="inlineStr">
        <is>
          <t>21/04/2026</t>
        </is>
      </c>
      <c r="E442" s="8" t="inlineStr">
        <is>
          <t>29841705</t>
        </is>
      </c>
      <c r="F442" s="8" t="inlineStr">
        <is>
          <t>GRAVAMEN LEY 25413 S/DEB</t>
        </is>
      </c>
      <c r="G442" s="8" t="inlineStr">
        <is>
          <t>Anticipo Ganancias Ley 25.413 débitos</t>
        </is>
      </c>
      <c r="H442" s="8" t="inlineStr">
        <is>
          <t>Anticipo Impuesto a las Ganancias</t>
        </is>
      </c>
      <c r="I442" s="9" t="n">
        <v>0.73</v>
      </c>
      <c r="J442" s="9" t="inlineStr"/>
      <c r="K442" s="8" t="inlineStr">
        <is>
          <t>Copiar en Flexxus: Tipo=MB-EXT | Movimiento=GRAVAMEN LEY 25.413 S/DEB | Monto=0,73 | Fecha: 21/04/2026</t>
        </is>
      </c>
    </row>
    <row r="443">
      <c r="A443" s="8" t="inlineStr">
        <is>
          <t>PEND-396F45F5F256-A001</t>
        </is>
      </c>
      <c r="B443" s="8" t="inlineStr">
        <is>
          <t>ABIERTO_NUEVO</t>
        </is>
      </c>
      <c r="C443" s="8" t="inlineStr">
        <is>
          <t>Banco egreso no Flexxus</t>
        </is>
      </c>
      <c r="D443" s="8" t="inlineStr">
        <is>
          <t>21/04/2026</t>
        </is>
      </c>
      <c r="E443" s="8" t="inlineStr">
        <is>
          <t>29841642</t>
        </is>
      </c>
      <c r="F443" s="8" t="inlineStr">
        <is>
          <t>GRAVAMEN LEY 25413 S/DEB</t>
        </is>
      </c>
      <c r="G443" s="8" t="inlineStr">
        <is>
          <t>Anticipo Ganancias Ley 25.413 débitos</t>
        </is>
      </c>
      <c r="H443" s="8" t="inlineStr">
        <is>
          <t>Anticipo Impuesto a las Ganancias</t>
        </is>
      </c>
      <c r="I443" s="9" t="n">
        <v>1.93</v>
      </c>
      <c r="J443" s="9" t="inlineStr"/>
      <c r="K443" s="8" t="inlineStr">
        <is>
          <t>Copiar en Flexxus: Tipo=MB-EXT | Movimiento=GRAVAMEN LEY 25.413 S/DEB | Monto=1,93 | Fecha: 21/04/2026</t>
        </is>
      </c>
    </row>
    <row r="444">
      <c r="A444" s="8" t="inlineStr">
        <is>
          <t>PEND-FE3839BA2651-A001</t>
        </is>
      </c>
      <c r="B444" s="8" t="inlineStr">
        <is>
          <t>ABIERTO_NUEVO</t>
        </is>
      </c>
      <c r="C444" s="8" t="inlineStr">
        <is>
          <t>Banco egreso no Flexxus</t>
        </is>
      </c>
      <c r="D444" s="8" t="inlineStr">
        <is>
          <t>21/04/2026</t>
        </is>
      </c>
      <c r="E444" s="8" t="inlineStr">
        <is>
          <t>32032899</t>
        </is>
      </c>
      <c r="F444" s="8" t="inlineStr">
        <is>
          <t>GRAVAMEN LEY 25413 S/DEB</t>
        </is>
      </c>
      <c r="G444" s="8" t="inlineStr">
        <is>
          <t>Anticipo Ganancias Ley 25.413 débitos</t>
        </is>
      </c>
      <c r="H444" s="8" t="inlineStr">
        <is>
          <t>Anticipo Impuesto a las Ganancias</t>
        </is>
      </c>
      <c r="I444" s="9" t="n">
        <v>115.4</v>
      </c>
      <c r="J444" s="9" t="inlineStr"/>
      <c r="K444" s="8" t="inlineStr">
        <is>
          <t>Copiar en Flexxus: Tipo=MB-EXT | Movimiento=GRAVAMEN LEY 25.413 S/DEB | Monto=115,40 | Fecha: 21/04/2026</t>
        </is>
      </c>
    </row>
    <row r="445">
      <c r="A445" s="8" t="inlineStr">
        <is>
          <t>PEND-7EF88C7A8AA1-A001</t>
        </is>
      </c>
      <c r="B445" s="8" t="inlineStr">
        <is>
          <t>ABIERTO_NUEVO</t>
        </is>
      </c>
      <c r="C445" s="8" t="inlineStr">
        <is>
          <t>Banco egreso no Flexxus</t>
        </is>
      </c>
      <c r="D445" s="8" t="inlineStr">
        <is>
          <t>21/04/2026</t>
        </is>
      </c>
      <c r="E445" s="8" t="inlineStr">
        <is>
          <t>31995644</t>
        </is>
      </c>
      <c r="F445" s="8" t="inlineStr">
        <is>
          <t>GRAVAMEN LEY 25413 S/DEB</t>
        </is>
      </c>
      <c r="G445" s="8" t="inlineStr">
        <is>
          <t>Anticipo Ganancias Ley 25.413 débitos</t>
        </is>
      </c>
      <c r="H445" s="8" t="inlineStr">
        <is>
          <t>Anticipo Impuesto a las Ganancias</t>
        </is>
      </c>
      <c r="I445" s="9" t="n">
        <v>124.25</v>
      </c>
      <c r="J445" s="9" t="inlineStr"/>
      <c r="K445" s="8" t="inlineStr">
        <is>
          <t>Copiar en Flexxus: Tipo=MB-EXT | Movimiento=GRAVAMEN LEY 25.413 S/DEB | Monto=124,25 | Fecha: 21/04/2026</t>
        </is>
      </c>
    </row>
    <row r="446">
      <c r="A446" s="8" t="inlineStr">
        <is>
          <t>PEND-F26F0BDD9220-A001</t>
        </is>
      </c>
      <c r="B446" s="8" t="inlineStr">
        <is>
          <t>ABIERTO_NUEVO</t>
        </is>
      </c>
      <c r="C446" s="8" t="inlineStr">
        <is>
          <t>Banco egreso no Flexxus</t>
        </is>
      </c>
      <c r="D446" s="8" t="inlineStr">
        <is>
          <t>21/04/2026</t>
        </is>
      </c>
      <c r="E446" s="8" t="inlineStr">
        <is>
          <t>29841705</t>
        </is>
      </c>
      <c r="F446" s="8" t="inlineStr">
        <is>
          <t>GRAVAMEN LEY 25413 S/DEB</t>
        </is>
      </c>
      <c r="G446" s="8" t="inlineStr">
        <is>
          <t>Anticipo Ganancias Ley 25.413 débitos</t>
        </is>
      </c>
      <c r="H446" s="8" t="inlineStr">
        <is>
          <t>Anticipo Impuesto a las Ganancias</t>
        </is>
      </c>
      <c r="I446" s="9" t="n">
        <v>37.09</v>
      </c>
      <c r="J446" s="9" t="inlineStr"/>
      <c r="K446" s="8" t="inlineStr">
        <is>
          <t>Copiar en Flexxus: Tipo=MB-EXT | Movimiento=GRAVAMEN LEY 25.413 S/DEB | Monto=37,09 | Fecha: 21/04/2026</t>
        </is>
      </c>
    </row>
    <row r="447">
      <c r="A447" s="8" t="inlineStr">
        <is>
          <t>PEND-EF3E4EDFAF83-A001</t>
        </is>
      </c>
      <c r="B447" s="8" t="inlineStr">
        <is>
          <t>ABIERTO_NUEVO</t>
        </is>
      </c>
      <c r="C447" s="8" t="inlineStr">
        <is>
          <t>Banco egreso no Flexxus</t>
        </is>
      </c>
      <c r="D447" s="8" t="inlineStr">
        <is>
          <t>21/04/2026</t>
        </is>
      </c>
      <c r="E447" s="8" t="inlineStr">
        <is>
          <t>29841683</t>
        </is>
      </c>
      <c r="F447" s="8" t="inlineStr">
        <is>
          <t>GRAVAMEN LEY 25413 S/DEB</t>
        </is>
      </c>
      <c r="G447" s="8" t="inlineStr">
        <is>
          <t>Anticipo Ganancias Ley 25.413 débitos</t>
        </is>
      </c>
      <c r="H447" s="8" t="inlineStr">
        <is>
          <t>Anticipo Impuesto a las Ganancias</t>
        </is>
      </c>
      <c r="I447" s="9" t="n">
        <v>12.44</v>
      </c>
      <c r="J447" s="9" t="inlineStr"/>
      <c r="K447" s="8" t="inlineStr">
        <is>
          <t>Copiar en Flexxus: Tipo=MB-EXT | Movimiento=GRAVAMEN LEY 25.413 S/DEB | Monto=12,44 | Fecha: 21/04/2026</t>
        </is>
      </c>
    </row>
    <row r="448">
      <c r="A448" s="8" t="inlineStr">
        <is>
          <t>PEND-664704E04355-A001</t>
        </is>
      </c>
      <c r="B448" s="8" t="inlineStr">
        <is>
          <t>ABIERTO_NUEVO</t>
        </is>
      </c>
      <c r="C448" s="8" t="inlineStr">
        <is>
          <t>Banco egreso no Flexxus</t>
        </is>
      </c>
      <c r="D448" s="8" t="inlineStr">
        <is>
          <t>21/04/2026</t>
        </is>
      </c>
      <c r="E448" s="8" t="inlineStr">
        <is>
          <t>29841670</t>
        </is>
      </c>
      <c r="F448" s="8" t="inlineStr">
        <is>
          <t>GRAVAMEN LEY 25413 S/DEB</t>
        </is>
      </c>
      <c r="G448" s="8" t="inlineStr">
        <is>
          <t>Anticipo Ganancias Ley 25.413 débitos</t>
        </is>
      </c>
      <c r="H448" s="8" t="inlineStr">
        <is>
          <t>Anticipo Impuesto a las Ganancias</t>
        </is>
      </c>
      <c r="I448" s="9" t="n">
        <v>16.46</v>
      </c>
      <c r="J448" s="9" t="inlineStr"/>
      <c r="K448" s="8" t="inlineStr">
        <is>
          <t>Copiar en Flexxus: Tipo=MB-EXT | Movimiento=GRAVAMEN LEY 25.413 S/DEB | Monto=16,46 | Fecha: 21/04/2026</t>
        </is>
      </c>
    </row>
    <row r="449">
      <c r="A449" s="8" t="inlineStr">
        <is>
          <t>PEND-5C891BE124D3-A001</t>
        </is>
      </c>
      <c r="B449" s="8" t="inlineStr">
        <is>
          <t>ABIERTO_NUEVO</t>
        </is>
      </c>
      <c r="C449" s="8" t="inlineStr">
        <is>
          <t>Banco egreso no Flexxus</t>
        </is>
      </c>
      <c r="D449" s="8" t="inlineStr">
        <is>
          <t>21/04/2026</t>
        </is>
      </c>
      <c r="E449" s="8" t="inlineStr">
        <is>
          <t>29841642</t>
        </is>
      </c>
      <c r="F449" s="8" t="inlineStr">
        <is>
          <t>GRAVAMEN LEY 25413 S/DEB</t>
        </is>
      </c>
      <c r="G449" s="8" t="inlineStr">
        <is>
          <t>Anticipo Ganancias Ley 25.413 débitos</t>
        </is>
      </c>
      <c r="H449" s="8" t="inlineStr">
        <is>
          <t>Anticipo Impuesto a las Ganancias</t>
        </is>
      </c>
      <c r="I449" s="9" t="n">
        <v>29.31</v>
      </c>
      <c r="J449" s="9" t="inlineStr"/>
      <c r="K449" s="8" t="inlineStr">
        <is>
          <t>Copiar en Flexxus: Tipo=MB-EXT | Movimiento=GRAVAMEN LEY 25.413 S/DEB | Monto=29,31 | Fecha: 21/04/2026</t>
        </is>
      </c>
    </row>
    <row r="450">
      <c r="A450" s="8" t="inlineStr">
        <is>
          <t>PEND-EED7462D5291-A001</t>
        </is>
      </c>
      <c r="B450" s="8" t="inlineStr">
        <is>
          <t>ABIERTO_NUEVO</t>
        </is>
      </c>
      <c r="C450" s="8" t="inlineStr">
        <is>
          <t>Banco egreso no Flexxus</t>
        </is>
      </c>
      <c r="D450" s="8" t="inlineStr">
        <is>
          <t>21/04/2026</t>
        </is>
      </c>
      <c r="E450" s="8" t="inlineStr">
        <is>
          <t>29841627</t>
        </is>
      </c>
      <c r="F450" s="8" t="inlineStr">
        <is>
          <t>GRAVAMEN LEY 25413 S/DEB</t>
        </is>
      </c>
      <c r="G450" s="8" t="inlineStr">
        <is>
          <t>Anticipo Ganancias Ley 25.413 débitos</t>
        </is>
      </c>
      <c r="H450" s="8" t="inlineStr">
        <is>
          <t>Anticipo Impuesto a las Ganancias</t>
        </is>
      </c>
      <c r="I450" s="9" t="n">
        <v>8.67</v>
      </c>
      <c r="J450" s="9" t="inlineStr"/>
      <c r="K450" s="8" t="inlineStr">
        <is>
          <t>Copiar en Flexxus: Tipo=MB-EXT | Movimiento=GRAVAMEN LEY 25.413 S/DEB | Monto=8,67 | Fecha: 21/04/2026</t>
        </is>
      </c>
    </row>
    <row r="451">
      <c r="A451" s="8" t="inlineStr">
        <is>
          <t>PEND-3207EEC6663A-A001</t>
        </is>
      </c>
      <c r="B451" s="8" t="inlineStr">
        <is>
          <t>ABIERTO_NUEVO</t>
        </is>
      </c>
      <c r="C451" s="8" t="inlineStr">
        <is>
          <t>Banco egreso no Flexxus</t>
        </is>
      </c>
      <c r="D451" s="8" t="inlineStr">
        <is>
          <t>21/04/2026</t>
        </is>
      </c>
      <c r="E451" s="8" t="inlineStr">
        <is>
          <t>32032899</t>
        </is>
      </c>
      <c r="F451" s="8" t="inlineStr">
        <is>
          <t>GRAVAMEN LEY 25413 S/DEB</t>
        </is>
      </c>
      <c r="G451" s="8" t="inlineStr">
        <is>
          <t>Anticipo Ganancias Ley 25.413 débitos</t>
        </is>
      </c>
      <c r="H451" s="8" t="inlineStr">
        <is>
          <t>Anticipo Impuesto a las Ganancias</t>
        </is>
      </c>
      <c r="I451" s="9" t="n">
        <v>17.43</v>
      </c>
      <c r="J451" s="9" t="inlineStr"/>
      <c r="K451" s="8" t="inlineStr">
        <is>
          <t>Copiar en Flexxus: Tipo=MB-EXT | Movimiento=GRAVAMEN LEY 25.413 S/DEB | Monto=17,43 | Fecha: 21/04/2026</t>
        </is>
      </c>
    </row>
    <row r="452">
      <c r="A452" s="8" t="inlineStr">
        <is>
          <t>PEND-80FC4C0F6C01-A001</t>
        </is>
      </c>
      <c r="B452" s="8" t="inlineStr">
        <is>
          <t>ABIERTO_NUEVO</t>
        </is>
      </c>
      <c r="C452" s="8" t="inlineStr">
        <is>
          <t>Banco egreso no Flexxus</t>
        </is>
      </c>
      <c r="D452" s="8" t="inlineStr">
        <is>
          <t>21/04/2026</t>
        </is>
      </c>
      <c r="E452" s="8" t="inlineStr">
        <is>
          <t>31995644</t>
        </is>
      </c>
      <c r="F452" s="8" t="inlineStr">
        <is>
          <t>GRAVAMEN LEY 25413 S/DEB</t>
        </is>
      </c>
      <c r="G452" s="8" t="inlineStr">
        <is>
          <t>Anticipo Ganancias Ley 25.413 débitos</t>
        </is>
      </c>
      <c r="H452" s="8" t="inlineStr">
        <is>
          <t>Anticipo Impuesto a las Ganancias</t>
        </is>
      </c>
      <c r="I452" s="9" t="n">
        <v>19.44</v>
      </c>
      <c r="J452" s="9" t="inlineStr"/>
      <c r="K452" s="8" t="inlineStr">
        <is>
          <t>Copiar en Flexxus: Tipo=MB-EXT | Movimiento=GRAVAMEN LEY 25.413 S/DEB | Monto=19,44 | Fecha: 21/04/2026</t>
        </is>
      </c>
    </row>
    <row r="453">
      <c r="A453" s="8" t="inlineStr">
        <is>
          <t>PEND-0728E56034FF-A001</t>
        </is>
      </c>
      <c r="B453" s="8" t="inlineStr">
        <is>
          <t>ABIERTO_NUEVO</t>
        </is>
      </c>
      <c r="C453" s="8" t="inlineStr">
        <is>
          <t>Banco egreso no Flexxus</t>
        </is>
      </c>
      <c r="D453" s="8" t="inlineStr">
        <is>
          <t>21/04/2026</t>
        </is>
      </c>
      <c r="E453" s="8" t="inlineStr">
        <is>
          <t>29841705</t>
        </is>
      </c>
      <c r="F453" s="8" t="inlineStr">
        <is>
          <t>GRAVAMEN LEY 25413 S/DEB</t>
        </is>
      </c>
      <c r="G453" s="8" t="inlineStr">
        <is>
          <t>Anticipo Ganancias Ley 25.413 débitos</t>
        </is>
      </c>
      <c r="H453" s="8" t="inlineStr">
        <is>
          <t>Anticipo Impuesto a las Ganancias</t>
        </is>
      </c>
      <c r="I453" s="9" t="n">
        <v>9.52</v>
      </c>
      <c r="J453" s="9" t="inlineStr"/>
      <c r="K453" s="8" t="inlineStr">
        <is>
          <t>Copiar en Flexxus: Tipo=MB-EXT | Movimiento=GRAVAMEN LEY 25.413 S/DEB | Monto=9,52 | Fecha: 21/04/2026</t>
        </is>
      </c>
    </row>
    <row r="454">
      <c r="A454" s="8" t="inlineStr">
        <is>
          <t>PEND-76B70540B021-A001</t>
        </is>
      </c>
      <c r="B454" s="8" t="inlineStr">
        <is>
          <t>ABIERTO_NUEVO</t>
        </is>
      </c>
      <c r="C454" s="8" t="inlineStr">
        <is>
          <t>Banco egreso no Flexxus</t>
        </is>
      </c>
      <c r="D454" s="8" t="inlineStr">
        <is>
          <t>21/04/2026</t>
        </is>
      </c>
      <c r="E454" s="8" t="inlineStr">
        <is>
          <t>29841683</t>
        </is>
      </c>
      <c r="F454" s="8" t="inlineStr">
        <is>
          <t>GRAVAMEN LEY 25413 S/DEB</t>
        </is>
      </c>
      <c r="G454" s="8" t="inlineStr">
        <is>
          <t>Anticipo Ganancias Ley 25.413 débitos</t>
        </is>
      </c>
      <c r="H454" s="8" t="inlineStr">
        <is>
          <t>Anticipo Impuesto a las Ganancias</t>
        </is>
      </c>
      <c r="I454" s="9" t="n">
        <v>15.45</v>
      </c>
      <c r="J454" s="9" t="inlineStr"/>
      <c r="K454" s="8" t="inlineStr">
        <is>
          <t>Copiar en Flexxus: Tipo=MB-EXT | Movimiento=GRAVAMEN LEY 25.413 S/DEB | Monto=15,45 | Fecha: 21/04/2026</t>
        </is>
      </c>
    </row>
    <row r="455">
      <c r="A455" s="8" t="inlineStr">
        <is>
          <t>PEND-01DC9B57DEF0-A001</t>
        </is>
      </c>
      <c r="B455" s="8" t="inlineStr">
        <is>
          <t>ABIERTO_NUEVO</t>
        </is>
      </c>
      <c r="C455" s="8" t="inlineStr">
        <is>
          <t>Banco egreso no Flexxus</t>
        </is>
      </c>
      <c r="D455" s="8" t="inlineStr">
        <is>
          <t>21/04/2026</t>
        </is>
      </c>
      <c r="E455" s="8" t="inlineStr">
        <is>
          <t>29841670</t>
        </is>
      </c>
      <c r="F455" s="8" t="inlineStr">
        <is>
          <t>GRAVAMEN LEY 25413 S/DEB</t>
        </is>
      </c>
      <c r="G455" s="8" t="inlineStr">
        <is>
          <t>Anticipo Ganancias Ley 25.413 débitos</t>
        </is>
      </c>
      <c r="H455" s="8" t="inlineStr">
        <is>
          <t>Anticipo Impuesto a las Ganancias</t>
        </is>
      </c>
      <c r="I455" s="9" t="n">
        <v>5.38</v>
      </c>
      <c r="J455" s="9" t="inlineStr"/>
      <c r="K455" s="8" t="inlineStr">
        <is>
          <t>Copiar en Flexxus: Tipo=MB-EXT | Movimiento=GRAVAMEN LEY 25.413 S/DEB | Monto=5,38 | Fecha: 21/04/2026</t>
        </is>
      </c>
    </row>
    <row r="456">
      <c r="A456" s="8" t="inlineStr">
        <is>
          <t>PEND-1F3400A2B107-A001</t>
        </is>
      </c>
      <c r="B456" s="8" t="inlineStr">
        <is>
          <t>ABIERTO_NUEVO</t>
        </is>
      </c>
      <c r="C456" s="8" t="inlineStr">
        <is>
          <t>Banco egreso no Flexxus</t>
        </is>
      </c>
      <c r="D456" s="8" t="inlineStr">
        <is>
          <t>21/04/2026</t>
        </is>
      </c>
      <c r="E456" s="8" t="inlineStr">
        <is>
          <t>29841642</t>
        </is>
      </c>
      <c r="F456" s="8" t="inlineStr">
        <is>
          <t>GRAVAMEN LEY 25413 S/DEB</t>
        </is>
      </c>
      <c r="G456" s="8" t="inlineStr">
        <is>
          <t>Anticipo Ganancias Ley 25.413 débitos</t>
        </is>
      </c>
      <c r="H456" s="8" t="inlineStr">
        <is>
          <t>Anticipo Impuesto a las Ganancias</t>
        </is>
      </c>
      <c r="I456" s="9" t="n">
        <v>10.46</v>
      </c>
      <c r="J456" s="9" t="inlineStr"/>
      <c r="K456" s="8" t="inlineStr">
        <is>
          <t>Copiar en Flexxus: Tipo=MB-EXT | Movimiento=GRAVAMEN LEY 25.413 S/DEB | Monto=10,46 | Fecha: 21/04/2026</t>
        </is>
      </c>
    </row>
    <row r="457">
      <c r="A457" s="8" t="inlineStr">
        <is>
          <t>PEND-8F000931B791-A001</t>
        </is>
      </c>
      <c r="B457" s="8" t="inlineStr">
        <is>
          <t>ABIERTO_NUEVO</t>
        </is>
      </c>
      <c r="C457" s="8" t="inlineStr">
        <is>
          <t>Banco egreso no Flexxus</t>
        </is>
      </c>
      <c r="D457" s="8" t="inlineStr">
        <is>
          <t>21/04/2026</t>
        </is>
      </c>
      <c r="E457" s="8" t="inlineStr">
        <is>
          <t>29841627</t>
        </is>
      </c>
      <c r="F457" s="8" t="inlineStr">
        <is>
          <t>GRAVAMEN LEY 25413 S/DEB</t>
        </is>
      </c>
      <c r="G457" s="8" t="inlineStr">
        <is>
          <t>Anticipo Ganancias Ley 25.413 débitos</t>
        </is>
      </c>
      <c r="H457" s="8" t="inlineStr">
        <is>
          <t>Anticipo Impuesto a las Ganancias</t>
        </is>
      </c>
      <c r="I457" s="9" t="n">
        <v>6.27</v>
      </c>
      <c r="J457" s="9" t="inlineStr"/>
      <c r="K457" s="8" t="inlineStr">
        <is>
          <t>Copiar en Flexxus: Tipo=MB-EXT | Movimiento=GRAVAMEN LEY 25.413 S/DEB | Monto=6,27 | Fecha: 21/04/2026</t>
        </is>
      </c>
    </row>
    <row r="458">
      <c r="A458" s="8" t="inlineStr">
        <is>
          <t>PEND-69EB96CB4CC1-A001</t>
        </is>
      </c>
      <c r="B458" s="8" t="inlineStr">
        <is>
          <t>ABIERTO_NUEVO</t>
        </is>
      </c>
      <c r="C458" s="8" t="inlineStr">
        <is>
          <t>Banco egreso no Flexxus</t>
        </is>
      </c>
      <c r="D458" s="8" t="inlineStr">
        <is>
          <t>21/04/2026</t>
        </is>
      </c>
      <c r="E458" s="8" t="inlineStr">
        <is>
          <t>31995644</t>
        </is>
      </c>
      <c r="F458" s="8" t="inlineStr">
        <is>
          <t>GRAVAMEN LEY 25413 S/DEB</t>
        </is>
      </c>
      <c r="G458" s="8" t="inlineStr">
        <is>
          <t>Anticipo Ganancias Ley 25.413 débitos</t>
        </is>
      </c>
      <c r="H458" s="8" t="inlineStr">
        <is>
          <t>Anticipo Impuesto a las Ganancias</t>
        </is>
      </c>
      <c r="I458" s="9" t="n">
        <v>37.59</v>
      </c>
      <c r="J458" s="9" t="inlineStr"/>
      <c r="K458" s="8" t="inlineStr">
        <is>
          <t>Copiar en Flexxus: Tipo=MB-EXT | Movimiento=GRAVAMEN LEY 25.413 S/DEB | Monto=37,59 | Fecha: 21/04/2026</t>
        </is>
      </c>
    </row>
    <row r="459">
      <c r="A459" s="8" t="inlineStr">
        <is>
          <t>PEND-58D71461E30B-A001</t>
        </is>
      </c>
      <c r="B459" s="8" t="inlineStr">
        <is>
          <t>ABIERTO_NUEVO</t>
        </is>
      </c>
      <c r="C459" s="8" t="inlineStr">
        <is>
          <t>Banco egreso no Flexxus</t>
        </is>
      </c>
      <c r="D459" s="8" t="inlineStr">
        <is>
          <t>21/04/2026</t>
        </is>
      </c>
      <c r="E459" s="8" t="inlineStr">
        <is>
          <t>32032899</t>
        </is>
      </c>
      <c r="F459" s="8" t="inlineStr">
        <is>
          <t>GRAVAMEN LEY 25413 S/DEB</t>
        </is>
      </c>
      <c r="G459" s="8" t="inlineStr">
        <is>
          <t>Anticipo Ganancias Ley 25.413 débitos</t>
        </is>
      </c>
      <c r="H459" s="8" t="inlineStr">
        <is>
          <t>Anticipo Impuesto a las Ganancias</t>
        </is>
      </c>
      <c r="I459" s="9" t="n">
        <v>27.24</v>
      </c>
      <c r="J459" s="9" t="inlineStr"/>
      <c r="K459" s="8" t="inlineStr">
        <is>
          <t>Copiar en Flexxus: Tipo=MB-EXT | Movimiento=GRAVAMEN LEY 25.413 S/DEB | Monto=27,24 | Fecha: 21/04/2026</t>
        </is>
      </c>
    </row>
    <row r="460">
      <c r="A460" s="8" t="inlineStr">
        <is>
          <t>PEND-FA3BFAD519D7-A001</t>
        </is>
      </c>
      <c r="B460" s="8" t="inlineStr">
        <is>
          <t>ABIERTO_NUEVO</t>
        </is>
      </c>
      <c r="C460" s="8" t="inlineStr">
        <is>
          <t>Banco egreso no Flexxus</t>
        </is>
      </c>
      <c r="D460" s="8" t="inlineStr">
        <is>
          <t>21/04/2026</t>
        </is>
      </c>
      <c r="E460" s="8" t="inlineStr">
        <is>
          <t>32032899</t>
        </is>
      </c>
      <c r="F460" s="8" t="inlineStr">
        <is>
          <t>GRAVAMEN LEY 25413 S/DEB</t>
        </is>
      </c>
      <c r="G460" s="8" t="inlineStr">
        <is>
          <t>Anticipo Ganancias Ley 25.413 débitos</t>
        </is>
      </c>
      <c r="H460" s="8" t="inlineStr">
        <is>
          <t>Anticipo Impuesto a las Ganancias</t>
        </is>
      </c>
      <c r="I460" s="9" t="n">
        <v>13.19</v>
      </c>
      <c r="J460" s="9" t="inlineStr"/>
      <c r="K460" s="8" t="inlineStr">
        <is>
          <t>Copiar en Flexxus: Tipo=MB-EXT | Movimiento=GRAVAMEN LEY 25.413 S/DEB | Monto=13,19 | Fecha: 21/04/2026</t>
        </is>
      </c>
    </row>
    <row r="461">
      <c r="A461" s="8" t="inlineStr">
        <is>
          <t>PEND-0D476E68945E-A001</t>
        </is>
      </c>
      <c r="B461" s="8" t="inlineStr">
        <is>
          <t>ABIERTO_NUEVO</t>
        </is>
      </c>
      <c r="C461" s="8" t="inlineStr">
        <is>
          <t>Banco egreso no Flexxus</t>
        </is>
      </c>
      <c r="D461" s="8" t="inlineStr">
        <is>
          <t>21/04/2026</t>
        </is>
      </c>
      <c r="E461" s="8" t="inlineStr">
        <is>
          <t>31995644</t>
        </is>
      </c>
      <c r="F461" s="8" t="inlineStr">
        <is>
          <t>GRAVAMEN LEY 25413 S/DEB</t>
        </is>
      </c>
      <c r="G461" s="8" t="inlineStr">
        <is>
          <t>Anticipo Ganancias Ley 25.413 débitos</t>
        </is>
      </c>
      <c r="H461" s="8" t="inlineStr">
        <is>
          <t>Anticipo Impuesto a las Ganancias</t>
        </is>
      </c>
      <c r="I461" s="9" t="n">
        <v>16.47</v>
      </c>
      <c r="J461" s="9" t="inlineStr"/>
      <c r="K461" s="8" t="inlineStr">
        <is>
          <t>Copiar en Flexxus: Tipo=MB-EXT | Movimiento=GRAVAMEN LEY 25.413 S/DEB | Monto=16,47 | Fecha: 21/04/2026</t>
        </is>
      </c>
    </row>
    <row r="462">
      <c r="A462" s="8" t="inlineStr">
        <is>
          <t>PEND-96E932FE5420-A001</t>
        </is>
      </c>
      <c r="B462" s="8" t="inlineStr">
        <is>
          <t>ABIERTO_NUEVO</t>
        </is>
      </c>
      <c r="C462" s="8" t="inlineStr">
        <is>
          <t>Banco egreso no Flexxus</t>
        </is>
      </c>
      <c r="D462" s="8" t="inlineStr">
        <is>
          <t>21/04/2026</t>
        </is>
      </c>
      <c r="E462" s="8" t="inlineStr">
        <is>
          <t>31995644</t>
        </is>
      </c>
      <c r="F462" s="8" t="inlineStr">
        <is>
          <t>GRAVAMEN LEY 25413 S/DEB</t>
        </is>
      </c>
      <c r="G462" s="8" t="inlineStr">
        <is>
          <t>Anticipo Ganancias Ley 25.413 débitos</t>
        </is>
      </c>
      <c r="H462" s="8" t="inlineStr">
        <is>
          <t>Anticipo Impuesto a las Ganancias</t>
        </is>
      </c>
      <c r="I462" s="9" t="n">
        <v>5.53</v>
      </c>
      <c r="J462" s="9" t="inlineStr"/>
      <c r="K462" s="8" t="inlineStr">
        <is>
          <t>Copiar en Flexxus: Tipo=MB-EXT | Movimiento=GRAVAMEN LEY 25.413 S/DEB | Monto=5,53 | Fecha: 21/04/2026</t>
        </is>
      </c>
    </row>
    <row r="463">
      <c r="A463" s="8" t="inlineStr">
        <is>
          <t>PEND-54E94F645A2C-A001</t>
        </is>
      </c>
      <c r="B463" s="8" t="inlineStr">
        <is>
          <t>ABIERTO_NUEVO</t>
        </is>
      </c>
      <c r="C463" s="8" t="inlineStr">
        <is>
          <t>Banco egreso no Flexxus</t>
        </is>
      </c>
      <c r="D463" s="8" t="inlineStr">
        <is>
          <t>21/04/2026</t>
        </is>
      </c>
      <c r="E463" s="8" t="inlineStr">
        <is>
          <t>29841705</t>
        </is>
      </c>
      <c r="F463" s="8" t="inlineStr">
        <is>
          <t>GRAVAMEN LEY 25413 S/DEB</t>
        </is>
      </c>
      <c r="G463" s="8" t="inlineStr">
        <is>
          <t>Anticipo Ganancias Ley 25.413 débitos</t>
        </is>
      </c>
      <c r="H463" s="8" t="inlineStr">
        <is>
          <t>Anticipo Impuesto a las Ganancias</t>
        </is>
      </c>
      <c r="I463" s="9" t="n">
        <v>1.6</v>
      </c>
      <c r="J463" s="9" t="inlineStr"/>
      <c r="K463" s="8" t="inlineStr">
        <is>
          <t>Copiar en Flexxus: Tipo=MB-EXT | Movimiento=GRAVAMEN LEY 25.413 S/DEB | Monto=1,60 | Fecha: 21/04/2026</t>
        </is>
      </c>
    </row>
    <row r="464">
      <c r="A464" s="8" t="inlineStr">
        <is>
          <t>PEND-57C228691B14-A001</t>
        </is>
      </c>
      <c r="B464" s="8" t="inlineStr">
        <is>
          <t>ABIERTO_NUEVO</t>
        </is>
      </c>
      <c r="C464" s="8" t="inlineStr">
        <is>
          <t>Banco egreso no Flexxus</t>
        </is>
      </c>
      <c r="D464" s="8" t="inlineStr">
        <is>
          <t>21/04/2026</t>
        </is>
      </c>
      <c r="E464" s="8" t="inlineStr">
        <is>
          <t>29841683</t>
        </is>
      </c>
      <c r="F464" s="8" t="inlineStr">
        <is>
          <t>GRAVAMEN LEY 25413 S/DEB</t>
        </is>
      </c>
      <c r="G464" s="8" t="inlineStr">
        <is>
          <t>Anticipo Ganancias Ley 25.413 débitos</t>
        </is>
      </c>
      <c r="H464" s="8" t="inlineStr">
        <is>
          <t>Anticipo Impuesto a las Ganancias</t>
        </is>
      </c>
      <c r="I464" s="9" t="n">
        <v>2.99</v>
      </c>
      <c r="J464" s="9" t="inlineStr"/>
      <c r="K464" s="8" t="inlineStr">
        <is>
          <t>Copiar en Flexxus: Tipo=MB-EXT | Movimiento=GRAVAMEN LEY 25.413 S/DEB | Monto=2,99 | Fecha: 21/04/2026</t>
        </is>
      </c>
    </row>
    <row r="465">
      <c r="A465" s="8" t="inlineStr">
        <is>
          <t>PEND-C30994C5308D-A001</t>
        </is>
      </c>
      <c r="B465" s="8" t="inlineStr">
        <is>
          <t>ABIERTO_NUEVO</t>
        </is>
      </c>
      <c r="C465" s="8" t="inlineStr">
        <is>
          <t>Banco egreso no Flexxus</t>
        </is>
      </c>
      <c r="D465" s="8" t="inlineStr">
        <is>
          <t>21/04/2026</t>
        </is>
      </c>
      <c r="E465" s="8" t="inlineStr">
        <is>
          <t>29841670</t>
        </is>
      </c>
      <c r="F465" s="8" t="inlineStr">
        <is>
          <t>GRAVAMEN LEY 25413 S/DEB</t>
        </is>
      </c>
      <c r="G465" s="8" t="inlineStr">
        <is>
          <t>Anticipo Ganancias Ley 25.413 débitos</t>
        </is>
      </c>
      <c r="H465" s="8" t="inlineStr">
        <is>
          <t>Anticipo Impuesto a las Ganancias</t>
        </is>
      </c>
      <c r="I465" s="9" t="n">
        <v>4.14</v>
      </c>
      <c r="J465" s="9" t="inlineStr"/>
      <c r="K465" s="8" t="inlineStr">
        <is>
          <t>Copiar en Flexxus: Tipo=MB-EXT | Movimiento=GRAVAMEN LEY 25.413 S/DEB | Monto=4,14 | Fecha: 21/04/2026</t>
        </is>
      </c>
    </row>
    <row r="466">
      <c r="A466" s="8" t="inlineStr">
        <is>
          <t>PEND-30D769E6EF6F-A001</t>
        </is>
      </c>
      <c r="B466" s="8" t="inlineStr">
        <is>
          <t>ABIERTO_NUEVO</t>
        </is>
      </c>
      <c r="C466" s="8" t="inlineStr">
        <is>
          <t>Banco egreso no Flexxus</t>
        </is>
      </c>
      <c r="D466" s="8" t="inlineStr">
        <is>
          <t>21/04/2026</t>
        </is>
      </c>
      <c r="E466" s="8" t="inlineStr">
        <is>
          <t>29841627</t>
        </is>
      </c>
      <c r="F466" s="8" t="inlineStr">
        <is>
          <t>GRAVAMEN LEY 25413 S/DEB</t>
        </is>
      </c>
      <c r="G466" s="8" t="inlineStr">
        <is>
          <t>Anticipo Ganancias Ley 25.413 débitos</t>
        </is>
      </c>
      <c r="H466" s="8" t="inlineStr">
        <is>
          <t>Anticipo Impuesto a las Ganancias</t>
        </is>
      </c>
      <c r="I466" s="9" t="n">
        <v>3.93</v>
      </c>
      <c r="J466" s="9" t="inlineStr"/>
      <c r="K466" s="8" t="inlineStr">
        <is>
          <t>Copiar en Flexxus: Tipo=MB-EXT | Movimiento=GRAVAMEN LEY 25.413 S/DEB | Monto=3,93 | Fecha: 21/04/2026</t>
        </is>
      </c>
    </row>
    <row r="467">
      <c r="A467" s="8" t="inlineStr">
        <is>
          <t>PEND-50CAA4C16745-A001</t>
        </is>
      </c>
      <c r="B467" s="8" t="inlineStr">
        <is>
          <t>ABIERTO_NUEVO</t>
        </is>
      </c>
      <c r="C467" s="8" t="inlineStr">
        <is>
          <t>Banco egreso no Flexxus</t>
        </is>
      </c>
      <c r="D467" s="8" t="inlineStr">
        <is>
          <t>21/04/2026</t>
        </is>
      </c>
      <c r="E467" s="8" t="inlineStr">
        <is>
          <t>32032899</t>
        </is>
      </c>
      <c r="F467" s="8" t="inlineStr">
        <is>
          <t>GRAVAMEN LEY 25413 S/DEB</t>
        </is>
      </c>
      <c r="G467" s="8" t="inlineStr">
        <is>
          <t>Anticipo Ganancias Ley 25.413 débitos</t>
        </is>
      </c>
      <c r="H467" s="8" t="inlineStr">
        <is>
          <t>Anticipo Impuesto a las Ganancias</t>
        </is>
      </c>
      <c r="I467" s="9" t="n">
        <v>12.87</v>
      </c>
      <c r="J467" s="9" t="inlineStr"/>
      <c r="K467" s="8" t="inlineStr">
        <is>
          <t>Copiar en Flexxus: Tipo=MB-EXT | Movimiento=GRAVAMEN LEY 25.413 S/DEB | Monto=12,87 | Fecha: 21/04/2026</t>
        </is>
      </c>
    </row>
    <row r="468">
      <c r="A468" s="8" t="inlineStr">
        <is>
          <t>PEND-AE531F4C471A-A001</t>
        </is>
      </c>
      <c r="B468" s="8" t="inlineStr">
        <is>
          <t>ABIERTO_NUEVO</t>
        </is>
      </c>
      <c r="C468" s="8" t="inlineStr">
        <is>
          <t>Banco egreso no Flexxus</t>
        </is>
      </c>
      <c r="D468" s="8" t="inlineStr">
        <is>
          <t>21/04/2026</t>
        </is>
      </c>
      <c r="E468" s="8" t="inlineStr">
        <is>
          <t>31995644</t>
        </is>
      </c>
      <c r="F468" s="8" t="inlineStr">
        <is>
          <t>GRAVAMEN LEY 25413 S/DEB</t>
        </is>
      </c>
      <c r="G468" s="8" t="inlineStr">
        <is>
          <t>Anticipo Ganancias Ley 25.413 débitos</t>
        </is>
      </c>
      <c r="H468" s="8" t="inlineStr">
        <is>
          <t>Anticipo Impuesto a las Ganancias</t>
        </is>
      </c>
      <c r="I468" s="9" t="n">
        <v>12.72</v>
      </c>
      <c r="J468" s="9" t="inlineStr"/>
      <c r="K468" s="8" t="inlineStr">
        <is>
          <t>Copiar en Flexxus: Tipo=MB-EXT | Movimiento=GRAVAMEN LEY 25.413 S/DEB | Monto=12,72 | Fecha: 21/04/2026</t>
        </is>
      </c>
    </row>
    <row r="469">
      <c r="A469" s="8" t="inlineStr">
        <is>
          <t>PEND-1BA015C73739-A001</t>
        </is>
      </c>
      <c r="B469" s="8" t="inlineStr">
        <is>
          <t>ABIERTO_NUEVO</t>
        </is>
      </c>
      <c r="C469" s="8" t="inlineStr">
        <is>
          <t>Banco egreso no Flexxus</t>
        </is>
      </c>
      <c r="D469" s="8" t="inlineStr">
        <is>
          <t>21/04/2026</t>
        </is>
      </c>
      <c r="E469" s="8" t="inlineStr">
        <is>
          <t>29841705</t>
        </is>
      </c>
      <c r="F469" s="8" t="inlineStr">
        <is>
          <t>GRAVAMEN LEY 25413 S/DEB</t>
        </is>
      </c>
      <c r="G469" s="8" t="inlineStr">
        <is>
          <t>Anticipo Ganancias Ley 25.413 débitos</t>
        </is>
      </c>
      <c r="H469" s="8" t="inlineStr">
        <is>
          <t>Anticipo Impuesto a las Ganancias</t>
        </is>
      </c>
      <c r="I469" s="9" t="n">
        <v>2.08</v>
      </c>
      <c r="J469" s="9" t="inlineStr"/>
      <c r="K469" s="8" t="inlineStr">
        <is>
          <t>Copiar en Flexxus: Tipo=MB-EXT | Movimiento=GRAVAMEN LEY 25.413 S/DEB | Monto=2,08 | Fecha: 21/04/2026</t>
        </is>
      </c>
    </row>
    <row r="470">
      <c r="A470" s="8" t="inlineStr">
        <is>
          <t>PEND-8C8A64C0D038-A001</t>
        </is>
      </c>
      <c r="B470" s="8" t="inlineStr">
        <is>
          <t>ABIERTO_NUEVO</t>
        </is>
      </c>
      <c r="C470" s="8" t="inlineStr">
        <is>
          <t>Banco egreso no Flexxus</t>
        </is>
      </c>
      <c r="D470" s="8" t="inlineStr">
        <is>
          <t>21/04/2026</t>
        </is>
      </c>
      <c r="E470" s="8" t="inlineStr">
        <is>
          <t>29841670</t>
        </is>
      </c>
      <c r="F470" s="8" t="inlineStr">
        <is>
          <t>GRAVAMEN LEY 25413 S/DEB</t>
        </is>
      </c>
      <c r="G470" s="8" t="inlineStr">
        <is>
          <t>Anticipo Ganancias Ley 25.413 débitos</t>
        </is>
      </c>
      <c r="H470" s="8" t="inlineStr">
        <is>
          <t>Anticipo Impuesto a las Ganancias</t>
        </is>
      </c>
      <c r="I470" s="9" t="n">
        <v>1.84</v>
      </c>
      <c r="J470" s="9" t="inlineStr"/>
      <c r="K470" s="8" t="inlineStr">
        <is>
          <t>Copiar en Flexxus: Tipo=MB-EXT | Movimiento=GRAVAMEN LEY 25.413 S/DEB | Monto=1,84 | Fecha: 21/04/2026</t>
        </is>
      </c>
    </row>
    <row r="471">
      <c r="A471" s="8" t="inlineStr">
        <is>
          <t>PEND-E99B8082F9C6-A001</t>
        </is>
      </c>
      <c r="B471" s="8" t="inlineStr">
        <is>
          <t>ABIERTO_NUEVO</t>
        </is>
      </c>
      <c r="C471" s="8" t="inlineStr">
        <is>
          <t>Banco egreso no Flexxus</t>
        </is>
      </c>
      <c r="D471" s="8" t="inlineStr">
        <is>
          <t>21/04/2026</t>
        </is>
      </c>
      <c r="E471" s="8" t="inlineStr">
        <is>
          <t>108024</t>
        </is>
      </c>
      <c r="F471" s="8" t="inlineStr">
        <is>
          <t>GRAVAMEN LEY 25413 S/DEB</t>
        </is>
      </c>
      <c r="G471" s="8" t="inlineStr">
        <is>
          <t>Anticipo Ganancias Ley 25.413 débitos</t>
        </is>
      </c>
      <c r="H471" s="8" t="inlineStr">
        <is>
          <t>Anticipo Impuesto a las Ganancias</t>
        </is>
      </c>
      <c r="I471" s="9" t="n">
        <v>0.72</v>
      </c>
      <c r="J471" s="9" t="inlineStr"/>
      <c r="K471" s="8" t="inlineStr">
        <is>
          <t>Copiar en Flexxus: Tipo=MB-EXT | Movimiento=GRAVAMEN LEY 25.413 S/DEB | Monto=0,72 | Fecha: 21/04/2026</t>
        </is>
      </c>
    </row>
    <row r="472">
      <c r="A472" s="8" t="inlineStr">
        <is>
          <t>PEND-EB6C0A654B55-A001</t>
        </is>
      </c>
      <c r="B472" s="8" t="inlineStr">
        <is>
          <t>ABIERTO_NUEVO</t>
        </is>
      </c>
      <c r="C472" s="8" t="inlineStr">
        <is>
          <t>Banco egreso no Flexxus</t>
        </is>
      </c>
      <c r="D472" s="8" t="inlineStr">
        <is>
          <t>21/04/2026</t>
        </is>
      </c>
      <c r="E472" s="8" t="inlineStr">
        <is>
          <t>108023</t>
        </is>
      </c>
      <c r="F472" s="8" t="inlineStr">
        <is>
          <t>GRAVAMEN LEY 25413 S/DEB</t>
        </is>
      </c>
      <c r="G472" s="8" t="inlineStr">
        <is>
          <t>Anticipo Ganancias Ley 25.413 débitos</t>
        </is>
      </c>
      <c r="H472" s="8" t="inlineStr">
        <is>
          <t>Anticipo Impuesto a las Ganancias</t>
        </is>
      </c>
      <c r="I472" s="9" t="n">
        <v>3.85</v>
      </c>
      <c r="J472" s="9" t="inlineStr"/>
      <c r="K472" s="8" t="inlineStr">
        <is>
          <t>Copiar en Flexxus: Tipo=MB-EXT | Movimiento=GRAVAMEN LEY 25.413 S/DEB | Monto=3,85 | Fecha: 21/04/2026</t>
        </is>
      </c>
    </row>
    <row r="473">
      <c r="A473" s="8" t="inlineStr">
        <is>
          <t>PEND-9728F91CE048-A001</t>
        </is>
      </c>
      <c r="B473" s="8" t="inlineStr">
        <is>
          <t>ABIERTO_NUEVO</t>
        </is>
      </c>
      <c r="C473" s="8" t="inlineStr">
        <is>
          <t>Banco egreso no Flexxus</t>
        </is>
      </c>
      <c r="D473" s="8" t="inlineStr">
        <is>
          <t>21/04/2026</t>
        </is>
      </c>
      <c r="E473" s="8" t="inlineStr">
        <is>
          <t>108022</t>
        </is>
      </c>
      <c r="F473" s="8" t="inlineStr">
        <is>
          <t>GRAVAMEN LEY 25413 S/DEB</t>
        </is>
      </c>
      <c r="G473" s="8" t="inlineStr">
        <is>
          <t>Anticipo Ganancias Ley 25.413 débitos</t>
        </is>
      </c>
      <c r="H473" s="8" t="inlineStr">
        <is>
          <t>Anticipo Impuesto a las Ganancias</t>
        </is>
      </c>
      <c r="I473" s="9" t="n">
        <v>0.5</v>
      </c>
      <c r="J473" s="9" t="inlineStr"/>
      <c r="K473" s="8" t="inlineStr">
        <is>
          <t>Copiar en Flexxus: Tipo=MB-EXT | Movimiento=GRAVAMEN LEY 25.413 S/DEB | Monto=0,50 | Fecha: 21/04/2026</t>
        </is>
      </c>
    </row>
    <row r="474">
      <c r="A474" s="8" t="inlineStr">
        <is>
          <t>PEND-FEC3A619B1C5-A001</t>
        </is>
      </c>
      <c r="B474" s="8" t="inlineStr">
        <is>
          <t>ABIERTO_NUEVO</t>
        </is>
      </c>
      <c r="C474" s="8" t="inlineStr">
        <is>
          <t>Banco egreso no Flexxus</t>
        </is>
      </c>
      <c r="D474" s="8" t="inlineStr">
        <is>
          <t>21/04/2026</t>
        </is>
      </c>
      <c r="E474" s="8" t="inlineStr">
        <is>
          <t>108021</t>
        </is>
      </c>
      <c r="F474" s="8" t="inlineStr">
        <is>
          <t>GRAVAMEN LEY 25413 S/DEB</t>
        </is>
      </c>
      <c r="G474" s="8" t="inlineStr">
        <is>
          <t>Anticipo Ganancias Ley 25.413 débitos</t>
        </is>
      </c>
      <c r="H474" s="8" t="inlineStr">
        <is>
          <t>Anticipo Impuesto a las Ganancias</t>
        </is>
      </c>
      <c r="I474" s="9" t="n">
        <v>1.01</v>
      </c>
      <c r="J474" s="9" t="inlineStr"/>
      <c r="K474" s="8" t="inlineStr">
        <is>
          <t>Copiar en Flexxus: Tipo=MB-EXT | Movimiento=GRAVAMEN LEY 25.413 S/DEB | Monto=1,01 | Fecha: 21/04/2026</t>
        </is>
      </c>
    </row>
    <row r="475">
      <c r="A475" s="8" t="inlineStr">
        <is>
          <t>PEND-6E51C1632471-A001</t>
        </is>
      </c>
      <c r="B475" s="8" t="inlineStr">
        <is>
          <t>ABIERTO_NUEVO</t>
        </is>
      </c>
      <c r="C475" s="8" t="inlineStr">
        <is>
          <t>Banco egreso no Flexxus</t>
        </is>
      </c>
      <c r="D475" s="8" t="inlineStr">
        <is>
          <t>21/04/2026</t>
        </is>
      </c>
      <c r="E475" s="8" t="inlineStr">
        <is>
          <t>108020</t>
        </is>
      </c>
      <c r="F475" s="8" t="inlineStr">
        <is>
          <t>GRAVAMEN LEY 25413 S/DEB</t>
        </is>
      </c>
      <c r="G475" s="8" t="inlineStr">
        <is>
          <t>Anticipo Ganancias Ley 25.413 débitos</t>
        </is>
      </c>
      <c r="H475" s="8" t="inlineStr">
        <is>
          <t>Anticipo Impuesto a las Ganancias</t>
        </is>
      </c>
      <c r="I475" s="9" t="n">
        <v>1.33</v>
      </c>
      <c r="J475" s="9" t="inlineStr"/>
      <c r="K475" s="8" t="inlineStr">
        <is>
          <t>Copiar en Flexxus: Tipo=MB-EXT | Movimiento=GRAVAMEN LEY 25.413 S/DEB | Monto=1,33 | Fecha: 21/04/2026</t>
        </is>
      </c>
    </row>
    <row r="476">
      <c r="A476" s="8" t="inlineStr">
        <is>
          <t>PEND-58CBAF6ED000-A001</t>
        </is>
      </c>
      <c r="B476" s="8" t="inlineStr">
        <is>
          <t>ABIERTO_NUEVO</t>
        </is>
      </c>
      <c r="C476" s="8" t="inlineStr">
        <is>
          <t>Banco egreso no Flexxus</t>
        </is>
      </c>
      <c r="D476" s="8" t="inlineStr">
        <is>
          <t>21/04/2026</t>
        </is>
      </c>
      <c r="E476" s="8" t="inlineStr">
        <is>
          <t>108019</t>
        </is>
      </c>
      <c r="F476" s="8" t="inlineStr">
        <is>
          <t>GRAVAMEN LEY 25413 S/DEB</t>
        </is>
      </c>
      <c r="G476" s="8" t="inlineStr">
        <is>
          <t>Anticipo Ganancias Ley 25.413 débitos</t>
        </is>
      </c>
      <c r="H476" s="8" t="inlineStr">
        <is>
          <t>Anticipo Impuesto a las Ganancias</t>
        </is>
      </c>
      <c r="I476" s="9" t="n">
        <v>0.91</v>
      </c>
      <c r="J476" s="9" t="inlineStr"/>
      <c r="K476" s="8" t="inlineStr">
        <is>
          <t>Copiar en Flexxus: Tipo=MB-EXT | Movimiento=GRAVAMEN LEY 25.413 S/DEB | Monto=0,91 | Fecha: 21/04/2026</t>
        </is>
      </c>
    </row>
    <row r="477">
      <c r="A477" s="8" t="inlineStr">
        <is>
          <t>PEND-E45491BD696D-A001</t>
        </is>
      </c>
      <c r="B477" s="8" t="inlineStr">
        <is>
          <t>ABIERTO_NUEVO</t>
        </is>
      </c>
      <c r="C477" s="8" t="inlineStr">
        <is>
          <t>Banco egreso no Flexxus</t>
        </is>
      </c>
      <c r="D477" s="8" t="inlineStr">
        <is>
          <t>21/04/2026</t>
        </is>
      </c>
      <c r="E477" s="8" t="inlineStr">
        <is>
          <t>108058</t>
        </is>
      </c>
      <c r="F477" s="8" t="inlineStr">
        <is>
          <t>INGRESOS BRUTOS MENDOZA</t>
        </is>
      </c>
      <c r="G477" s="8" t="inlineStr">
        <is>
          <t>Retención Ingresos Brutos Mendoza</t>
        </is>
      </c>
      <c r="H477" s="8" t="inlineStr">
        <is>
          <t>Retención de Ingresos Brutos</t>
        </is>
      </c>
      <c r="I477" s="9" t="n">
        <v>44.56</v>
      </c>
      <c r="J477" s="9" t="inlineStr"/>
      <c r="K477" s="8" t="inlineStr">
        <is>
          <t>Copiar en Flexxus: Tipo=MB-EXT | Movimiento=INGRESOS BRUTOS MENDOZA | Monto=44,56 | Fecha: 21/04/2026</t>
        </is>
      </c>
    </row>
    <row r="478">
      <c r="A478" s="8" t="inlineStr">
        <is>
          <t>PEND-424D167166F4-A001</t>
        </is>
      </c>
      <c r="B478" s="8" t="inlineStr">
        <is>
          <t>ABIERTO_NUEVO</t>
        </is>
      </c>
      <c r="C478" s="8" t="inlineStr">
        <is>
          <t>Banco egreso no Flexxus</t>
        </is>
      </c>
      <c r="D478" s="8" t="inlineStr">
        <is>
          <t>21/04/2026</t>
        </is>
      </c>
      <c r="E478" s="8" t="inlineStr">
        <is>
          <t>108058</t>
        </is>
      </c>
      <c r="F478" s="8" t="inlineStr">
        <is>
          <t>GRAVAMEN LEY 25413 S/CRED</t>
        </is>
      </c>
      <c r="G478" s="8" t="inlineStr">
        <is>
          <t>Anticipo Ganancias Ley 25.413 créditos</t>
        </is>
      </c>
      <c r="H478" s="8" t="inlineStr">
        <is>
          <t>Anticipo Impuesto a las Ganancias</t>
        </is>
      </c>
      <c r="I478" s="9" t="n">
        <v>26.74</v>
      </c>
      <c r="J478" s="9" t="inlineStr"/>
      <c r="K478" s="8" t="inlineStr">
        <is>
          <t>Copiar en Flexxus: Tipo=MB-EXT | Movimiento=GRAVAMEN LEY 25.413 S/CRED | Monto=26,74 | Fecha: 21/04/2026</t>
        </is>
      </c>
    </row>
    <row r="479">
      <c r="A479" s="8" t="inlineStr">
        <is>
          <t>PEND-0E50D7173AAA-A001</t>
        </is>
      </c>
      <c r="B479" s="8" t="inlineStr">
        <is>
          <t>ABIERTO_NUEVO</t>
        </is>
      </c>
      <c r="C479" s="8" t="inlineStr">
        <is>
          <t>Banco egreso no Flexxus</t>
        </is>
      </c>
      <c r="D479" s="8" t="inlineStr">
        <is>
          <t>21/04/2026</t>
        </is>
      </c>
      <c r="E479" s="8" t="inlineStr">
        <is>
          <t>108057</t>
        </is>
      </c>
      <c r="F479" s="8" t="inlineStr">
        <is>
          <t>INGRESOS BRUTOS MENDOZA</t>
        </is>
      </c>
      <c r="G479" s="8" t="inlineStr">
        <is>
          <t>Retención Ingresos Brutos Mendoza</t>
        </is>
      </c>
      <c r="H479" s="8" t="inlineStr">
        <is>
          <t>Retención de Ingresos Brutos</t>
        </is>
      </c>
      <c r="I479" s="9" t="n">
        <v>232.73</v>
      </c>
      <c r="J479" s="9" t="inlineStr"/>
      <c r="K479" s="8" t="inlineStr">
        <is>
          <t>Copiar en Flexxus: Tipo=MB-EXT | Movimiento=INGRESOS BRUTOS MENDOZA | Monto=232,73 | Fecha: 21/04/2026</t>
        </is>
      </c>
    </row>
    <row r="480">
      <c r="A480" s="8" t="inlineStr">
        <is>
          <t>PEND-5B52E07D483B-A001</t>
        </is>
      </c>
      <c r="B480" s="8" t="inlineStr">
        <is>
          <t>ABIERTO_NUEVO</t>
        </is>
      </c>
      <c r="C480" s="8" t="inlineStr">
        <is>
          <t>Banco egreso no Flexxus</t>
        </is>
      </c>
      <c r="D480" s="8" t="inlineStr">
        <is>
          <t>21/04/2026</t>
        </is>
      </c>
      <c r="E480" s="8" t="inlineStr">
        <is>
          <t>108057</t>
        </is>
      </c>
      <c r="F480" s="8" t="inlineStr">
        <is>
          <t>GRAVAMEN LEY 25413 S/CRED</t>
        </is>
      </c>
      <c r="G480" s="8" t="inlineStr">
        <is>
          <t>Anticipo Ganancias Ley 25.413 créditos</t>
        </is>
      </c>
      <c r="H480" s="8" t="inlineStr">
        <is>
          <t>Anticipo Impuesto a las Ganancias</t>
        </is>
      </c>
      <c r="I480" s="9" t="n">
        <v>139.64</v>
      </c>
      <c r="J480" s="9" t="inlineStr"/>
      <c r="K480" s="8" t="inlineStr">
        <is>
          <t>Copiar en Flexxus: Tipo=MB-EXT | Movimiento=GRAVAMEN LEY 25.413 S/CRED | Monto=139,64 | Fecha: 21/04/2026</t>
        </is>
      </c>
    </row>
    <row r="481">
      <c r="A481" s="8" t="inlineStr">
        <is>
          <t>PEND-7788139171D0-A001</t>
        </is>
      </c>
      <c r="B481" s="8" t="inlineStr">
        <is>
          <t>ABIERTO_NUEVO</t>
        </is>
      </c>
      <c r="C481" s="8" t="inlineStr">
        <is>
          <t>Banco egreso no Flexxus</t>
        </is>
      </c>
      <c r="D481" s="8" t="inlineStr">
        <is>
          <t>21/04/2026</t>
        </is>
      </c>
      <c r="E481" s="8" t="inlineStr">
        <is>
          <t>108056</t>
        </is>
      </c>
      <c r="F481" s="8" t="inlineStr">
        <is>
          <t>INGRESOS BRUTOS MENDOZA</t>
        </is>
      </c>
      <c r="G481" s="8" t="inlineStr">
        <is>
          <t>Retención Ingresos Brutos Mendoza</t>
        </is>
      </c>
      <c r="H481" s="8" t="inlineStr">
        <is>
          <t>Retención de Ingresos Brutos</t>
        </is>
      </c>
      <c r="I481" s="9" t="n">
        <v>146.57</v>
      </c>
      <c r="J481" s="9" t="inlineStr"/>
      <c r="K481" s="8" t="inlineStr">
        <is>
          <t>Copiar en Flexxus: Tipo=MB-EXT | Movimiento=INGRESOS BRUTOS MENDOZA | Monto=146,57 | Fecha: 21/04/2026</t>
        </is>
      </c>
    </row>
    <row r="482">
      <c r="A482" s="8" t="inlineStr">
        <is>
          <t>PEND-77433A86A58C-A001</t>
        </is>
      </c>
      <c r="B482" s="8" t="inlineStr">
        <is>
          <t>ABIERTO_NUEVO</t>
        </is>
      </c>
      <c r="C482" s="8" t="inlineStr">
        <is>
          <t>Banco egreso no Flexxus</t>
        </is>
      </c>
      <c r="D482" s="8" t="inlineStr">
        <is>
          <t>21/04/2026</t>
        </is>
      </c>
      <c r="E482" s="8" t="inlineStr">
        <is>
          <t>108056</t>
        </is>
      </c>
      <c r="F482" s="8" t="inlineStr">
        <is>
          <t>GRAVAMEN LEY 25413 S/CRED</t>
        </is>
      </c>
      <c r="G482" s="8" t="inlineStr">
        <is>
          <t>Anticipo Ganancias Ley 25.413 créditos</t>
        </is>
      </c>
      <c r="H482" s="8" t="inlineStr">
        <is>
          <t>Anticipo Impuesto a las Ganancias</t>
        </is>
      </c>
      <c r="I482" s="9" t="n">
        <v>87.94</v>
      </c>
      <c r="J482" s="9" t="inlineStr"/>
      <c r="K482" s="8" t="inlineStr">
        <is>
          <t>Copiar en Flexxus: Tipo=MB-EXT | Movimiento=GRAVAMEN LEY 25.413 S/CRED | Monto=87,94 | Fecha: 21/04/2026</t>
        </is>
      </c>
    </row>
    <row r="483">
      <c r="A483" s="8" t="inlineStr">
        <is>
          <t>PEND-7D39C5062E5E-A001</t>
        </is>
      </c>
      <c r="B483" s="8" t="inlineStr">
        <is>
          <t>ABIERTO_NUEVO</t>
        </is>
      </c>
      <c r="C483" s="8" t="inlineStr">
        <is>
          <t>Banco egreso no Flexxus</t>
        </is>
      </c>
      <c r="D483" s="8" t="inlineStr">
        <is>
          <t>21/04/2026</t>
        </is>
      </c>
      <c r="E483" s="8" t="inlineStr">
        <is>
          <t>108055</t>
        </is>
      </c>
      <c r="F483" s="8" t="inlineStr">
        <is>
          <t>INGRESOS BRUTOS MENDOZA</t>
        </is>
      </c>
      <c r="G483" s="8" t="inlineStr">
        <is>
          <t>Retención Ingresos Brutos Mendoza</t>
        </is>
      </c>
      <c r="H483" s="8" t="inlineStr">
        <is>
          <t>Retención de Ingresos Brutos</t>
        </is>
      </c>
      <c r="I483" s="9" t="n">
        <v>546.66</v>
      </c>
      <c r="J483" s="9" t="inlineStr"/>
      <c r="K483" s="8" t="inlineStr">
        <is>
          <t>Copiar en Flexxus: Tipo=MB-EXT | Movimiento=INGRESOS BRUTOS MENDOZA | Monto=546,66 | Fecha: 21/04/2026</t>
        </is>
      </c>
    </row>
    <row r="484">
      <c r="A484" s="8" t="inlineStr">
        <is>
          <t>PEND-2BADF396E222-A001</t>
        </is>
      </c>
      <c r="B484" s="8" t="inlineStr">
        <is>
          <t>ABIERTO_NUEVO</t>
        </is>
      </c>
      <c r="C484" s="8" t="inlineStr">
        <is>
          <t>Banco egreso no Flexxus</t>
        </is>
      </c>
      <c r="D484" s="8" t="inlineStr">
        <is>
          <t>21/04/2026</t>
        </is>
      </c>
      <c r="E484" s="8" t="inlineStr">
        <is>
          <t>108055</t>
        </is>
      </c>
      <c r="F484" s="8" t="inlineStr">
        <is>
          <t>GRAVAMEN LEY 25413 S/CRED</t>
        </is>
      </c>
      <c r="G484" s="8" t="inlineStr">
        <is>
          <t>Anticipo Ganancias Ley 25.413 créditos</t>
        </is>
      </c>
      <c r="H484" s="8" t="inlineStr">
        <is>
          <t>Anticipo Impuesto a las Ganancias</t>
        </is>
      </c>
      <c r="I484" s="9" t="n">
        <v>327.99</v>
      </c>
      <c r="J484" s="9" t="inlineStr"/>
      <c r="K484" s="8" t="inlineStr">
        <is>
          <t>Copiar en Flexxus: Tipo=MB-EXT | Movimiento=GRAVAMEN LEY 25.413 S/CRED | Monto=327,99 | Fecha: 21/04/2026</t>
        </is>
      </c>
    </row>
    <row r="485">
      <c r="A485" s="8" t="inlineStr">
        <is>
          <t>PEND-690AE6A4E2B1-A001</t>
        </is>
      </c>
      <c r="B485" s="8" t="inlineStr">
        <is>
          <t>ABIERTO_NUEVO</t>
        </is>
      </c>
      <c r="C485" s="8" t="inlineStr">
        <is>
          <t>Banco egreso no Flexxus</t>
        </is>
      </c>
      <c r="D485" s="8" t="inlineStr">
        <is>
          <t>21/04/2026</t>
        </is>
      </c>
      <c r="E485" s="8" t="inlineStr">
        <is>
          <t>29841705</t>
        </is>
      </c>
      <c r="F485" s="8" t="inlineStr">
        <is>
          <t>INGRESOS BRUTOS MENDOZA</t>
        </is>
      </c>
      <c r="G485" s="8" t="inlineStr">
        <is>
          <t>Retención Ingresos Brutos Mendoza</t>
        </is>
      </c>
      <c r="H485" s="8" t="inlineStr">
        <is>
          <t>Retención de Ingresos Brutos</t>
        </is>
      </c>
      <c r="I485" s="9" t="n">
        <v>122.28</v>
      </c>
      <c r="J485" s="9" t="inlineStr"/>
      <c r="K485" s="8" t="inlineStr">
        <is>
          <t>Copiar en Flexxus: Tipo=MB-EXT | Movimiento=INGRESOS BRUTOS MENDOZA | Monto=122,28 | Fecha: 21/04/2026</t>
        </is>
      </c>
    </row>
    <row r="486">
      <c r="A486" s="8" t="inlineStr">
        <is>
          <t>PEND-A8D1A059B00A-A001</t>
        </is>
      </c>
      <c r="B486" s="8" t="inlineStr">
        <is>
          <t>ABIERTO_NUEVO</t>
        </is>
      </c>
      <c r="C486" s="8" t="inlineStr">
        <is>
          <t>Banco egreso no Flexxus</t>
        </is>
      </c>
      <c r="D486" s="8" t="inlineStr">
        <is>
          <t>21/04/2026</t>
        </is>
      </c>
      <c r="E486" s="8" t="inlineStr">
        <is>
          <t>29841705</t>
        </is>
      </c>
      <c r="F486" s="8" t="inlineStr">
        <is>
          <t>GRAVAMEN LEY 25413 S/CRED</t>
        </is>
      </c>
      <c r="G486" s="8" t="inlineStr">
        <is>
          <t>Anticipo Ganancias Ley 25.413 créditos</t>
        </is>
      </c>
      <c r="H486" s="8" t="inlineStr">
        <is>
          <t>Anticipo Impuesto a las Ganancias</t>
        </is>
      </c>
      <c r="I486" s="9" t="n">
        <v>73.37</v>
      </c>
      <c r="J486" s="9" t="inlineStr"/>
      <c r="K486" s="8" t="inlineStr">
        <is>
          <t>Copiar en Flexxus: Tipo=MB-EXT | Movimiento=GRAVAMEN LEY 25.413 S/CRED | Monto=73,37 | Fecha: 21/04/2026</t>
        </is>
      </c>
    </row>
    <row r="487">
      <c r="A487" s="8" t="inlineStr">
        <is>
          <t>PEND-79197B7BE694-A001</t>
        </is>
      </c>
      <c r="B487" s="8" t="inlineStr">
        <is>
          <t>ABIERTO_NUEVO</t>
        </is>
      </c>
      <c r="C487" s="8" t="inlineStr">
        <is>
          <t>Banco egreso no Flexxus</t>
        </is>
      </c>
      <c r="D487" s="8" t="inlineStr">
        <is>
          <t>21/04/2026</t>
        </is>
      </c>
      <c r="E487" s="8" t="inlineStr">
        <is>
          <t>29841642</t>
        </is>
      </c>
      <c r="F487" s="8" t="inlineStr">
        <is>
          <t>INGRESOS BRUTOS MENDOZA</t>
        </is>
      </c>
      <c r="G487" s="8" t="inlineStr">
        <is>
          <t>Retención Ingresos Brutos Mendoza</t>
        </is>
      </c>
      <c r="H487" s="8" t="inlineStr">
        <is>
          <t>Retención de Ingresos Brutos</t>
        </is>
      </c>
      <c r="I487" s="9" t="n">
        <v>321.83</v>
      </c>
      <c r="J487" s="9" t="inlineStr"/>
      <c r="K487" s="8" t="inlineStr">
        <is>
          <t>Copiar en Flexxus: Tipo=MB-EXT | Movimiento=INGRESOS BRUTOS MENDOZA | Monto=321,83 | Fecha: 21/04/2026</t>
        </is>
      </c>
    </row>
    <row r="488">
      <c r="A488" s="8" t="inlineStr">
        <is>
          <t>PEND-7D4143F0B215-A001</t>
        </is>
      </c>
      <c r="B488" s="8" t="inlineStr">
        <is>
          <t>ABIERTO_NUEVO</t>
        </is>
      </c>
      <c r="C488" s="8" t="inlineStr">
        <is>
          <t>Banco egreso no Flexxus</t>
        </is>
      </c>
      <c r="D488" s="8" t="inlineStr">
        <is>
          <t>21/04/2026</t>
        </is>
      </c>
      <c r="E488" s="8" t="inlineStr">
        <is>
          <t>29841642</t>
        </is>
      </c>
      <c r="F488" s="8" t="inlineStr">
        <is>
          <t>GRAVAMEN LEY 25413 S/CRED</t>
        </is>
      </c>
      <c r="G488" s="8" t="inlineStr">
        <is>
          <t>Anticipo Ganancias Ley 25.413 créditos</t>
        </is>
      </c>
      <c r="H488" s="8" t="inlineStr">
        <is>
          <t>Anticipo Impuesto a las Ganancias</t>
        </is>
      </c>
      <c r="I488" s="9" t="n">
        <v>193.1</v>
      </c>
      <c r="J488" s="9" t="inlineStr"/>
      <c r="K488" s="8" t="inlineStr">
        <is>
          <t>Copiar en Flexxus: Tipo=MB-EXT | Movimiento=GRAVAMEN LEY 25.413 S/CRED | Monto=193,10 | Fecha: 21/04/2026</t>
        </is>
      </c>
    </row>
    <row r="489">
      <c r="A489" s="8" t="inlineStr">
        <is>
          <t>PEND-DCEBCD296967-A001</t>
        </is>
      </c>
      <c r="B489" s="8" t="inlineStr">
        <is>
          <t>ABIERTO_NUEVO</t>
        </is>
      </c>
      <c r="C489" s="8" t="inlineStr">
        <is>
          <t>Banco egreso no Flexxus</t>
        </is>
      </c>
      <c r="D489" s="8" t="inlineStr">
        <is>
          <t>21/04/2026</t>
        </is>
      </c>
      <c r="E489" s="8" t="inlineStr">
        <is>
          <t>32032899</t>
        </is>
      </c>
      <c r="F489" s="8" t="inlineStr">
        <is>
          <t>INGRESOS BRUTOS MENDOZA</t>
        </is>
      </c>
      <c r="G489" s="8" t="inlineStr">
        <is>
          <t>Retención Ingresos Brutos Mendoza</t>
        </is>
      </c>
      <c r="H489" s="8" t="inlineStr">
        <is>
          <t>Retención de Ingresos Brutos</t>
        </is>
      </c>
      <c r="I489" s="9" t="n">
        <v>19234</v>
      </c>
      <c r="J489" s="9" t="inlineStr"/>
      <c r="K489" s="8" t="inlineStr">
        <is>
          <t>Copiar en Flexxus: Tipo=MB-EXT | Movimiento=INGRESOS BRUTOS MENDOZA | Monto=19.234,00 | Fecha: 21/04/2026</t>
        </is>
      </c>
    </row>
    <row r="490">
      <c r="A490" s="8" t="inlineStr">
        <is>
          <t>PEND-C6BF57CCD6D6-A001</t>
        </is>
      </c>
      <c r="B490" s="8" t="inlineStr">
        <is>
          <t>ABIERTO_NUEVO</t>
        </is>
      </c>
      <c r="C490" s="8" t="inlineStr">
        <is>
          <t>Banco egreso no Flexxus</t>
        </is>
      </c>
      <c r="D490" s="8" t="inlineStr">
        <is>
          <t>21/04/2026</t>
        </is>
      </c>
      <c r="E490" s="8" t="inlineStr">
        <is>
          <t>32032899</t>
        </is>
      </c>
      <c r="F490" s="8" t="inlineStr">
        <is>
          <t>GRAVAMEN LEY 25413 S/CRED</t>
        </is>
      </c>
      <c r="G490" s="8" t="inlineStr">
        <is>
          <t>Anticipo Ganancias Ley 25.413 créditos</t>
        </is>
      </c>
      <c r="H490" s="8" t="inlineStr">
        <is>
          <t>Anticipo Impuesto a las Ganancias</t>
        </is>
      </c>
      <c r="I490" s="9" t="n">
        <v>11540.4</v>
      </c>
      <c r="J490" s="9" t="inlineStr"/>
      <c r="K490" s="8" t="inlineStr">
        <is>
          <t>Copiar en Flexxus: Tipo=MB-EXT | Movimiento=GRAVAMEN LEY 25.413 S/CRED | Monto=11.540,40 | Fecha: 21/04/2026</t>
        </is>
      </c>
    </row>
    <row r="491">
      <c r="A491" s="8" t="inlineStr">
        <is>
          <t>PEND-1EC525376CCE-A001</t>
        </is>
      </c>
      <c r="B491" s="8" t="inlineStr">
        <is>
          <t>ABIERTO_NUEVO</t>
        </is>
      </c>
      <c r="C491" s="8" t="inlineStr">
        <is>
          <t>Banco egreso no Flexxus</t>
        </is>
      </c>
      <c r="D491" s="8" t="inlineStr">
        <is>
          <t>21/04/2026</t>
        </is>
      </c>
      <c r="E491" s="8" t="inlineStr">
        <is>
          <t>31995644</t>
        </is>
      </c>
      <c r="F491" s="8" t="inlineStr">
        <is>
          <t>INGRESOS BRUTOS MENDOZA</t>
        </is>
      </c>
      <c r="G491" s="8" t="inlineStr">
        <is>
          <t>Retención Ingresos Brutos Mendoza</t>
        </is>
      </c>
      <c r="H491" s="8" t="inlineStr">
        <is>
          <t>Retención de Ingresos Brutos</t>
        </is>
      </c>
      <c r="I491" s="9" t="n">
        <v>20708.98</v>
      </c>
      <c r="J491" s="9" t="inlineStr"/>
      <c r="K491" s="8" t="inlineStr">
        <is>
          <t>Copiar en Flexxus: Tipo=MB-EXT | Movimiento=INGRESOS BRUTOS MENDOZA | Monto=20.708,98 | Fecha: 21/04/2026</t>
        </is>
      </c>
    </row>
    <row r="492">
      <c r="A492" s="8" t="inlineStr">
        <is>
          <t>PEND-B766CF0A3626-A001</t>
        </is>
      </c>
      <c r="B492" s="8" t="inlineStr">
        <is>
          <t>ABIERTO_NUEVO</t>
        </is>
      </c>
      <c r="C492" s="8" t="inlineStr">
        <is>
          <t>Banco egreso no Flexxus</t>
        </is>
      </c>
      <c r="D492" s="8" t="inlineStr">
        <is>
          <t>21/04/2026</t>
        </is>
      </c>
      <c r="E492" s="8" t="inlineStr">
        <is>
          <t>31995644</t>
        </is>
      </c>
      <c r="F492" s="8" t="inlineStr">
        <is>
          <t>GRAVAMEN LEY 25413 S/CRED</t>
        </is>
      </c>
      <c r="G492" s="8" t="inlineStr">
        <is>
          <t>Anticipo Ganancias Ley 25.413 créditos</t>
        </is>
      </c>
      <c r="H492" s="8" t="inlineStr">
        <is>
          <t>Anticipo Impuesto a las Ganancias</t>
        </is>
      </c>
      <c r="I492" s="9" t="n">
        <v>12425.39</v>
      </c>
      <c r="J492" s="9" t="inlineStr"/>
      <c r="K492" s="8" t="inlineStr">
        <is>
          <t>Copiar en Flexxus: Tipo=MB-EXT | Movimiento=GRAVAMEN LEY 25.413 S/CRED | Monto=12.425,39 | Fecha: 21/04/2026</t>
        </is>
      </c>
    </row>
    <row r="493">
      <c r="A493" s="8" t="inlineStr">
        <is>
          <t>PEND-CC96EA981D53-A001</t>
        </is>
      </c>
      <c r="B493" s="8" t="inlineStr">
        <is>
          <t>ABIERTO_NUEVO</t>
        </is>
      </c>
      <c r="C493" s="8" t="inlineStr">
        <is>
          <t>Banco egreso no Flexxus</t>
        </is>
      </c>
      <c r="D493" s="8" t="inlineStr">
        <is>
          <t>21/04/2026</t>
        </is>
      </c>
      <c r="E493" s="8" t="inlineStr">
        <is>
          <t>29841705</t>
        </is>
      </c>
      <c r="F493" s="8" t="inlineStr">
        <is>
          <t>INGRESOS BRUTOS MENDOZA</t>
        </is>
      </c>
      <c r="G493" s="8" t="inlineStr">
        <is>
          <t>Retención Ingresos Brutos Mendoza</t>
        </is>
      </c>
      <c r="H493" s="8" t="inlineStr">
        <is>
          <t>Retención de Ingresos Brutos</t>
        </is>
      </c>
      <c r="I493" s="9" t="n">
        <v>6181.29</v>
      </c>
      <c r="J493" s="9" t="inlineStr"/>
      <c r="K493" s="8" t="inlineStr">
        <is>
          <t>Copiar en Flexxus: Tipo=MB-EXT | Movimiento=INGRESOS BRUTOS MENDOZA | Monto=6.181,29 | Fecha: 21/04/2026</t>
        </is>
      </c>
    </row>
    <row r="494">
      <c r="A494" s="8" t="inlineStr">
        <is>
          <t>PEND-9DE20E4AE94F-A001</t>
        </is>
      </c>
      <c r="B494" s="8" t="inlineStr">
        <is>
          <t>ABIERTO_NUEVO</t>
        </is>
      </c>
      <c r="C494" s="8" t="inlineStr">
        <is>
          <t>Banco egreso no Flexxus</t>
        </is>
      </c>
      <c r="D494" s="8" t="inlineStr">
        <is>
          <t>21/04/2026</t>
        </is>
      </c>
      <c r="E494" s="8" t="inlineStr">
        <is>
          <t>29841705</t>
        </is>
      </c>
      <c r="F494" s="8" t="inlineStr">
        <is>
          <t>GRAVAMEN LEY 25413 S/CRED</t>
        </is>
      </c>
      <c r="G494" s="8" t="inlineStr">
        <is>
          <t>Anticipo Ganancias Ley 25.413 créditos</t>
        </is>
      </c>
      <c r="H494" s="8" t="inlineStr">
        <is>
          <t>Anticipo Impuesto a las Ganancias</t>
        </is>
      </c>
      <c r="I494" s="9" t="n">
        <v>3708.77</v>
      </c>
      <c r="J494" s="9" t="inlineStr"/>
      <c r="K494" s="8" t="inlineStr">
        <is>
          <t>Copiar en Flexxus: Tipo=MB-EXT | Movimiento=GRAVAMEN LEY 25.413 S/CRED | Monto=3.708,77 | Fecha: 21/04/2026</t>
        </is>
      </c>
    </row>
    <row r="495">
      <c r="A495" s="8" t="inlineStr">
        <is>
          <t>PEND-36E990B85443-A001</t>
        </is>
      </c>
      <c r="B495" s="8" t="inlineStr">
        <is>
          <t>ABIERTO_NUEVO</t>
        </is>
      </c>
      <c r="C495" s="8" t="inlineStr">
        <is>
          <t>Banco egreso no Flexxus</t>
        </is>
      </c>
      <c r="D495" s="8" t="inlineStr">
        <is>
          <t>21/04/2026</t>
        </is>
      </c>
      <c r="E495" s="8" t="inlineStr">
        <is>
          <t>29841683</t>
        </is>
      </c>
      <c r="F495" s="8" t="inlineStr">
        <is>
          <t>INGRESOS BRUTOS MENDOZA</t>
        </is>
      </c>
      <c r="G495" s="8" t="inlineStr">
        <is>
          <t>Retención Ingresos Brutos Mendoza</t>
        </is>
      </c>
      <c r="H495" s="8" t="inlineStr">
        <is>
          <t>Retención de Ingresos Brutos</t>
        </is>
      </c>
      <c r="I495" s="9" t="n">
        <v>2074.16</v>
      </c>
      <c r="J495" s="9" t="inlineStr"/>
      <c r="K495" s="8" t="inlineStr">
        <is>
          <t>Copiar en Flexxus: Tipo=MB-EXT | Movimiento=INGRESOS BRUTOS MENDOZA | Monto=2.074,16 | Fecha: 21/04/2026</t>
        </is>
      </c>
    </row>
    <row r="496">
      <c r="A496" s="8" t="inlineStr">
        <is>
          <t>PEND-214501A54A0A-A001</t>
        </is>
      </c>
      <c r="B496" s="8" t="inlineStr">
        <is>
          <t>ABIERTO_NUEVO</t>
        </is>
      </c>
      <c r="C496" s="8" t="inlineStr">
        <is>
          <t>Banco egreso no Flexxus</t>
        </is>
      </c>
      <c r="D496" s="8" t="inlineStr">
        <is>
          <t>21/04/2026</t>
        </is>
      </c>
      <c r="E496" s="8" t="inlineStr">
        <is>
          <t>29841683</t>
        </is>
      </c>
      <c r="F496" s="8" t="inlineStr">
        <is>
          <t>GRAVAMEN LEY 25413 S/CRED</t>
        </is>
      </c>
      <c r="G496" s="8" t="inlineStr">
        <is>
          <t>Anticipo Ganancias Ley 25.413 créditos</t>
        </is>
      </c>
      <c r="H496" s="8" t="inlineStr">
        <is>
          <t>Anticipo Impuesto a las Ganancias</t>
        </is>
      </c>
      <c r="I496" s="9" t="n">
        <v>1244.49</v>
      </c>
      <c r="J496" s="9" t="inlineStr"/>
      <c r="K496" s="8" t="inlineStr">
        <is>
          <t>Copiar en Flexxus: Tipo=MB-EXT | Movimiento=GRAVAMEN LEY 25.413 S/CRED | Monto=1.244,49 | Fecha: 21/04/2026</t>
        </is>
      </c>
    </row>
    <row r="497">
      <c r="A497" s="8" t="inlineStr">
        <is>
          <t>PEND-CADF5EA8B3E2-A001</t>
        </is>
      </c>
      <c r="B497" s="8" t="inlineStr">
        <is>
          <t>ABIERTO_NUEVO</t>
        </is>
      </c>
      <c r="C497" s="8" t="inlineStr">
        <is>
          <t>Banco egreso no Flexxus</t>
        </is>
      </c>
      <c r="D497" s="8" t="inlineStr">
        <is>
          <t>21/04/2026</t>
        </is>
      </c>
      <c r="E497" s="8" t="inlineStr">
        <is>
          <t>29841670</t>
        </is>
      </c>
      <c r="F497" s="8" t="inlineStr">
        <is>
          <t>INGRESOS BRUTOS MENDOZA</t>
        </is>
      </c>
      <c r="G497" s="8" t="inlineStr">
        <is>
          <t>Retención Ingresos Brutos Mendoza</t>
        </is>
      </c>
      <c r="H497" s="8" t="inlineStr">
        <is>
          <t>Retención de Ingresos Brutos</t>
        </is>
      </c>
      <c r="I497" s="9" t="n">
        <v>2743.55</v>
      </c>
      <c r="J497" s="9" t="inlineStr"/>
      <c r="K497" s="8" t="inlineStr">
        <is>
          <t>Copiar en Flexxus: Tipo=MB-EXT | Movimiento=INGRESOS BRUTOS MENDOZA | Monto=2.743,55 | Fecha: 21/04/2026</t>
        </is>
      </c>
    </row>
    <row r="498">
      <c r="A498" s="8" t="inlineStr">
        <is>
          <t>PEND-B27946901A5A-A001</t>
        </is>
      </c>
      <c r="B498" s="8" t="inlineStr">
        <is>
          <t>ABIERTO_NUEVO</t>
        </is>
      </c>
      <c r="C498" s="8" t="inlineStr">
        <is>
          <t>Banco egreso no Flexxus</t>
        </is>
      </c>
      <c r="D498" s="8" t="inlineStr">
        <is>
          <t>21/04/2026</t>
        </is>
      </c>
      <c r="E498" s="8" t="inlineStr">
        <is>
          <t>29841670</t>
        </is>
      </c>
      <c r="F498" s="8" t="inlineStr">
        <is>
          <t>GRAVAMEN LEY 25413 S/CRED</t>
        </is>
      </c>
      <c r="G498" s="8" t="inlineStr">
        <is>
          <t>Anticipo Ganancias Ley 25.413 créditos</t>
        </is>
      </c>
      <c r="H498" s="8" t="inlineStr">
        <is>
          <t>Anticipo Impuesto a las Ganancias</t>
        </is>
      </c>
      <c r="I498" s="9" t="n">
        <v>1646.13</v>
      </c>
      <c r="J498" s="9" t="inlineStr"/>
      <c r="K498" s="8" t="inlineStr">
        <is>
          <t>Copiar en Flexxus: Tipo=MB-EXT | Movimiento=GRAVAMEN LEY 25.413 S/CRED | Monto=1.646,13 | Fecha: 21/04/2026</t>
        </is>
      </c>
    </row>
    <row r="499">
      <c r="A499" s="8" t="inlineStr">
        <is>
          <t>PEND-8E0C6518A751-A001</t>
        </is>
      </c>
      <c r="B499" s="8" t="inlineStr">
        <is>
          <t>ABIERTO_NUEVO</t>
        </is>
      </c>
      <c r="C499" s="8" t="inlineStr">
        <is>
          <t>Banco egreso no Flexxus</t>
        </is>
      </c>
      <c r="D499" s="8" t="inlineStr">
        <is>
          <t>21/04/2026</t>
        </is>
      </c>
      <c r="E499" s="8" t="inlineStr">
        <is>
          <t>29841642</t>
        </is>
      </c>
      <c r="F499" s="8" t="inlineStr">
        <is>
          <t>INGRESOS BRUTOS MENDOZA</t>
        </is>
      </c>
      <c r="G499" s="8" t="inlineStr">
        <is>
          <t>Retención Ingresos Brutos Mendoza</t>
        </is>
      </c>
      <c r="H499" s="8" t="inlineStr">
        <is>
          <t>Retención de Ingresos Brutos</t>
        </is>
      </c>
      <c r="I499" s="9" t="n">
        <v>4884.67</v>
      </c>
      <c r="J499" s="9" t="inlineStr"/>
      <c r="K499" s="8" t="inlineStr">
        <is>
          <t>Copiar en Flexxus: Tipo=MB-EXT | Movimiento=INGRESOS BRUTOS MENDOZA | Monto=4.884,67 | Fecha: 21/04/2026</t>
        </is>
      </c>
    </row>
    <row r="500">
      <c r="A500" s="8" t="inlineStr">
        <is>
          <t>PEND-F5031BA80313-A001</t>
        </is>
      </c>
      <c r="B500" s="8" t="inlineStr">
        <is>
          <t>ABIERTO_NUEVO</t>
        </is>
      </c>
      <c r="C500" s="8" t="inlineStr">
        <is>
          <t>Banco egreso no Flexxus</t>
        </is>
      </c>
      <c r="D500" s="8" t="inlineStr">
        <is>
          <t>21/04/2026</t>
        </is>
      </c>
      <c r="E500" s="8" t="inlineStr">
        <is>
          <t>29841642</t>
        </is>
      </c>
      <c r="F500" s="8" t="inlineStr">
        <is>
          <t>GRAVAMEN LEY 25413 S/CRED</t>
        </is>
      </c>
      <c r="G500" s="8" t="inlineStr">
        <is>
          <t>Anticipo Ganancias Ley 25.413 créditos</t>
        </is>
      </c>
      <c r="H500" s="8" t="inlineStr">
        <is>
          <t>Anticipo Impuesto a las Ganancias</t>
        </is>
      </c>
      <c r="I500" s="9" t="n">
        <v>2930.8</v>
      </c>
      <c r="J500" s="9" t="inlineStr"/>
      <c r="K500" s="8" t="inlineStr">
        <is>
          <t>Copiar en Flexxus: Tipo=MB-EXT | Movimiento=GRAVAMEN LEY 25.413 S/CRED | Monto=2.930,80 | Fecha: 21/04/2026</t>
        </is>
      </c>
    </row>
    <row r="501">
      <c r="A501" s="8" t="inlineStr">
        <is>
          <t>PEND-205992A4EAD2-A001</t>
        </is>
      </c>
      <c r="B501" s="8" t="inlineStr">
        <is>
          <t>ABIERTO_NUEVO</t>
        </is>
      </c>
      <c r="C501" s="8" t="inlineStr">
        <is>
          <t>Banco egreso no Flexxus</t>
        </is>
      </c>
      <c r="D501" s="8" t="inlineStr">
        <is>
          <t>21/04/2026</t>
        </is>
      </c>
      <c r="E501" s="8" t="inlineStr">
        <is>
          <t>29841627</t>
        </is>
      </c>
      <c r="F501" s="8" t="inlineStr">
        <is>
          <t>INGRESOS BRUTOS MENDOZA</t>
        </is>
      </c>
      <c r="G501" s="8" t="inlineStr">
        <is>
          <t>Retención Ingresos Brutos Mendoza</t>
        </is>
      </c>
      <c r="H501" s="8" t="inlineStr">
        <is>
          <t>Retención de Ingresos Brutos</t>
        </is>
      </c>
      <c r="I501" s="9" t="n">
        <v>1444.31</v>
      </c>
      <c r="J501" s="9" t="inlineStr"/>
      <c r="K501" s="8" t="inlineStr">
        <is>
          <t>Copiar en Flexxus: Tipo=MB-EXT | Movimiento=INGRESOS BRUTOS MENDOZA | Monto=1.444,31 | Fecha: 21/04/2026</t>
        </is>
      </c>
    </row>
    <row r="502">
      <c r="A502" s="8" t="inlineStr">
        <is>
          <t>PEND-103B26A05CC8-A001</t>
        </is>
      </c>
      <c r="B502" s="8" t="inlineStr">
        <is>
          <t>ABIERTO_NUEVO</t>
        </is>
      </c>
      <c r="C502" s="8" t="inlineStr">
        <is>
          <t>Banco egreso no Flexxus</t>
        </is>
      </c>
      <c r="D502" s="8" t="inlineStr">
        <is>
          <t>21/04/2026</t>
        </is>
      </c>
      <c r="E502" s="8" t="inlineStr">
        <is>
          <t>29841627</t>
        </is>
      </c>
      <c r="F502" s="8" t="inlineStr">
        <is>
          <t>GRAVAMEN LEY 25413 S/CRED</t>
        </is>
      </c>
      <c r="G502" s="8" t="inlineStr">
        <is>
          <t>Anticipo Ganancias Ley 25.413 créditos</t>
        </is>
      </c>
      <c r="H502" s="8" t="inlineStr">
        <is>
          <t>Anticipo Impuesto a las Ganancias</t>
        </is>
      </c>
      <c r="I502" s="9" t="n">
        <v>866.59</v>
      </c>
      <c r="J502" s="9" t="inlineStr"/>
      <c r="K502" s="8" t="inlineStr">
        <is>
          <t>Copiar en Flexxus: Tipo=MB-EXT | Movimiento=GRAVAMEN LEY 25.413 S/CRED | Monto=866,59 | Fecha: 21/04/2026</t>
        </is>
      </c>
    </row>
    <row r="503">
      <c r="A503" s="8" t="inlineStr">
        <is>
          <t>PEND-E48001A339C2-A001</t>
        </is>
      </c>
      <c r="B503" s="8" t="inlineStr">
        <is>
          <t>ABIERTO_NUEVO</t>
        </is>
      </c>
      <c r="C503" s="8" t="inlineStr">
        <is>
          <t>Banco egreso no Flexxus</t>
        </is>
      </c>
      <c r="D503" s="8" t="inlineStr">
        <is>
          <t>21/04/2026</t>
        </is>
      </c>
      <c r="E503" s="8" t="inlineStr">
        <is>
          <t>32032899</t>
        </is>
      </c>
      <c r="F503" s="8" t="inlineStr">
        <is>
          <t>INGRESOS BRUTOS MENDOZA</t>
        </is>
      </c>
      <c r="G503" s="8" t="inlineStr">
        <is>
          <t>Retención Ingresos Brutos Mendoza</t>
        </is>
      </c>
      <c r="H503" s="8" t="inlineStr">
        <is>
          <t>Retención de Ingresos Brutos</t>
        </is>
      </c>
      <c r="I503" s="9" t="n">
        <v>2904.53</v>
      </c>
      <c r="J503" s="9" t="inlineStr"/>
      <c r="K503" s="8" t="inlineStr">
        <is>
          <t>Copiar en Flexxus: Tipo=MB-EXT | Movimiento=INGRESOS BRUTOS MENDOZA | Monto=2.904,53 | Fecha: 21/04/2026</t>
        </is>
      </c>
    </row>
    <row r="504">
      <c r="A504" s="8" t="inlineStr">
        <is>
          <t>PEND-39CD73965007-A001</t>
        </is>
      </c>
      <c r="B504" s="8" t="inlineStr">
        <is>
          <t>ABIERTO_NUEVO</t>
        </is>
      </c>
      <c r="C504" s="8" t="inlineStr">
        <is>
          <t>Banco egreso no Flexxus</t>
        </is>
      </c>
      <c r="D504" s="8" t="inlineStr">
        <is>
          <t>21/04/2026</t>
        </is>
      </c>
      <c r="E504" s="8" t="inlineStr">
        <is>
          <t>32032899</t>
        </is>
      </c>
      <c r="F504" s="8" t="inlineStr">
        <is>
          <t>GRAVAMEN LEY 25413 S/CRED</t>
        </is>
      </c>
      <c r="G504" s="8" t="inlineStr">
        <is>
          <t>Anticipo Ganancias Ley 25.413 créditos</t>
        </is>
      </c>
      <c r="H504" s="8" t="inlineStr">
        <is>
          <t>Anticipo Impuesto a las Ganancias</t>
        </is>
      </c>
      <c r="I504" s="9" t="n">
        <v>1742.72</v>
      </c>
      <c r="J504" s="9" t="inlineStr"/>
      <c r="K504" s="8" t="inlineStr">
        <is>
          <t>Copiar en Flexxus: Tipo=MB-EXT | Movimiento=GRAVAMEN LEY 25.413 S/CRED | Monto=1.742,72 | Fecha: 21/04/2026</t>
        </is>
      </c>
    </row>
    <row r="505">
      <c r="A505" s="8" t="inlineStr">
        <is>
          <t>PEND-AB4402ECCE5B-A001</t>
        </is>
      </c>
      <c r="B505" s="8" t="inlineStr">
        <is>
          <t>ABIERTO_NUEVO</t>
        </is>
      </c>
      <c r="C505" s="8" t="inlineStr">
        <is>
          <t>Banco egreso no Flexxus</t>
        </is>
      </c>
      <c r="D505" s="8" t="inlineStr">
        <is>
          <t>21/04/2026</t>
        </is>
      </c>
      <c r="E505" s="8" t="inlineStr">
        <is>
          <t>31995644</t>
        </is>
      </c>
      <c r="F505" s="8" t="inlineStr">
        <is>
          <t>INGRESOS BRUTOS MENDOZA</t>
        </is>
      </c>
      <c r="G505" s="8" t="inlineStr">
        <is>
          <t>Retención Ingresos Brutos Mendoza</t>
        </is>
      </c>
      <c r="H505" s="8" t="inlineStr">
        <is>
          <t>Retención de Ingresos Brutos</t>
        </is>
      </c>
      <c r="I505" s="9" t="n">
        <v>3239.82</v>
      </c>
      <c r="J505" s="9" t="inlineStr"/>
      <c r="K505" s="8" t="inlineStr">
        <is>
          <t>Copiar en Flexxus: Tipo=MB-EXT | Movimiento=INGRESOS BRUTOS MENDOZA | Monto=3.239,82 | Fecha: 21/04/2026</t>
        </is>
      </c>
    </row>
    <row r="506">
      <c r="A506" s="8" t="inlineStr">
        <is>
          <t>PEND-9C80491FD6A2-A001</t>
        </is>
      </c>
      <c r="B506" s="8" t="inlineStr">
        <is>
          <t>ABIERTO_NUEVO</t>
        </is>
      </c>
      <c r="C506" s="8" t="inlineStr">
        <is>
          <t>Banco egreso no Flexxus</t>
        </is>
      </c>
      <c r="D506" s="8" t="inlineStr">
        <is>
          <t>21/04/2026</t>
        </is>
      </c>
      <c r="E506" s="8" t="inlineStr">
        <is>
          <t>31995644</t>
        </is>
      </c>
      <c r="F506" s="8" t="inlineStr">
        <is>
          <t>GRAVAMEN LEY 25413 S/CRED</t>
        </is>
      </c>
      <c r="G506" s="8" t="inlineStr">
        <is>
          <t>Anticipo Ganancias Ley 25.413 créditos</t>
        </is>
      </c>
      <c r="H506" s="8" t="inlineStr">
        <is>
          <t>Anticipo Impuesto a las Ganancias</t>
        </is>
      </c>
      <c r="I506" s="9" t="n">
        <v>1943.89</v>
      </c>
      <c r="J506" s="9" t="inlineStr"/>
      <c r="K506" s="8" t="inlineStr">
        <is>
          <t>Copiar en Flexxus: Tipo=MB-EXT | Movimiento=GRAVAMEN LEY 25.413 S/CRED | Monto=1.943,89 | Fecha: 21/04/2026</t>
        </is>
      </c>
    </row>
    <row r="507">
      <c r="A507" s="8" t="inlineStr">
        <is>
          <t>PEND-8DC524300B17-A001</t>
        </is>
      </c>
      <c r="B507" s="8" t="inlineStr">
        <is>
          <t>ABIERTO_NUEVO</t>
        </is>
      </c>
      <c r="C507" s="8" t="inlineStr">
        <is>
          <t>Banco egreso no Flexxus</t>
        </is>
      </c>
      <c r="D507" s="8" t="inlineStr">
        <is>
          <t>21/04/2026</t>
        </is>
      </c>
      <c r="E507" s="8" t="inlineStr">
        <is>
          <t>29841705</t>
        </is>
      </c>
      <c r="F507" s="8" t="inlineStr">
        <is>
          <t>INGRESOS BRUTOS MENDOZA</t>
        </is>
      </c>
      <c r="G507" s="8" t="inlineStr">
        <is>
          <t>Retención Ingresos Brutos Mendoza</t>
        </is>
      </c>
      <c r="H507" s="8" t="inlineStr">
        <is>
          <t>Retención de Ingresos Brutos</t>
        </is>
      </c>
      <c r="I507" s="9" t="n">
        <v>1586.57</v>
      </c>
      <c r="J507" s="9" t="inlineStr"/>
      <c r="K507" s="8" t="inlineStr">
        <is>
          <t>Copiar en Flexxus: Tipo=MB-EXT | Movimiento=INGRESOS BRUTOS MENDOZA | Monto=1.586,57 | Fecha: 21/04/2026</t>
        </is>
      </c>
    </row>
    <row r="508">
      <c r="A508" s="8" t="inlineStr">
        <is>
          <t>PEND-B4011646201E-A001</t>
        </is>
      </c>
      <c r="B508" s="8" t="inlineStr">
        <is>
          <t>ABIERTO_NUEVO</t>
        </is>
      </c>
      <c r="C508" s="8" t="inlineStr">
        <is>
          <t>Banco egreso no Flexxus</t>
        </is>
      </c>
      <c r="D508" s="8" t="inlineStr">
        <is>
          <t>21/04/2026</t>
        </is>
      </c>
      <c r="E508" s="8" t="inlineStr">
        <is>
          <t>29841705</t>
        </is>
      </c>
      <c r="F508" s="8" t="inlineStr">
        <is>
          <t>GRAVAMEN LEY 25413 S/CRED</t>
        </is>
      </c>
      <c r="G508" s="8" t="inlineStr">
        <is>
          <t>Anticipo Ganancias Ley 25.413 créditos</t>
        </is>
      </c>
      <c r="H508" s="8" t="inlineStr">
        <is>
          <t>Anticipo Impuesto a las Ganancias</t>
        </is>
      </c>
      <c r="I508" s="9" t="n">
        <v>951.9400000000001</v>
      </c>
      <c r="J508" s="9" t="inlineStr"/>
      <c r="K508" s="8" t="inlineStr">
        <is>
          <t>Copiar en Flexxus: Tipo=MB-EXT | Movimiento=GRAVAMEN LEY 25.413 S/CRED | Monto=951,94 | Fecha: 21/04/2026</t>
        </is>
      </c>
    </row>
    <row r="509">
      <c r="A509" s="8" t="inlineStr">
        <is>
          <t>PEND-6F708D3874D3-A001</t>
        </is>
      </c>
      <c r="B509" s="8" t="inlineStr">
        <is>
          <t>ABIERTO_NUEVO</t>
        </is>
      </c>
      <c r="C509" s="8" t="inlineStr">
        <is>
          <t>Banco egreso no Flexxus</t>
        </is>
      </c>
      <c r="D509" s="8" t="inlineStr">
        <is>
          <t>21/04/2026</t>
        </is>
      </c>
      <c r="E509" s="8" t="inlineStr">
        <is>
          <t>29841683</t>
        </is>
      </c>
      <c r="F509" s="8" t="inlineStr">
        <is>
          <t>INGRESOS BRUTOS MENDOZA</t>
        </is>
      </c>
      <c r="G509" s="8" t="inlineStr">
        <is>
          <t>Retención Ingresos Brutos Mendoza</t>
        </is>
      </c>
      <c r="H509" s="8" t="inlineStr">
        <is>
          <t>Retención de Ingresos Brutos</t>
        </is>
      </c>
      <c r="I509" s="9" t="n">
        <v>2575.66</v>
      </c>
      <c r="J509" s="9" t="inlineStr"/>
      <c r="K509" s="8" t="inlineStr">
        <is>
          <t>Copiar en Flexxus: Tipo=MB-EXT | Movimiento=INGRESOS BRUTOS MENDOZA | Monto=2.575,66 | Fecha: 21/04/2026</t>
        </is>
      </c>
    </row>
    <row r="510">
      <c r="A510" s="8" t="inlineStr">
        <is>
          <t>PEND-8883FE952A9B-A001</t>
        </is>
      </c>
      <c r="B510" s="8" t="inlineStr">
        <is>
          <t>ABIERTO_NUEVO</t>
        </is>
      </c>
      <c r="C510" s="8" t="inlineStr">
        <is>
          <t>Banco egreso no Flexxus</t>
        </is>
      </c>
      <c r="D510" s="8" t="inlineStr">
        <is>
          <t>21/04/2026</t>
        </is>
      </c>
      <c r="E510" s="8" t="inlineStr">
        <is>
          <t>29841683</t>
        </is>
      </c>
      <c r="F510" s="8" t="inlineStr">
        <is>
          <t>GRAVAMEN LEY 25413 S/CRED</t>
        </is>
      </c>
      <c r="G510" s="8" t="inlineStr">
        <is>
          <t>Anticipo Ganancias Ley 25.413 créditos</t>
        </is>
      </c>
      <c r="H510" s="8" t="inlineStr">
        <is>
          <t>Anticipo Impuesto a las Ganancias</t>
        </is>
      </c>
      <c r="I510" s="9" t="n">
        <v>1545.4</v>
      </c>
      <c r="J510" s="9" t="inlineStr"/>
      <c r="K510" s="8" t="inlineStr">
        <is>
          <t>Copiar en Flexxus: Tipo=MB-EXT | Movimiento=GRAVAMEN LEY 25.413 S/CRED | Monto=1.545,40 | Fecha: 21/04/2026</t>
        </is>
      </c>
    </row>
    <row r="511">
      <c r="A511" s="8" t="inlineStr">
        <is>
          <t>PEND-EA80CE80C04F-A001</t>
        </is>
      </c>
      <c r="B511" s="8" t="inlineStr">
        <is>
          <t>ABIERTO_NUEVO</t>
        </is>
      </c>
      <c r="C511" s="8" t="inlineStr">
        <is>
          <t>Banco egreso no Flexxus</t>
        </is>
      </c>
      <c r="D511" s="8" t="inlineStr">
        <is>
          <t>21/04/2026</t>
        </is>
      </c>
      <c r="E511" s="8" t="inlineStr">
        <is>
          <t>29841670</t>
        </is>
      </c>
      <c r="F511" s="8" t="inlineStr">
        <is>
          <t>INGRESOS BRUTOS MENDOZA</t>
        </is>
      </c>
      <c r="G511" s="8" t="inlineStr">
        <is>
          <t>Retención Ingresos Brutos Mendoza</t>
        </is>
      </c>
      <c r="H511" s="8" t="inlineStr">
        <is>
          <t>Retención de Ingresos Brutos</t>
        </is>
      </c>
      <c r="I511" s="9" t="n">
        <v>896.03</v>
      </c>
      <c r="J511" s="9" t="inlineStr"/>
      <c r="K511" s="8" t="inlineStr">
        <is>
          <t>Copiar en Flexxus: Tipo=MB-EXT | Movimiento=INGRESOS BRUTOS MENDOZA | Monto=896,03 | Fecha: 21/04/2026</t>
        </is>
      </c>
    </row>
    <row r="512">
      <c r="A512" s="8" t="inlineStr">
        <is>
          <t>PEND-B2207EC30474-A001</t>
        </is>
      </c>
      <c r="B512" s="8" t="inlineStr">
        <is>
          <t>ABIERTO_NUEVO</t>
        </is>
      </c>
      <c r="C512" s="8" t="inlineStr">
        <is>
          <t>Banco egreso no Flexxus</t>
        </is>
      </c>
      <c r="D512" s="8" t="inlineStr">
        <is>
          <t>21/04/2026</t>
        </is>
      </c>
      <c r="E512" s="8" t="inlineStr">
        <is>
          <t>29841670</t>
        </is>
      </c>
      <c r="F512" s="8" t="inlineStr">
        <is>
          <t>GRAVAMEN LEY 25413 S/CRED</t>
        </is>
      </c>
      <c r="G512" s="8" t="inlineStr">
        <is>
          <t>Anticipo Ganancias Ley 25.413 créditos</t>
        </is>
      </c>
      <c r="H512" s="8" t="inlineStr">
        <is>
          <t>Anticipo Impuesto a las Ganancias</t>
        </is>
      </c>
      <c r="I512" s="9" t="n">
        <v>537.62</v>
      </c>
      <c r="J512" s="9" t="inlineStr"/>
      <c r="K512" s="8" t="inlineStr">
        <is>
          <t>Copiar en Flexxus: Tipo=MB-EXT | Movimiento=GRAVAMEN LEY 25.413 S/CRED | Monto=537,62 | Fecha: 21/04/2026</t>
        </is>
      </c>
    </row>
    <row r="513">
      <c r="A513" s="8" t="inlineStr">
        <is>
          <t>PEND-583568B6374C-A001</t>
        </is>
      </c>
      <c r="B513" s="8" t="inlineStr">
        <is>
          <t>ABIERTO_NUEVO</t>
        </is>
      </c>
      <c r="C513" s="8" t="inlineStr">
        <is>
          <t>Banco egreso no Flexxus</t>
        </is>
      </c>
      <c r="D513" s="8" t="inlineStr">
        <is>
          <t>21/04/2026</t>
        </is>
      </c>
      <c r="E513" s="8" t="inlineStr">
        <is>
          <t>29841642</t>
        </is>
      </c>
      <c r="F513" s="8" t="inlineStr">
        <is>
          <t>INGRESOS BRUTOS MENDOZA</t>
        </is>
      </c>
      <c r="G513" s="8" t="inlineStr">
        <is>
          <t>Retención Ingresos Brutos Mendoza</t>
        </is>
      </c>
      <c r="H513" s="8" t="inlineStr">
        <is>
          <t>Retención de Ingresos Brutos</t>
        </is>
      </c>
      <c r="I513" s="9" t="n">
        <v>1743.64</v>
      </c>
      <c r="J513" s="9" t="inlineStr"/>
      <c r="K513" s="8" t="inlineStr">
        <is>
          <t>Copiar en Flexxus: Tipo=MB-EXT | Movimiento=INGRESOS BRUTOS MENDOZA | Monto=1.743,64 | Fecha: 21/04/2026</t>
        </is>
      </c>
    </row>
    <row r="514">
      <c r="A514" s="8" t="inlineStr">
        <is>
          <t>PEND-4536CE6DE637-A001</t>
        </is>
      </c>
      <c r="B514" s="8" t="inlineStr">
        <is>
          <t>ABIERTO_NUEVO</t>
        </is>
      </c>
      <c r="C514" s="8" t="inlineStr">
        <is>
          <t>Banco egreso no Flexxus</t>
        </is>
      </c>
      <c r="D514" s="8" t="inlineStr">
        <is>
          <t>21/04/2026</t>
        </is>
      </c>
      <c r="E514" s="8" t="inlineStr">
        <is>
          <t>29841642</t>
        </is>
      </c>
      <c r="F514" s="8" t="inlineStr">
        <is>
          <t>GRAVAMEN LEY 25413 S/CRED</t>
        </is>
      </c>
      <c r="G514" s="8" t="inlineStr">
        <is>
          <t>Anticipo Ganancias Ley 25.413 créditos</t>
        </is>
      </c>
      <c r="H514" s="8" t="inlineStr">
        <is>
          <t>Anticipo Impuesto a las Ganancias</t>
        </is>
      </c>
      <c r="I514" s="9" t="n">
        <v>1046.19</v>
      </c>
      <c r="J514" s="9" t="inlineStr"/>
      <c r="K514" s="8" t="inlineStr">
        <is>
          <t>Copiar en Flexxus: Tipo=MB-EXT | Movimiento=GRAVAMEN LEY 25.413 S/CRED | Monto=1.046,19 | Fecha: 21/04/2026</t>
        </is>
      </c>
    </row>
    <row r="515">
      <c r="A515" s="8" t="inlineStr">
        <is>
          <t>PEND-587C39E32AC7-A001</t>
        </is>
      </c>
      <c r="B515" s="8" t="inlineStr">
        <is>
          <t>ABIERTO_NUEVO</t>
        </is>
      </c>
      <c r="C515" s="8" t="inlineStr">
        <is>
          <t>Banco egreso no Flexxus</t>
        </is>
      </c>
      <c r="D515" s="8" t="inlineStr">
        <is>
          <t>21/04/2026</t>
        </is>
      </c>
      <c r="E515" s="8" t="inlineStr">
        <is>
          <t>29841627</t>
        </is>
      </c>
      <c r="F515" s="8" t="inlineStr">
        <is>
          <t>INGRESOS BRUTOS MENDOZA</t>
        </is>
      </c>
      <c r="G515" s="8" t="inlineStr">
        <is>
          <t>Retención Ingresos Brutos Mendoza</t>
        </is>
      </c>
      <c r="H515" s="8" t="inlineStr">
        <is>
          <t>Retención de Ingresos Brutos</t>
        </is>
      </c>
      <c r="I515" s="9" t="n">
        <v>1045.2</v>
      </c>
      <c r="J515" s="9" t="inlineStr"/>
      <c r="K515" s="8" t="inlineStr">
        <is>
          <t>Copiar en Flexxus: Tipo=MB-EXT | Movimiento=INGRESOS BRUTOS MENDOZA | Monto=1.045,20 | Fecha: 21/04/2026</t>
        </is>
      </c>
    </row>
    <row r="516">
      <c r="A516" s="8" t="inlineStr">
        <is>
          <t>PEND-78C385190033-A001</t>
        </is>
      </c>
      <c r="B516" s="8" t="inlineStr">
        <is>
          <t>ABIERTO_NUEVO</t>
        </is>
      </c>
      <c r="C516" s="8" t="inlineStr">
        <is>
          <t>Banco egreso no Flexxus</t>
        </is>
      </c>
      <c r="D516" s="8" t="inlineStr">
        <is>
          <t>21/04/2026</t>
        </is>
      </c>
      <c r="E516" s="8" t="inlineStr">
        <is>
          <t>29841627</t>
        </is>
      </c>
      <c r="F516" s="8" t="inlineStr">
        <is>
          <t>GRAVAMEN LEY 25413 S/CRED</t>
        </is>
      </c>
      <c r="G516" s="8" t="inlineStr">
        <is>
          <t>Anticipo Ganancias Ley 25.413 créditos</t>
        </is>
      </c>
      <c r="H516" s="8" t="inlineStr">
        <is>
          <t>Anticipo Impuesto a las Ganancias</t>
        </is>
      </c>
      <c r="I516" s="9" t="n">
        <v>627.12</v>
      </c>
      <c r="J516" s="9" t="inlineStr"/>
      <c r="K516" s="8" t="inlineStr">
        <is>
          <t>Copiar en Flexxus: Tipo=MB-EXT | Movimiento=GRAVAMEN LEY 25.413 S/CRED | Monto=627,12 | Fecha: 21/04/2026</t>
        </is>
      </c>
    </row>
    <row r="517">
      <c r="A517" s="8" t="inlineStr">
        <is>
          <t>PEND-D0C01F060F41-A001</t>
        </is>
      </c>
      <c r="B517" s="8" t="inlineStr">
        <is>
          <t>ABIERTO_NUEVO</t>
        </is>
      </c>
      <c r="C517" s="8" t="inlineStr">
        <is>
          <t>Banco egreso no Flexxus</t>
        </is>
      </c>
      <c r="D517" s="8" t="inlineStr">
        <is>
          <t>21/04/2026</t>
        </is>
      </c>
      <c r="E517" s="8" t="inlineStr">
        <is>
          <t>31995644</t>
        </is>
      </c>
      <c r="F517" s="8" t="inlineStr">
        <is>
          <t>INGRESOS BRUTOS MENDOZA</t>
        </is>
      </c>
      <c r="G517" s="8" t="inlineStr">
        <is>
          <t>Retención Ingresos Brutos Mendoza</t>
        </is>
      </c>
      <c r="H517" s="8" t="inlineStr">
        <is>
          <t>Retención de Ingresos Brutos</t>
        </is>
      </c>
      <c r="I517" s="9" t="n">
        <v>6265.56</v>
      </c>
      <c r="J517" s="9" t="inlineStr"/>
      <c r="K517" s="8" t="inlineStr">
        <is>
          <t>Copiar en Flexxus: Tipo=MB-EXT | Movimiento=INGRESOS BRUTOS MENDOZA | Monto=6.265,56 | Fecha: 21/04/2026</t>
        </is>
      </c>
    </row>
    <row r="518">
      <c r="A518" s="8" t="inlineStr">
        <is>
          <t>PEND-1B8AC2624371-A001</t>
        </is>
      </c>
      <c r="B518" s="8" t="inlineStr">
        <is>
          <t>ABIERTO_NUEVO</t>
        </is>
      </c>
      <c r="C518" s="8" t="inlineStr">
        <is>
          <t>Banco egreso no Flexxus</t>
        </is>
      </c>
      <c r="D518" s="8" t="inlineStr">
        <is>
          <t>21/04/2026</t>
        </is>
      </c>
      <c r="E518" s="8" t="inlineStr">
        <is>
          <t>31995644</t>
        </is>
      </c>
      <c r="F518" s="8" t="inlineStr">
        <is>
          <t>GRAVAMEN LEY 25413 S/CRED</t>
        </is>
      </c>
      <c r="G518" s="8" t="inlineStr">
        <is>
          <t>Anticipo Ganancias Ley 25.413 créditos</t>
        </is>
      </c>
      <c r="H518" s="8" t="inlineStr">
        <is>
          <t>Anticipo Impuesto a las Ganancias</t>
        </is>
      </c>
      <c r="I518" s="9" t="n">
        <v>3759.33</v>
      </c>
      <c r="J518" s="9" t="inlineStr"/>
      <c r="K518" s="8" t="inlineStr">
        <is>
          <t>Copiar en Flexxus: Tipo=MB-EXT | Movimiento=GRAVAMEN LEY 25.413 S/CRED | Monto=3.759,33 | Fecha: 21/04/2026</t>
        </is>
      </c>
    </row>
    <row r="519">
      <c r="A519" s="8" t="inlineStr">
        <is>
          <t>PEND-DD72AFCEDA8A-A001</t>
        </is>
      </c>
      <c r="B519" s="8" t="inlineStr">
        <is>
          <t>ABIERTO_NUEVO</t>
        </is>
      </c>
      <c r="C519" s="8" t="inlineStr">
        <is>
          <t>Banco egreso no Flexxus</t>
        </is>
      </c>
      <c r="D519" s="8" t="inlineStr">
        <is>
          <t>21/04/2026</t>
        </is>
      </c>
      <c r="E519" s="8" t="inlineStr">
        <is>
          <t>32032899</t>
        </is>
      </c>
      <c r="F519" s="8" t="inlineStr">
        <is>
          <t>INGRESOS BRUTOS MENDOZA</t>
        </is>
      </c>
      <c r="G519" s="8" t="inlineStr">
        <is>
          <t>Retención Ingresos Brutos Mendoza</t>
        </is>
      </c>
      <c r="H519" s="8" t="inlineStr">
        <is>
          <t>Retención de Ingresos Brutos</t>
        </is>
      </c>
      <c r="I519" s="9" t="n">
        <v>4540.83</v>
      </c>
      <c r="J519" s="9" t="inlineStr"/>
      <c r="K519" s="8" t="inlineStr">
        <is>
          <t>Copiar en Flexxus: Tipo=MB-EXT | Movimiento=INGRESOS BRUTOS MENDOZA | Monto=4.540,83 | Fecha: 21/04/2026</t>
        </is>
      </c>
    </row>
    <row r="520">
      <c r="A520" s="8" t="inlineStr">
        <is>
          <t>PEND-8675F6AF6801-A001</t>
        </is>
      </c>
      <c r="B520" s="8" t="inlineStr">
        <is>
          <t>ABIERTO_NUEVO</t>
        </is>
      </c>
      <c r="C520" s="8" t="inlineStr">
        <is>
          <t>Banco egreso no Flexxus</t>
        </is>
      </c>
      <c r="D520" s="8" t="inlineStr">
        <is>
          <t>21/04/2026</t>
        </is>
      </c>
      <c r="E520" s="8" t="inlineStr">
        <is>
          <t>32032899</t>
        </is>
      </c>
      <c r="F520" s="8" t="inlineStr">
        <is>
          <t>GRAVAMEN LEY 25413 S/CRED</t>
        </is>
      </c>
      <c r="G520" s="8" t="inlineStr">
        <is>
          <t>Anticipo Ganancias Ley 25.413 créditos</t>
        </is>
      </c>
      <c r="H520" s="8" t="inlineStr">
        <is>
          <t>Anticipo Impuesto a las Ganancias</t>
        </is>
      </c>
      <c r="I520" s="9" t="n">
        <v>2724.5</v>
      </c>
      <c r="J520" s="9" t="inlineStr"/>
      <c r="K520" s="8" t="inlineStr">
        <is>
          <t>Copiar en Flexxus: Tipo=MB-EXT | Movimiento=GRAVAMEN LEY 25.413 S/CRED | Monto=2.724,50 | Fecha: 21/04/2026</t>
        </is>
      </c>
    </row>
    <row r="521">
      <c r="A521" s="8" t="inlineStr">
        <is>
          <t>PEND-A5AAF54945E3-A001</t>
        </is>
      </c>
      <c r="B521" s="8" t="inlineStr">
        <is>
          <t>ABIERTO_NUEVO</t>
        </is>
      </c>
      <c r="C521" s="8" t="inlineStr">
        <is>
          <t>Banco egreso no Flexxus</t>
        </is>
      </c>
      <c r="D521" s="8" t="inlineStr">
        <is>
          <t>21/04/2026</t>
        </is>
      </c>
      <c r="E521" s="8" t="inlineStr">
        <is>
          <t>32032899</t>
        </is>
      </c>
      <c r="F521" s="8" t="inlineStr">
        <is>
          <t>INGRESOS BRUTOS MENDOZA</t>
        </is>
      </c>
      <c r="G521" s="8" t="inlineStr">
        <is>
          <t>Retención Ingresos Brutos Mendoza</t>
        </is>
      </c>
      <c r="H521" s="8" t="inlineStr">
        <is>
          <t>Retención de Ingresos Brutos</t>
        </is>
      </c>
      <c r="I521" s="9" t="n">
        <v>2197.82</v>
      </c>
      <c r="J521" s="9" t="inlineStr"/>
      <c r="K521" s="8" t="inlineStr">
        <is>
          <t>Copiar en Flexxus: Tipo=MB-EXT | Movimiento=INGRESOS BRUTOS MENDOZA | Monto=2.197,82 | Fecha: 21/04/2026</t>
        </is>
      </c>
    </row>
    <row r="522">
      <c r="A522" s="8" t="inlineStr">
        <is>
          <t>PEND-7CA7FE7D4269-A001</t>
        </is>
      </c>
      <c r="B522" s="8" t="inlineStr">
        <is>
          <t>ABIERTO_NUEVO</t>
        </is>
      </c>
      <c r="C522" s="8" t="inlineStr">
        <is>
          <t>Banco egreso no Flexxus</t>
        </is>
      </c>
      <c r="D522" s="8" t="inlineStr">
        <is>
          <t>21/04/2026</t>
        </is>
      </c>
      <c r="E522" s="8" t="inlineStr">
        <is>
          <t>32032899</t>
        </is>
      </c>
      <c r="F522" s="8" t="inlineStr">
        <is>
          <t>GRAVAMEN LEY 25413 S/CRED</t>
        </is>
      </c>
      <c r="G522" s="8" t="inlineStr">
        <is>
          <t>Anticipo Ganancias Ley 25.413 créditos</t>
        </is>
      </c>
      <c r="H522" s="8" t="inlineStr">
        <is>
          <t>Anticipo Impuesto a las Ganancias</t>
        </is>
      </c>
      <c r="I522" s="9" t="n">
        <v>1318.69</v>
      </c>
      <c r="J522" s="9" t="inlineStr"/>
      <c r="K522" s="8" t="inlineStr">
        <is>
          <t>Copiar en Flexxus: Tipo=MB-EXT | Movimiento=GRAVAMEN LEY 25.413 S/CRED | Monto=1.318,69 | Fecha: 21/04/2026</t>
        </is>
      </c>
    </row>
    <row r="523">
      <c r="A523" s="8" t="inlineStr">
        <is>
          <t>PEND-3C73E36A5FAE-A001</t>
        </is>
      </c>
      <c r="B523" s="8" t="inlineStr">
        <is>
          <t>ABIERTO_NUEVO</t>
        </is>
      </c>
      <c r="C523" s="8" t="inlineStr">
        <is>
          <t>Banco egreso no Flexxus</t>
        </is>
      </c>
      <c r="D523" s="8" t="inlineStr">
        <is>
          <t>21/04/2026</t>
        </is>
      </c>
      <c r="E523" s="8" t="inlineStr">
        <is>
          <t>31995644</t>
        </is>
      </c>
      <c r="F523" s="8" t="inlineStr">
        <is>
          <t>INGRESOS BRUTOS MENDOZA</t>
        </is>
      </c>
      <c r="G523" s="8" t="inlineStr">
        <is>
          <t>Retención Ingresos Brutos Mendoza</t>
        </is>
      </c>
      <c r="H523" s="8" t="inlineStr">
        <is>
          <t>Retención de Ingresos Brutos</t>
        </is>
      </c>
      <c r="I523" s="9" t="n">
        <v>2745.33</v>
      </c>
      <c r="J523" s="9" t="inlineStr"/>
      <c r="K523" s="8" t="inlineStr">
        <is>
          <t>Copiar en Flexxus: Tipo=MB-EXT | Movimiento=INGRESOS BRUTOS MENDOZA | Monto=2.745,33 | Fecha: 21/04/2026</t>
        </is>
      </c>
    </row>
    <row r="524">
      <c r="A524" s="8" t="inlineStr">
        <is>
          <t>PEND-6C9A8E0AECFD-A001</t>
        </is>
      </c>
      <c r="B524" s="8" t="inlineStr">
        <is>
          <t>ABIERTO_NUEVO</t>
        </is>
      </c>
      <c r="C524" s="8" t="inlineStr">
        <is>
          <t>Banco egreso no Flexxus</t>
        </is>
      </c>
      <c r="D524" s="8" t="inlineStr">
        <is>
          <t>21/04/2026</t>
        </is>
      </c>
      <c r="E524" s="8" t="inlineStr">
        <is>
          <t>31995644</t>
        </is>
      </c>
      <c r="F524" s="8" t="inlineStr">
        <is>
          <t>GRAVAMEN LEY 25413 S/CRED</t>
        </is>
      </c>
      <c r="G524" s="8" t="inlineStr">
        <is>
          <t>Anticipo Ganancias Ley 25.413 créditos</t>
        </is>
      </c>
      <c r="H524" s="8" t="inlineStr">
        <is>
          <t>Anticipo Impuesto a las Ganancias</t>
        </is>
      </c>
      <c r="I524" s="9" t="n">
        <v>1647.2</v>
      </c>
      <c r="J524" s="9" t="inlineStr"/>
      <c r="K524" s="8" t="inlineStr">
        <is>
          <t>Copiar en Flexxus: Tipo=MB-EXT | Movimiento=GRAVAMEN LEY 25.413 S/CRED | Monto=1.647,20 | Fecha: 21/04/2026</t>
        </is>
      </c>
    </row>
    <row r="525">
      <c r="A525" s="8" t="inlineStr">
        <is>
          <t>PEND-E832D0E46A64-A001</t>
        </is>
      </c>
      <c r="B525" s="8" t="inlineStr">
        <is>
          <t>ABIERTO_NUEVO</t>
        </is>
      </c>
      <c r="C525" s="8" t="inlineStr">
        <is>
          <t>Banco egreso no Flexxus</t>
        </is>
      </c>
      <c r="D525" s="8" t="inlineStr">
        <is>
          <t>21/04/2026</t>
        </is>
      </c>
      <c r="E525" s="8" t="inlineStr">
        <is>
          <t>31995644</t>
        </is>
      </c>
      <c r="F525" s="8" t="inlineStr">
        <is>
          <t>INGRESOS BRUTOS MENDOZA</t>
        </is>
      </c>
      <c r="G525" s="8" t="inlineStr">
        <is>
          <t>Retención Ingresos Brutos Mendoza</t>
        </is>
      </c>
      <c r="H525" s="8" t="inlineStr">
        <is>
          <t>Retención de Ingresos Brutos</t>
        </is>
      </c>
      <c r="I525" s="9" t="n">
        <v>922.46</v>
      </c>
      <c r="J525" s="9" t="inlineStr"/>
      <c r="K525" s="8" t="inlineStr">
        <is>
          <t>Copiar en Flexxus: Tipo=MB-EXT | Movimiento=INGRESOS BRUTOS MENDOZA | Monto=922,46 | Fecha: 21/04/2026</t>
        </is>
      </c>
    </row>
    <row r="526">
      <c r="A526" s="8" t="inlineStr">
        <is>
          <t>PEND-D93CC0648986-A001</t>
        </is>
      </c>
      <c r="B526" s="8" t="inlineStr">
        <is>
          <t>ABIERTO_NUEVO</t>
        </is>
      </c>
      <c r="C526" s="8" t="inlineStr">
        <is>
          <t>Banco egreso no Flexxus</t>
        </is>
      </c>
      <c r="D526" s="8" t="inlineStr">
        <is>
          <t>21/04/2026</t>
        </is>
      </c>
      <c r="E526" s="8" t="inlineStr">
        <is>
          <t>31995644</t>
        </is>
      </c>
      <c r="F526" s="8" t="inlineStr">
        <is>
          <t>GRAVAMEN LEY 25413 S/CRED</t>
        </is>
      </c>
      <c r="G526" s="8" t="inlineStr">
        <is>
          <t>Anticipo Ganancias Ley 25.413 créditos</t>
        </is>
      </c>
      <c r="H526" s="8" t="inlineStr">
        <is>
          <t>Anticipo Impuesto a las Ganancias</t>
        </is>
      </c>
      <c r="I526" s="9" t="n">
        <v>553.48</v>
      </c>
      <c r="J526" s="9" t="inlineStr"/>
      <c r="K526" s="8" t="inlineStr">
        <is>
          <t>Copiar en Flexxus: Tipo=MB-EXT | Movimiento=GRAVAMEN LEY 25.413 S/CRED | Monto=553,48 | Fecha: 21/04/2026</t>
        </is>
      </c>
    </row>
    <row r="527">
      <c r="A527" s="8" t="inlineStr">
        <is>
          <t>PEND-F2921D0645EC-A001</t>
        </is>
      </c>
      <c r="B527" s="8" t="inlineStr">
        <is>
          <t>ABIERTO_NUEVO</t>
        </is>
      </c>
      <c r="C527" s="8" t="inlineStr">
        <is>
          <t>Banco egreso no Flexxus</t>
        </is>
      </c>
      <c r="D527" s="8" t="inlineStr">
        <is>
          <t>21/04/2026</t>
        </is>
      </c>
      <c r="E527" s="8" t="inlineStr">
        <is>
          <t>29841705</t>
        </is>
      </c>
      <c r="F527" s="8" t="inlineStr">
        <is>
          <t>INGRESOS BRUTOS MENDOZA</t>
        </is>
      </c>
      <c r="G527" s="8" t="inlineStr">
        <is>
          <t>Retención Ingresos Brutos Mendoza</t>
        </is>
      </c>
      <c r="H527" s="8" t="inlineStr">
        <is>
          <t>Retención de Ingresos Brutos</t>
        </is>
      </c>
      <c r="I527" s="9" t="n">
        <v>266.08</v>
      </c>
      <c r="J527" s="9" t="inlineStr"/>
      <c r="K527" s="8" t="inlineStr">
        <is>
          <t>Copiar en Flexxus: Tipo=MB-EXT | Movimiento=INGRESOS BRUTOS MENDOZA | Monto=266,08 | Fecha: 21/04/2026</t>
        </is>
      </c>
    </row>
    <row r="528">
      <c r="A528" s="8" t="inlineStr">
        <is>
          <t>PEND-B81AB9664E6E-A001</t>
        </is>
      </c>
      <c r="B528" s="8" t="inlineStr">
        <is>
          <t>ABIERTO_NUEVO</t>
        </is>
      </c>
      <c r="C528" s="8" t="inlineStr">
        <is>
          <t>Banco egreso no Flexxus</t>
        </is>
      </c>
      <c r="D528" s="8" t="inlineStr">
        <is>
          <t>21/04/2026</t>
        </is>
      </c>
      <c r="E528" s="8" t="inlineStr">
        <is>
          <t>29841705</t>
        </is>
      </c>
      <c r="F528" s="8" t="inlineStr">
        <is>
          <t>GRAVAMEN LEY 25413 S/CRED</t>
        </is>
      </c>
      <c r="G528" s="8" t="inlineStr">
        <is>
          <t>Anticipo Ganancias Ley 25.413 créditos</t>
        </is>
      </c>
      <c r="H528" s="8" t="inlineStr">
        <is>
          <t>Anticipo Impuesto a las Ganancias</t>
        </is>
      </c>
      <c r="I528" s="9" t="n">
        <v>159.65</v>
      </c>
      <c r="J528" s="9" t="inlineStr"/>
      <c r="K528" s="8" t="inlineStr">
        <is>
          <t>Copiar en Flexxus: Tipo=MB-EXT | Movimiento=GRAVAMEN LEY 25.413 S/CRED | Monto=159,65 | Fecha: 21/04/2026</t>
        </is>
      </c>
    </row>
    <row r="529">
      <c r="A529" s="8" t="inlineStr">
        <is>
          <t>PEND-7F763028A5B9-A001</t>
        </is>
      </c>
      <c r="B529" s="8" t="inlineStr">
        <is>
          <t>ABIERTO_NUEVO</t>
        </is>
      </c>
      <c r="C529" s="8" t="inlineStr">
        <is>
          <t>Banco egreso no Flexxus</t>
        </is>
      </c>
      <c r="D529" s="8" t="inlineStr">
        <is>
          <t>21/04/2026</t>
        </is>
      </c>
      <c r="E529" s="8" t="inlineStr">
        <is>
          <t>29841683</t>
        </is>
      </c>
      <c r="F529" s="8" t="inlineStr">
        <is>
          <t>INGRESOS BRUTOS MENDOZA</t>
        </is>
      </c>
      <c r="G529" s="8" t="inlineStr">
        <is>
          <t>Retención Ingresos Brutos Mendoza</t>
        </is>
      </c>
      <c r="H529" s="8" t="inlineStr">
        <is>
          <t>Retención de Ingresos Brutos</t>
        </is>
      </c>
      <c r="I529" s="9" t="n">
        <v>498.89</v>
      </c>
      <c r="J529" s="9" t="inlineStr"/>
      <c r="K529" s="8" t="inlineStr">
        <is>
          <t>Copiar en Flexxus: Tipo=MB-EXT | Movimiento=INGRESOS BRUTOS MENDOZA | Monto=498,89 | Fecha: 21/04/2026</t>
        </is>
      </c>
    </row>
    <row r="530">
      <c r="A530" s="8" t="inlineStr">
        <is>
          <t>PEND-E052247FBC3B-A001</t>
        </is>
      </c>
      <c r="B530" s="8" t="inlineStr">
        <is>
          <t>ABIERTO_NUEVO</t>
        </is>
      </c>
      <c r="C530" s="8" t="inlineStr">
        <is>
          <t>Banco egreso no Flexxus</t>
        </is>
      </c>
      <c r="D530" s="8" t="inlineStr">
        <is>
          <t>21/04/2026</t>
        </is>
      </c>
      <c r="E530" s="8" t="inlineStr">
        <is>
          <t>29841683</t>
        </is>
      </c>
      <c r="F530" s="8" t="inlineStr">
        <is>
          <t>GRAVAMEN LEY 25413 S/CRED</t>
        </is>
      </c>
      <c r="G530" s="8" t="inlineStr">
        <is>
          <t>Anticipo Ganancias Ley 25.413 créditos</t>
        </is>
      </c>
      <c r="H530" s="8" t="inlineStr">
        <is>
          <t>Anticipo Impuesto a las Ganancias</t>
        </is>
      </c>
      <c r="I530" s="9" t="n">
        <v>299.34</v>
      </c>
      <c r="J530" s="9" t="inlineStr"/>
      <c r="K530" s="8" t="inlineStr">
        <is>
          <t>Copiar en Flexxus: Tipo=MB-EXT | Movimiento=GRAVAMEN LEY 25.413 S/CRED | Monto=299,34 | Fecha: 21/04/2026</t>
        </is>
      </c>
    </row>
    <row r="531">
      <c r="A531" s="8" t="inlineStr">
        <is>
          <t>PEND-8CA5B4026EC1-A001</t>
        </is>
      </c>
      <c r="B531" s="8" t="inlineStr">
        <is>
          <t>ABIERTO_NUEVO</t>
        </is>
      </c>
      <c r="C531" s="8" t="inlineStr">
        <is>
          <t>Banco egreso no Flexxus</t>
        </is>
      </c>
      <c r="D531" s="8" t="inlineStr">
        <is>
          <t>21/04/2026</t>
        </is>
      </c>
      <c r="E531" s="8" t="inlineStr">
        <is>
          <t>29841670</t>
        </is>
      </c>
      <c r="F531" s="8" t="inlineStr">
        <is>
          <t>INGRESOS BRUTOS MENDOZA</t>
        </is>
      </c>
      <c r="G531" s="8" t="inlineStr">
        <is>
          <t>Retención Ingresos Brutos Mendoza</t>
        </is>
      </c>
      <c r="H531" s="8" t="inlineStr">
        <is>
          <t>Retención de Ingresos Brutos</t>
        </is>
      </c>
      <c r="I531" s="9" t="n">
        <v>690.62</v>
      </c>
      <c r="J531" s="9" t="inlineStr"/>
      <c r="K531" s="8" t="inlineStr">
        <is>
          <t>Copiar en Flexxus: Tipo=MB-EXT | Movimiento=INGRESOS BRUTOS MENDOZA | Monto=690,62 | Fecha: 21/04/2026</t>
        </is>
      </c>
    </row>
    <row r="532">
      <c r="A532" s="8" t="inlineStr">
        <is>
          <t>PEND-6E0D997AAA35-A001</t>
        </is>
      </c>
      <c r="B532" s="8" t="inlineStr">
        <is>
          <t>ABIERTO_NUEVO</t>
        </is>
      </c>
      <c r="C532" s="8" t="inlineStr">
        <is>
          <t>Banco egreso no Flexxus</t>
        </is>
      </c>
      <c r="D532" s="8" t="inlineStr">
        <is>
          <t>21/04/2026</t>
        </is>
      </c>
      <c r="E532" s="8" t="inlineStr">
        <is>
          <t>29841670</t>
        </is>
      </c>
      <c r="F532" s="8" t="inlineStr">
        <is>
          <t>GRAVAMEN LEY 25413 S/CRED</t>
        </is>
      </c>
      <c r="G532" s="8" t="inlineStr">
        <is>
          <t>Anticipo Ganancias Ley 25.413 créditos</t>
        </is>
      </c>
      <c r="H532" s="8" t="inlineStr">
        <is>
          <t>Anticipo Impuesto a las Ganancias</t>
        </is>
      </c>
      <c r="I532" s="9" t="n">
        <v>414.37</v>
      </c>
      <c r="J532" s="9" t="inlineStr"/>
      <c r="K532" s="8" t="inlineStr">
        <is>
          <t>Copiar en Flexxus: Tipo=MB-EXT | Movimiento=GRAVAMEN LEY 25.413 S/CRED | Monto=414,37 | Fecha: 21/04/2026</t>
        </is>
      </c>
    </row>
    <row r="533">
      <c r="A533" s="8" t="inlineStr">
        <is>
          <t>PEND-B5147557FE99-A001</t>
        </is>
      </c>
      <c r="B533" s="8" t="inlineStr">
        <is>
          <t>ABIERTO_NUEVO</t>
        </is>
      </c>
      <c r="C533" s="8" t="inlineStr">
        <is>
          <t>Banco egreso no Flexxus</t>
        </is>
      </c>
      <c r="D533" s="8" t="inlineStr">
        <is>
          <t>21/04/2026</t>
        </is>
      </c>
      <c r="E533" s="8" t="inlineStr">
        <is>
          <t>29841627</t>
        </is>
      </c>
      <c r="F533" s="8" t="inlineStr">
        <is>
          <t>INGRESOS BRUTOS MENDOZA</t>
        </is>
      </c>
      <c r="G533" s="8" t="inlineStr">
        <is>
          <t>Retención Ingresos Brutos Mendoza</t>
        </is>
      </c>
      <c r="H533" s="8" t="inlineStr">
        <is>
          <t>Retención de Ingresos Brutos</t>
        </is>
      </c>
      <c r="I533" s="9" t="n">
        <v>655.41</v>
      </c>
      <c r="J533" s="9" t="inlineStr"/>
      <c r="K533" s="8" t="inlineStr">
        <is>
          <t>Copiar en Flexxus: Tipo=MB-EXT | Movimiento=INGRESOS BRUTOS MENDOZA | Monto=655,41 | Fecha: 21/04/2026</t>
        </is>
      </c>
    </row>
    <row r="534">
      <c r="A534" s="8" t="inlineStr">
        <is>
          <t>PEND-863FF34F9F87-A001</t>
        </is>
      </c>
      <c r="B534" s="8" t="inlineStr">
        <is>
          <t>ABIERTO_NUEVO</t>
        </is>
      </c>
      <c r="C534" s="8" t="inlineStr">
        <is>
          <t>Banco egreso no Flexxus</t>
        </is>
      </c>
      <c r="D534" s="8" t="inlineStr">
        <is>
          <t>21/04/2026</t>
        </is>
      </c>
      <c r="E534" s="8" t="inlineStr">
        <is>
          <t>29841627</t>
        </is>
      </c>
      <c r="F534" s="8" t="inlineStr">
        <is>
          <t>GRAVAMEN LEY 25413 S/CRED</t>
        </is>
      </c>
      <c r="G534" s="8" t="inlineStr">
        <is>
          <t>Anticipo Ganancias Ley 25.413 créditos</t>
        </is>
      </c>
      <c r="H534" s="8" t="inlineStr">
        <is>
          <t>Anticipo Impuesto a las Ganancias</t>
        </is>
      </c>
      <c r="I534" s="9" t="n">
        <v>393.24</v>
      </c>
      <c r="J534" s="9" t="inlineStr"/>
      <c r="K534" s="8" t="inlineStr">
        <is>
          <t>Copiar en Flexxus: Tipo=MB-EXT | Movimiento=GRAVAMEN LEY 25.413 S/CRED | Monto=393,24 | Fecha: 21/04/2026</t>
        </is>
      </c>
    </row>
    <row r="535">
      <c r="A535" s="8" t="inlineStr">
        <is>
          <t>PEND-7B2534C0EDF9-A001</t>
        </is>
      </c>
      <c r="B535" s="8" t="inlineStr">
        <is>
          <t>ABIERTO_NUEVO</t>
        </is>
      </c>
      <c r="C535" s="8" t="inlineStr">
        <is>
          <t>Banco egreso no Flexxus</t>
        </is>
      </c>
      <c r="D535" s="8" t="inlineStr">
        <is>
          <t>21/04/2026</t>
        </is>
      </c>
      <c r="E535" s="8" t="inlineStr">
        <is>
          <t>32032899</t>
        </is>
      </c>
      <c r="F535" s="8" t="inlineStr">
        <is>
          <t>INGRESOS BRUTOS MENDOZA</t>
        </is>
      </c>
      <c r="G535" s="8" t="inlineStr">
        <is>
          <t>Retención Ingresos Brutos Mendoza</t>
        </is>
      </c>
      <c r="H535" s="8" t="inlineStr">
        <is>
          <t>Retención de Ingresos Brutos</t>
        </is>
      </c>
      <c r="I535" s="9" t="n">
        <v>2145.03</v>
      </c>
      <c r="J535" s="9" t="inlineStr"/>
      <c r="K535" s="8" t="inlineStr">
        <is>
          <t>Copiar en Flexxus: Tipo=MB-EXT | Movimiento=INGRESOS BRUTOS MENDOZA | Monto=2.145,03 | Fecha: 21/04/2026</t>
        </is>
      </c>
    </row>
    <row r="536">
      <c r="A536" s="8" t="inlineStr">
        <is>
          <t>PEND-A869916F04A7-A001</t>
        </is>
      </c>
      <c r="B536" s="8" t="inlineStr">
        <is>
          <t>ABIERTO_NUEVO</t>
        </is>
      </c>
      <c r="C536" s="8" t="inlineStr">
        <is>
          <t>Banco egreso no Flexxus</t>
        </is>
      </c>
      <c r="D536" s="8" t="inlineStr">
        <is>
          <t>21/04/2026</t>
        </is>
      </c>
      <c r="E536" s="8" t="inlineStr">
        <is>
          <t>32032899</t>
        </is>
      </c>
      <c r="F536" s="8" t="inlineStr">
        <is>
          <t>GRAVAMEN LEY 25413 S/CRED</t>
        </is>
      </c>
      <c r="G536" s="8" t="inlineStr">
        <is>
          <t>Anticipo Ganancias Ley 25.413 créditos</t>
        </is>
      </c>
      <c r="H536" s="8" t="inlineStr">
        <is>
          <t>Anticipo Impuesto a las Ganancias</t>
        </is>
      </c>
      <c r="I536" s="9" t="n">
        <v>1287.02</v>
      </c>
      <c r="J536" s="9" t="inlineStr"/>
      <c r="K536" s="8" t="inlineStr">
        <is>
          <t>Copiar en Flexxus: Tipo=MB-EXT | Movimiento=GRAVAMEN LEY 25.413 S/CRED | Monto=1.287,02 | Fecha: 21/04/2026</t>
        </is>
      </c>
    </row>
    <row r="537">
      <c r="A537" s="8" t="inlineStr">
        <is>
          <t>PEND-2A3B9EBE973A-A001</t>
        </is>
      </c>
      <c r="B537" s="8" t="inlineStr">
        <is>
          <t>ABIERTO_NUEVO</t>
        </is>
      </c>
      <c r="C537" s="8" t="inlineStr">
        <is>
          <t>Banco egreso no Flexxus</t>
        </is>
      </c>
      <c r="D537" s="8" t="inlineStr">
        <is>
          <t>21/04/2026</t>
        </is>
      </c>
      <c r="E537" s="8" t="inlineStr">
        <is>
          <t>31995644</t>
        </is>
      </c>
      <c r="F537" s="8" t="inlineStr">
        <is>
          <t>INGRESOS BRUTOS MENDOZA</t>
        </is>
      </c>
      <c r="G537" s="8" t="inlineStr">
        <is>
          <t>Retención Ingresos Brutos Mendoza</t>
        </is>
      </c>
      <c r="H537" s="8" t="inlineStr">
        <is>
          <t>Retención de Ingresos Brutos</t>
        </is>
      </c>
      <c r="I537" s="9" t="n">
        <v>2119.61</v>
      </c>
      <c r="J537" s="9" t="inlineStr"/>
      <c r="K537" s="8" t="inlineStr">
        <is>
          <t>Copiar en Flexxus: Tipo=MB-EXT | Movimiento=INGRESOS BRUTOS MENDOZA | Monto=2.119,61 | Fecha: 21/04/2026</t>
        </is>
      </c>
    </row>
    <row r="538">
      <c r="A538" s="8" t="inlineStr">
        <is>
          <t>PEND-2B2F17B63EC8-A001</t>
        </is>
      </c>
      <c r="B538" s="8" t="inlineStr">
        <is>
          <t>ABIERTO_NUEVO</t>
        </is>
      </c>
      <c r="C538" s="8" t="inlineStr">
        <is>
          <t>Banco egreso no Flexxus</t>
        </is>
      </c>
      <c r="D538" s="8" t="inlineStr">
        <is>
          <t>21/04/2026</t>
        </is>
      </c>
      <c r="E538" s="8" t="inlineStr">
        <is>
          <t>31995644</t>
        </is>
      </c>
      <c r="F538" s="8" t="inlineStr">
        <is>
          <t>GRAVAMEN LEY 25413 S/CRED</t>
        </is>
      </c>
      <c r="G538" s="8" t="inlineStr">
        <is>
          <t>Anticipo Ganancias Ley 25.413 créditos</t>
        </is>
      </c>
      <c r="H538" s="8" t="inlineStr">
        <is>
          <t>Anticipo Impuesto a las Ganancias</t>
        </is>
      </c>
      <c r="I538" s="9" t="n">
        <v>1271.77</v>
      </c>
      <c r="J538" s="9" t="inlineStr"/>
      <c r="K538" s="8" t="inlineStr">
        <is>
          <t>Copiar en Flexxus: Tipo=MB-EXT | Movimiento=GRAVAMEN LEY 25.413 S/CRED | Monto=1.271,77 | Fecha: 21/04/2026</t>
        </is>
      </c>
    </row>
    <row r="539">
      <c r="A539" s="8" t="inlineStr">
        <is>
          <t>PEND-1FB4504B22A6-A001</t>
        </is>
      </c>
      <c r="B539" s="8" t="inlineStr">
        <is>
          <t>ABIERTO_NUEVO</t>
        </is>
      </c>
      <c r="C539" s="8" t="inlineStr">
        <is>
          <t>Banco egreso no Flexxus</t>
        </is>
      </c>
      <c r="D539" s="8" t="inlineStr">
        <is>
          <t>21/04/2026</t>
        </is>
      </c>
      <c r="E539" s="8" t="inlineStr">
        <is>
          <t>29841705</t>
        </is>
      </c>
      <c r="F539" s="8" t="inlineStr">
        <is>
          <t>INGRESOS BRUTOS MENDOZA</t>
        </is>
      </c>
      <c r="G539" s="8" t="inlineStr">
        <is>
          <t>Retención Ingresos Brutos Mendoza</t>
        </is>
      </c>
      <c r="H539" s="8" t="inlineStr">
        <is>
          <t>Retención de Ingresos Brutos</t>
        </is>
      </c>
      <c r="I539" s="9" t="n">
        <v>347.27</v>
      </c>
      <c r="J539" s="9" t="inlineStr"/>
      <c r="K539" s="8" t="inlineStr">
        <is>
          <t>Copiar en Flexxus: Tipo=MB-EXT | Movimiento=INGRESOS BRUTOS MENDOZA | Monto=347,27 | Fecha: 21/04/2026</t>
        </is>
      </c>
    </row>
    <row r="540">
      <c r="A540" s="8" t="inlineStr">
        <is>
          <t>PEND-F13B91984FC8-A001</t>
        </is>
      </c>
      <c r="B540" s="8" t="inlineStr">
        <is>
          <t>ABIERTO_NUEVO</t>
        </is>
      </c>
      <c r="C540" s="8" t="inlineStr">
        <is>
          <t>Banco egreso no Flexxus</t>
        </is>
      </c>
      <c r="D540" s="8" t="inlineStr">
        <is>
          <t>21/04/2026</t>
        </is>
      </c>
      <c r="E540" s="8" t="inlineStr">
        <is>
          <t>29841705</t>
        </is>
      </c>
      <c r="F540" s="8" t="inlineStr">
        <is>
          <t>GRAVAMEN LEY 25413 S/CRED</t>
        </is>
      </c>
      <c r="G540" s="8" t="inlineStr">
        <is>
          <t>Anticipo Ganancias Ley 25.413 créditos</t>
        </is>
      </c>
      <c r="H540" s="8" t="inlineStr">
        <is>
          <t>Anticipo Impuesto a las Ganancias</t>
        </is>
      </c>
      <c r="I540" s="9" t="n">
        <v>208.36</v>
      </c>
      <c r="J540" s="9" t="inlineStr"/>
      <c r="K540" s="8" t="inlineStr">
        <is>
          <t>Copiar en Flexxus: Tipo=MB-EXT | Movimiento=GRAVAMEN LEY 25.413 S/CRED | Monto=208,36 | Fecha: 21/04/2026</t>
        </is>
      </c>
    </row>
    <row r="541">
      <c r="A541" s="8" t="inlineStr">
        <is>
          <t>PEND-ECFFE8E9D8D3-A001</t>
        </is>
      </c>
      <c r="B541" s="8" t="inlineStr">
        <is>
          <t>ABIERTO_NUEVO</t>
        </is>
      </c>
      <c r="C541" s="8" t="inlineStr">
        <is>
          <t>Banco egreso no Flexxus</t>
        </is>
      </c>
      <c r="D541" s="8" t="inlineStr">
        <is>
          <t>21/04/2026</t>
        </is>
      </c>
      <c r="E541" s="8" t="inlineStr">
        <is>
          <t>29841670</t>
        </is>
      </c>
      <c r="F541" s="8" t="inlineStr">
        <is>
          <t>INGRESOS BRUTOS MENDOZA</t>
        </is>
      </c>
      <c r="G541" s="8" t="inlineStr">
        <is>
          <t>Retención Ingresos Brutos Mendoza</t>
        </is>
      </c>
      <c r="H541" s="8" t="inlineStr">
        <is>
          <t>Retención de Ingresos Brutos</t>
        </is>
      </c>
      <c r="I541" s="9" t="n">
        <v>307.16</v>
      </c>
      <c r="J541" s="9" t="inlineStr"/>
      <c r="K541" s="8" t="inlineStr">
        <is>
          <t>Copiar en Flexxus: Tipo=MB-EXT | Movimiento=INGRESOS BRUTOS MENDOZA | Monto=307,16 | Fecha: 21/04/2026</t>
        </is>
      </c>
    </row>
    <row r="542">
      <c r="A542" s="8" t="inlineStr">
        <is>
          <t>PEND-2DE06047C6C7-A001</t>
        </is>
      </c>
      <c r="B542" s="8" t="inlineStr">
        <is>
          <t>ABIERTO_NUEVO</t>
        </is>
      </c>
      <c r="C542" s="8" t="inlineStr">
        <is>
          <t>Banco egreso no Flexxus</t>
        </is>
      </c>
      <c r="D542" s="8" t="inlineStr">
        <is>
          <t>21/04/2026</t>
        </is>
      </c>
      <c r="E542" s="8" t="inlineStr">
        <is>
          <t>29841670</t>
        </is>
      </c>
      <c r="F542" s="8" t="inlineStr">
        <is>
          <t>GRAVAMEN LEY 25413 S/CRED</t>
        </is>
      </c>
      <c r="G542" s="8" t="inlineStr">
        <is>
          <t>Anticipo Ganancias Ley 25.413 créditos</t>
        </is>
      </c>
      <c r="H542" s="8" t="inlineStr">
        <is>
          <t>Anticipo Impuesto a las Ganancias</t>
        </is>
      </c>
      <c r="I542" s="9" t="n">
        <v>184.3</v>
      </c>
      <c r="J542" s="9" t="inlineStr"/>
      <c r="K542" s="8" t="inlineStr">
        <is>
          <t>Copiar en Flexxus: Tipo=MB-EXT | Movimiento=GRAVAMEN LEY 25.413 S/CRED | Monto=184,30 | Fecha: 21/04/2026</t>
        </is>
      </c>
    </row>
    <row r="543">
      <c r="A543" s="8" t="inlineStr">
        <is>
          <t>PEND-1A334643D118-A001</t>
        </is>
      </c>
      <c r="B543" s="8" t="inlineStr">
        <is>
          <t>ABIERTO_NUEVO</t>
        </is>
      </c>
      <c r="C543" s="8" t="inlineStr">
        <is>
          <t>Banco egreso no Flexxus</t>
        </is>
      </c>
      <c r="D543" s="8" t="inlineStr">
        <is>
          <t>21/04/2026</t>
        </is>
      </c>
      <c r="E543" s="8" t="inlineStr">
        <is>
          <t>108024</t>
        </is>
      </c>
      <c r="F543" s="8" t="inlineStr">
        <is>
          <t>INGRESOS BRUTOS MENDOZA</t>
        </is>
      </c>
      <c r="G543" s="8" t="inlineStr">
        <is>
          <t>Retención Ingresos Brutos Mendoza</t>
        </is>
      </c>
      <c r="H543" s="8" t="inlineStr">
        <is>
          <t>Retención de Ingresos Brutos</t>
        </is>
      </c>
      <c r="I543" s="9" t="n">
        <v>119.83</v>
      </c>
      <c r="J543" s="9" t="inlineStr"/>
      <c r="K543" s="8" t="inlineStr">
        <is>
          <t>Copiar en Flexxus: Tipo=MB-EXT | Movimiento=INGRESOS BRUTOS MENDOZA | Monto=119,83 | Fecha: 21/04/2026</t>
        </is>
      </c>
    </row>
    <row r="544">
      <c r="A544" s="8" t="inlineStr">
        <is>
          <t>PEND-1C8D0B41FE06-A001</t>
        </is>
      </c>
      <c r="B544" s="8" t="inlineStr">
        <is>
          <t>ABIERTO_NUEVO</t>
        </is>
      </c>
      <c r="C544" s="8" t="inlineStr">
        <is>
          <t>Banco egreso no Flexxus</t>
        </is>
      </c>
      <c r="D544" s="8" t="inlineStr">
        <is>
          <t>21/04/2026</t>
        </is>
      </c>
      <c r="E544" s="8" t="inlineStr">
        <is>
          <t>108024</t>
        </is>
      </c>
      <c r="F544" s="8" t="inlineStr">
        <is>
          <t>GRAVAMEN LEY 25413 S/CRED</t>
        </is>
      </c>
      <c r="G544" s="8" t="inlineStr">
        <is>
          <t>Anticipo Ganancias Ley 25.413 créditos</t>
        </is>
      </c>
      <c r="H544" s="8" t="inlineStr">
        <is>
          <t>Anticipo Impuesto a las Ganancias</t>
        </is>
      </c>
      <c r="I544" s="9" t="n">
        <v>71.90000000000001</v>
      </c>
      <c r="J544" s="9" t="inlineStr"/>
      <c r="K544" s="8" t="inlineStr">
        <is>
          <t>Copiar en Flexxus: Tipo=MB-EXT | Movimiento=GRAVAMEN LEY 25.413 S/CRED | Monto=71,90 | Fecha: 21/04/2026</t>
        </is>
      </c>
    </row>
    <row r="545">
      <c r="A545" s="8" t="inlineStr">
        <is>
          <t>PEND-653EAE1067A3-A001</t>
        </is>
      </c>
      <c r="B545" s="8" t="inlineStr">
        <is>
          <t>ABIERTO_NUEVO</t>
        </is>
      </c>
      <c r="C545" s="8" t="inlineStr">
        <is>
          <t>Banco egreso no Flexxus</t>
        </is>
      </c>
      <c r="D545" s="8" t="inlineStr">
        <is>
          <t>21/04/2026</t>
        </is>
      </c>
      <c r="E545" s="8" t="inlineStr">
        <is>
          <t>108023</t>
        </is>
      </c>
      <c r="F545" s="8" t="inlineStr">
        <is>
          <t>INGRESOS BRUTOS MENDOZA</t>
        </is>
      </c>
      <c r="G545" s="8" t="inlineStr">
        <is>
          <t>Retención Ingresos Brutos Mendoza</t>
        </is>
      </c>
      <c r="H545" s="8" t="inlineStr">
        <is>
          <t>Retención de Ingresos Brutos</t>
        </is>
      </c>
      <c r="I545" s="9" t="n">
        <v>641.73</v>
      </c>
      <c r="J545" s="9" t="inlineStr"/>
      <c r="K545" s="8" t="inlineStr">
        <is>
          <t>Copiar en Flexxus: Tipo=MB-EXT | Movimiento=INGRESOS BRUTOS MENDOZA | Monto=641,73 | Fecha: 21/04/2026</t>
        </is>
      </c>
    </row>
    <row r="546">
      <c r="A546" s="8" t="inlineStr">
        <is>
          <t>PEND-4096D478915D-A001</t>
        </is>
      </c>
      <c r="B546" s="8" t="inlineStr">
        <is>
          <t>ABIERTO_NUEVO</t>
        </is>
      </c>
      <c r="C546" s="8" t="inlineStr">
        <is>
          <t>Banco egreso no Flexxus</t>
        </is>
      </c>
      <c r="D546" s="8" t="inlineStr">
        <is>
          <t>21/04/2026</t>
        </is>
      </c>
      <c r="E546" s="8" t="inlineStr">
        <is>
          <t>108023</t>
        </is>
      </c>
      <c r="F546" s="8" t="inlineStr">
        <is>
          <t>GRAVAMEN LEY 25413 S/CRED</t>
        </is>
      </c>
      <c r="G546" s="8" t="inlineStr">
        <is>
          <t>Anticipo Ganancias Ley 25.413 créditos</t>
        </is>
      </c>
      <c r="H546" s="8" t="inlineStr">
        <is>
          <t>Anticipo Impuesto a las Ganancias</t>
        </is>
      </c>
      <c r="I546" s="9" t="n">
        <v>385.04</v>
      </c>
      <c r="J546" s="9" t="inlineStr"/>
      <c r="K546" s="8" t="inlineStr">
        <is>
          <t>Copiar en Flexxus: Tipo=MB-EXT | Movimiento=GRAVAMEN LEY 25.413 S/CRED | Monto=385,04 | Fecha: 21/04/2026</t>
        </is>
      </c>
    </row>
    <row r="547">
      <c r="A547" s="8" t="inlineStr">
        <is>
          <t>PEND-326A1B4293AA-A001</t>
        </is>
      </c>
      <c r="B547" s="8" t="inlineStr">
        <is>
          <t>ABIERTO_NUEVO</t>
        </is>
      </c>
      <c r="C547" s="8" t="inlineStr">
        <is>
          <t>Banco egreso no Flexxus</t>
        </is>
      </c>
      <c r="D547" s="8" t="inlineStr">
        <is>
          <t>21/04/2026</t>
        </is>
      </c>
      <c r="E547" s="8" t="inlineStr">
        <is>
          <t>108022</t>
        </is>
      </c>
      <c r="F547" s="8" t="inlineStr">
        <is>
          <t>INGRESOS BRUTOS MENDOZA</t>
        </is>
      </c>
      <c r="G547" s="8" t="inlineStr">
        <is>
          <t>Retención Ingresos Brutos Mendoza</t>
        </is>
      </c>
      <c r="H547" s="8" t="inlineStr">
        <is>
          <t>Retención de Ingresos Brutos</t>
        </is>
      </c>
      <c r="I547" s="9" t="n">
        <v>83.19</v>
      </c>
      <c r="J547" s="9" t="inlineStr"/>
      <c r="K547" s="8" t="inlineStr">
        <is>
          <t>Copiar en Flexxus: Tipo=MB-EXT | Movimiento=INGRESOS BRUTOS MENDOZA | Monto=83,19 | Fecha: 21/04/2026</t>
        </is>
      </c>
    </row>
    <row r="548">
      <c r="A548" s="8" t="inlineStr">
        <is>
          <t>PEND-79033B085D45-A001</t>
        </is>
      </c>
      <c r="B548" s="8" t="inlineStr">
        <is>
          <t>ABIERTO_NUEVO</t>
        </is>
      </c>
      <c r="C548" s="8" t="inlineStr">
        <is>
          <t>Banco egreso no Flexxus</t>
        </is>
      </c>
      <c r="D548" s="8" t="inlineStr">
        <is>
          <t>21/04/2026</t>
        </is>
      </c>
      <c r="E548" s="8" t="inlineStr">
        <is>
          <t>108022</t>
        </is>
      </c>
      <c r="F548" s="8" t="inlineStr">
        <is>
          <t>GRAVAMEN LEY 25413 S/CRED</t>
        </is>
      </c>
      <c r="G548" s="8" t="inlineStr">
        <is>
          <t>Anticipo Ganancias Ley 25.413 créditos</t>
        </is>
      </c>
      <c r="H548" s="8" t="inlineStr">
        <is>
          <t>Anticipo Impuesto a las Ganancias</t>
        </is>
      </c>
      <c r="I548" s="9" t="n">
        <v>49.91</v>
      </c>
      <c r="J548" s="9" t="inlineStr"/>
      <c r="K548" s="8" t="inlineStr">
        <is>
          <t>Copiar en Flexxus: Tipo=MB-EXT | Movimiento=GRAVAMEN LEY 25.413 S/CRED | Monto=49,91 | Fecha: 21/04/2026</t>
        </is>
      </c>
    </row>
    <row r="549">
      <c r="A549" s="8" t="inlineStr">
        <is>
          <t>PEND-7D4A36F2AC76-A001</t>
        </is>
      </c>
      <c r="B549" s="8" t="inlineStr">
        <is>
          <t>ABIERTO_NUEVO</t>
        </is>
      </c>
      <c r="C549" s="8" t="inlineStr">
        <is>
          <t>Banco egreso no Flexxus</t>
        </is>
      </c>
      <c r="D549" s="8" t="inlineStr">
        <is>
          <t>21/04/2026</t>
        </is>
      </c>
      <c r="E549" s="8" t="inlineStr">
        <is>
          <t>108021</t>
        </is>
      </c>
      <c r="F549" s="8" t="inlineStr">
        <is>
          <t>INGRESOS BRUTOS MENDOZA</t>
        </is>
      </c>
      <c r="G549" s="8" t="inlineStr">
        <is>
          <t>Retención Ingresos Brutos Mendoza</t>
        </is>
      </c>
      <c r="H549" s="8" t="inlineStr">
        <is>
          <t>Retención de Ingresos Brutos</t>
        </is>
      </c>
      <c r="I549" s="9" t="n">
        <v>168.35</v>
      </c>
      <c r="J549" s="9" t="inlineStr"/>
      <c r="K549" s="8" t="inlineStr">
        <is>
          <t>Copiar en Flexxus: Tipo=MB-EXT | Movimiento=INGRESOS BRUTOS MENDOZA | Monto=168,35 | Fecha: 21/04/2026</t>
        </is>
      </c>
    </row>
    <row r="550">
      <c r="A550" s="8" t="inlineStr">
        <is>
          <t>PEND-20697BD37BEF-A001</t>
        </is>
      </c>
      <c r="B550" s="8" t="inlineStr">
        <is>
          <t>ABIERTO_NUEVO</t>
        </is>
      </c>
      <c r="C550" s="8" t="inlineStr">
        <is>
          <t>Banco egreso no Flexxus</t>
        </is>
      </c>
      <c r="D550" s="8" t="inlineStr">
        <is>
          <t>21/04/2026</t>
        </is>
      </c>
      <c r="E550" s="8" t="inlineStr">
        <is>
          <t>108021</t>
        </is>
      </c>
      <c r="F550" s="8" t="inlineStr">
        <is>
          <t>GRAVAMEN LEY 25413 S/CRED</t>
        </is>
      </c>
      <c r="G550" s="8" t="inlineStr">
        <is>
          <t>Anticipo Ganancias Ley 25.413 créditos</t>
        </is>
      </c>
      <c r="H550" s="8" t="inlineStr">
        <is>
          <t>Anticipo Impuesto a las Ganancias</t>
        </is>
      </c>
      <c r="I550" s="9" t="n">
        <v>101.01</v>
      </c>
      <c r="J550" s="9" t="inlineStr"/>
      <c r="K550" s="8" t="inlineStr">
        <is>
          <t>Copiar en Flexxus: Tipo=MB-EXT | Movimiento=GRAVAMEN LEY 25.413 S/CRED | Monto=101,01 | Fecha: 21/04/2026</t>
        </is>
      </c>
    </row>
    <row r="551">
      <c r="A551" s="8" t="inlineStr">
        <is>
          <t>PEND-5FE65B6864F2-A001</t>
        </is>
      </c>
      <c r="B551" s="8" t="inlineStr">
        <is>
          <t>ABIERTO_NUEVO</t>
        </is>
      </c>
      <c r="C551" s="8" t="inlineStr">
        <is>
          <t>Banco egreso no Flexxus</t>
        </is>
      </c>
      <c r="D551" s="8" t="inlineStr">
        <is>
          <t>21/04/2026</t>
        </is>
      </c>
      <c r="E551" s="8" t="inlineStr">
        <is>
          <t>108020</t>
        </is>
      </c>
      <c r="F551" s="8" t="inlineStr">
        <is>
          <t>INGRESOS BRUTOS MENDOZA</t>
        </is>
      </c>
      <c r="G551" s="8" t="inlineStr">
        <is>
          <t>Retención Ingresos Brutos Mendoza</t>
        </is>
      </c>
      <c r="H551" s="8" t="inlineStr">
        <is>
          <t>Retención de Ingresos Brutos</t>
        </is>
      </c>
      <c r="I551" s="9" t="n">
        <v>220.84</v>
      </c>
      <c r="J551" s="9" t="inlineStr"/>
      <c r="K551" s="8" t="inlineStr">
        <is>
          <t>Copiar en Flexxus: Tipo=MB-EXT | Movimiento=INGRESOS BRUTOS MENDOZA | Monto=220,84 | Fecha: 21/04/2026</t>
        </is>
      </c>
    </row>
    <row r="552">
      <c r="A552" s="8" t="inlineStr">
        <is>
          <t>PEND-714BF789B33F-A001</t>
        </is>
      </c>
      <c r="B552" s="8" t="inlineStr">
        <is>
          <t>ABIERTO_NUEVO</t>
        </is>
      </c>
      <c r="C552" s="8" t="inlineStr">
        <is>
          <t>Banco egreso no Flexxus</t>
        </is>
      </c>
      <c r="D552" s="8" t="inlineStr">
        <is>
          <t>21/04/2026</t>
        </is>
      </c>
      <c r="E552" s="8" t="inlineStr">
        <is>
          <t>108020</t>
        </is>
      </c>
      <c r="F552" s="8" t="inlineStr">
        <is>
          <t>GRAVAMEN LEY 25413 S/CRED</t>
        </is>
      </c>
      <c r="G552" s="8" t="inlineStr">
        <is>
          <t>Anticipo Ganancias Ley 25.413 créditos</t>
        </is>
      </c>
      <c r="H552" s="8" t="inlineStr">
        <is>
          <t>Anticipo Impuesto a las Ganancias</t>
        </is>
      </c>
      <c r="I552" s="9" t="n">
        <v>132.5</v>
      </c>
      <c r="J552" s="9" t="inlineStr"/>
      <c r="K552" s="8" t="inlineStr">
        <is>
          <t>Copiar en Flexxus: Tipo=MB-EXT | Movimiento=GRAVAMEN LEY 25.413 S/CRED | Monto=132,50 | Fecha: 21/04/2026</t>
        </is>
      </c>
    </row>
    <row r="553">
      <c r="A553" s="8" t="inlineStr">
        <is>
          <t>PEND-A730EFC1B341-A001</t>
        </is>
      </c>
      <c r="B553" s="8" t="inlineStr">
        <is>
          <t>ABIERTO_NUEVO</t>
        </is>
      </c>
      <c r="C553" s="8" t="inlineStr">
        <is>
          <t>Banco egreso no Flexxus</t>
        </is>
      </c>
      <c r="D553" s="8" t="inlineStr">
        <is>
          <t>21/04/2026</t>
        </is>
      </c>
      <c r="E553" s="8" t="inlineStr">
        <is>
          <t>108019</t>
        </is>
      </c>
      <c r="F553" s="8" t="inlineStr">
        <is>
          <t>INGRESOS BRUTOS MENDOZA</t>
        </is>
      </c>
      <c r="G553" s="8" t="inlineStr">
        <is>
          <t>Retención Ingresos Brutos Mendoza</t>
        </is>
      </c>
      <c r="H553" s="8" t="inlineStr">
        <is>
          <t>Retención de Ingresos Brutos</t>
        </is>
      </c>
      <c r="I553" s="9" t="n">
        <v>151.52</v>
      </c>
      <c r="J553" s="9" t="inlineStr"/>
      <c r="K553" s="8" t="inlineStr">
        <is>
          <t>Copiar en Flexxus: Tipo=MB-EXT | Movimiento=INGRESOS BRUTOS MENDOZA | Monto=151,52 | Fecha: 21/04/2026</t>
        </is>
      </c>
    </row>
    <row r="554">
      <c r="A554" s="8" t="inlineStr">
        <is>
          <t>PEND-96ACE3BDA5E9-A001</t>
        </is>
      </c>
      <c r="B554" s="8" t="inlineStr">
        <is>
          <t>ABIERTO_NUEVO</t>
        </is>
      </c>
      <c r="C554" s="8" t="inlineStr">
        <is>
          <t>Banco egreso no Flexxus</t>
        </is>
      </c>
      <c r="D554" s="8" t="inlineStr">
        <is>
          <t>21/04/2026</t>
        </is>
      </c>
      <c r="E554" s="8" t="inlineStr">
        <is>
          <t>108019</t>
        </is>
      </c>
      <c r="F554" s="8" t="inlineStr">
        <is>
          <t>GRAVAMEN LEY 25413 S/CRED</t>
        </is>
      </c>
      <c r="G554" s="8" t="inlineStr">
        <is>
          <t>Anticipo Ganancias Ley 25.413 créditos</t>
        </is>
      </c>
      <c r="H554" s="8" t="inlineStr">
        <is>
          <t>Anticipo Impuesto a las Ganancias</t>
        </is>
      </c>
      <c r="I554" s="9" t="n">
        <v>90.91</v>
      </c>
      <c r="J554" s="9" t="inlineStr"/>
      <c r="K554" s="8" t="inlineStr">
        <is>
          <t>Copiar en Flexxus: Tipo=MB-EXT | Movimiento=GRAVAMEN LEY 25.413 S/CRED | Monto=90,91 | Fecha: 21/04/2026</t>
        </is>
      </c>
    </row>
    <row r="555">
      <c r="A555" s="8" t="inlineStr">
        <is>
          <t>PEND-020C635AB65F-A001</t>
        </is>
      </c>
      <c r="B555" s="8" t="inlineStr">
        <is>
          <t>ABIERTO_NUEVO</t>
        </is>
      </c>
      <c r="C555" s="8" t="inlineStr">
        <is>
          <t>Banco egreso no Flexxus</t>
        </is>
      </c>
      <c r="D555" s="8" t="inlineStr">
        <is>
          <t>21/04/2026</t>
        </is>
      </c>
      <c r="E555" s="8" t="inlineStr">
        <is>
          <t>32032899</t>
        </is>
      </c>
      <c r="F555" s="8" t="inlineStr">
        <is>
          <t>DEB LIQ MASTERCARD 24H</t>
        </is>
      </c>
      <c r="G555" s="8" t="inlineStr">
        <is>
          <t>Débito liquidación tarjeta</t>
        </is>
      </c>
      <c r="H555" s="8" t="inlineStr">
        <is>
          <t>Revisar según concepto</t>
        </is>
      </c>
      <c r="I555" s="9" t="n">
        <v>107.94</v>
      </c>
      <c r="J555" s="9" t="inlineStr"/>
      <c r="K555" s="8" t="inlineStr">
        <is>
          <t>Copiar en Flexxus: Tipo=MB-EXT | Movimiento=DEB LIQ MASTERCARD 24H | Monto=107,94 | Fecha: 21/04/2026</t>
        </is>
      </c>
    </row>
    <row r="556">
      <c r="A556" s="8" t="inlineStr">
        <is>
          <t>PEND-E379D51C7C81-A001</t>
        </is>
      </c>
      <c r="B556" s="8" t="inlineStr">
        <is>
          <t>ABIERTO_NUEVO</t>
        </is>
      </c>
      <c r="C556" s="8" t="inlineStr">
        <is>
          <t>Banco egreso no Flexxus</t>
        </is>
      </c>
      <c r="D556" s="8" t="inlineStr">
        <is>
          <t>20/04/2026</t>
        </is>
      </c>
      <c r="E556" s="8" t="inlineStr">
        <is>
          <t>107504</t>
        </is>
      </c>
      <c r="F556" s="8" t="inlineStr">
        <is>
          <t>GRAVAMEN LEY 25413 S/DEB</t>
        </is>
      </c>
      <c r="G556" s="8" t="inlineStr">
        <is>
          <t>Anticipo Ganancias Ley 25.413 débitos</t>
        </is>
      </c>
      <c r="H556" s="8" t="inlineStr">
        <is>
          <t>Anticipo Impuesto a las Ganancias</t>
        </is>
      </c>
      <c r="I556" s="9" t="n">
        <v>0.68</v>
      </c>
      <c r="J556" s="9" t="inlineStr"/>
      <c r="K556" s="8" t="inlineStr">
        <is>
          <t>Copiar en Flexxus: Tipo=MB-EXT | Movimiento=GRAVAMEN LEY 25.413 S/DEB | Monto=0,68 | Fecha: 20/04/2026</t>
        </is>
      </c>
    </row>
    <row r="557">
      <c r="A557" s="8" t="inlineStr">
        <is>
          <t>PEND-BB51F13C1870-A001</t>
        </is>
      </c>
      <c r="B557" s="8" t="inlineStr">
        <is>
          <t>ABIERTO_NUEVO</t>
        </is>
      </c>
      <c r="C557" s="8" t="inlineStr">
        <is>
          <t>Banco egreso no Flexxus</t>
        </is>
      </c>
      <c r="D557" s="8" t="inlineStr">
        <is>
          <t>20/04/2026</t>
        </is>
      </c>
      <c r="E557" s="8" t="inlineStr">
        <is>
          <t>107503</t>
        </is>
      </c>
      <c r="F557" s="8" t="inlineStr">
        <is>
          <t>GRAVAMEN LEY 25413 S/DEB</t>
        </is>
      </c>
      <c r="G557" s="8" t="inlineStr">
        <is>
          <t>Anticipo Ganancias Ley 25.413 débitos</t>
        </is>
      </c>
      <c r="H557" s="8" t="inlineStr">
        <is>
          <t>Anticipo Impuesto a las Ganancias</t>
        </is>
      </c>
      <c r="I557" s="9" t="n">
        <v>2.17</v>
      </c>
      <c r="J557" s="9" t="inlineStr"/>
      <c r="K557" s="8" t="inlineStr">
        <is>
          <t>Copiar en Flexxus: Tipo=MB-EXT | Movimiento=GRAVAMEN LEY 25.413 S/DEB | Monto=2,17 | Fecha: 20/04/2026</t>
        </is>
      </c>
    </row>
    <row r="558">
      <c r="A558" s="8" t="inlineStr">
        <is>
          <t>PEND-DE3CB6AD9A7C-A001</t>
        </is>
      </c>
      <c r="B558" s="8" t="inlineStr">
        <is>
          <t>ABIERTO_NUEVO</t>
        </is>
      </c>
      <c r="C558" s="8" t="inlineStr">
        <is>
          <t>Banco egreso no Flexxus</t>
        </is>
      </c>
      <c r="D558" s="8" t="inlineStr">
        <is>
          <t>20/04/2026</t>
        </is>
      </c>
      <c r="E558" s="8" t="inlineStr">
        <is>
          <t>107502</t>
        </is>
      </c>
      <c r="F558" s="8" t="inlineStr">
        <is>
          <t>GRAVAMEN LEY 25413 S/DEB</t>
        </is>
      </c>
      <c r="G558" s="8" t="inlineStr">
        <is>
          <t>Anticipo Ganancias Ley 25.413 débitos</t>
        </is>
      </c>
      <c r="H558" s="8" t="inlineStr">
        <is>
          <t>Anticipo Impuesto a las Ganancias</t>
        </is>
      </c>
      <c r="I558" s="9" t="n">
        <v>1.27</v>
      </c>
      <c r="J558" s="9" t="inlineStr"/>
      <c r="K558" s="8" t="inlineStr">
        <is>
          <t>Copiar en Flexxus: Tipo=MB-EXT | Movimiento=GRAVAMEN LEY 25.413 S/DEB | Monto=1,27 | Fecha: 20/04/2026</t>
        </is>
      </c>
    </row>
    <row r="559">
      <c r="A559" s="8" t="inlineStr">
        <is>
          <t>PEND-45EF0DA717F3-A001</t>
        </is>
      </c>
      <c r="B559" s="8" t="inlineStr">
        <is>
          <t>ABIERTO_NUEVO</t>
        </is>
      </c>
      <c r="C559" s="8" t="inlineStr">
        <is>
          <t>Banco egreso no Flexxus</t>
        </is>
      </c>
      <c r="D559" s="8" t="inlineStr">
        <is>
          <t>20/04/2026</t>
        </is>
      </c>
      <c r="E559" s="8" t="inlineStr">
        <is>
          <t>32032899</t>
        </is>
      </c>
      <c r="F559" s="8" t="inlineStr">
        <is>
          <t>GRAVAMEN LEY 25413 S/DEB</t>
        </is>
      </c>
      <c r="G559" s="8" t="inlineStr">
        <is>
          <t>Anticipo Ganancias Ley 25.413 débitos</t>
        </is>
      </c>
      <c r="H559" s="8" t="inlineStr">
        <is>
          <t>Anticipo Impuesto a las Ganancias</t>
        </is>
      </c>
      <c r="I559" s="9" t="n">
        <v>9.32</v>
      </c>
      <c r="J559" s="9" t="inlineStr"/>
      <c r="K559" s="8" t="inlineStr">
        <is>
          <t>Copiar en Flexxus: Tipo=MB-EXT | Movimiento=GRAVAMEN LEY 25.413 S/DEB | Monto=9,32 | Fecha: 20/04/2026</t>
        </is>
      </c>
    </row>
    <row r="560">
      <c r="A560" s="8" t="inlineStr">
        <is>
          <t>PEND-ADA20218B08C-A001</t>
        </is>
      </c>
      <c r="B560" s="8" t="inlineStr">
        <is>
          <t>ABIERTO_NUEVO</t>
        </is>
      </c>
      <c r="C560" s="8" t="inlineStr">
        <is>
          <t>Banco egreso no Flexxus</t>
        </is>
      </c>
      <c r="D560" s="8" t="inlineStr">
        <is>
          <t>20/04/2026</t>
        </is>
      </c>
      <c r="E560" s="8" t="inlineStr">
        <is>
          <t>31995644</t>
        </is>
      </c>
      <c r="F560" s="8" t="inlineStr">
        <is>
          <t>GRAVAMEN LEY 25413 S/DEB</t>
        </is>
      </c>
      <c r="G560" s="8" t="inlineStr">
        <is>
          <t>Anticipo Ganancias Ley 25.413 débitos</t>
        </is>
      </c>
      <c r="H560" s="8" t="inlineStr">
        <is>
          <t>Anticipo Impuesto a las Ganancias</t>
        </is>
      </c>
      <c r="I560" s="9" t="n">
        <v>35.61</v>
      </c>
      <c r="J560" s="9" t="inlineStr"/>
      <c r="K560" s="8" t="inlineStr">
        <is>
          <t>Copiar en Flexxus: Tipo=MB-EXT | Movimiento=GRAVAMEN LEY 25.413 S/DEB | Monto=35,61 | Fecha: 20/04/2026</t>
        </is>
      </c>
    </row>
    <row r="561">
      <c r="A561" s="8" t="inlineStr">
        <is>
          <t>PEND-EA828B65D4EC-A001</t>
        </is>
      </c>
      <c r="B561" s="8" t="inlineStr">
        <is>
          <t>ABIERTO_NUEVO</t>
        </is>
      </c>
      <c r="C561" s="8" t="inlineStr">
        <is>
          <t>Banco egreso no Flexxus</t>
        </is>
      </c>
      <c r="D561" s="8" t="inlineStr">
        <is>
          <t>20/04/2026</t>
        </is>
      </c>
      <c r="E561" s="8" t="inlineStr">
        <is>
          <t>29841705</t>
        </is>
      </c>
      <c r="F561" s="8" t="inlineStr">
        <is>
          <t>GRAVAMEN LEY 25413 S/DEB</t>
        </is>
      </c>
      <c r="G561" s="8" t="inlineStr">
        <is>
          <t>Anticipo Ganancias Ley 25.413 débitos</t>
        </is>
      </c>
      <c r="H561" s="8" t="inlineStr">
        <is>
          <t>Anticipo Impuesto a las Ganancias</t>
        </is>
      </c>
      <c r="I561" s="9" t="n">
        <v>6.22</v>
      </c>
      <c r="J561" s="9" t="inlineStr"/>
      <c r="K561" s="8" t="inlineStr">
        <is>
          <t>Copiar en Flexxus: Tipo=MB-EXT | Movimiento=GRAVAMEN LEY 25.413 S/DEB | Monto=6,22 | Fecha: 20/04/2026</t>
        </is>
      </c>
    </row>
    <row r="562">
      <c r="A562" s="8" t="inlineStr">
        <is>
          <t>PEND-0261C185ED5A-A001</t>
        </is>
      </c>
      <c r="B562" s="8" t="inlineStr">
        <is>
          <t>ABIERTO_NUEVO</t>
        </is>
      </c>
      <c r="C562" s="8" t="inlineStr">
        <is>
          <t>Banco egreso no Flexxus</t>
        </is>
      </c>
      <c r="D562" s="8" t="inlineStr">
        <is>
          <t>20/04/2026</t>
        </is>
      </c>
      <c r="E562" s="8" t="inlineStr">
        <is>
          <t>29841683</t>
        </is>
      </c>
      <c r="F562" s="8" t="inlineStr">
        <is>
          <t>GRAVAMEN LEY 25413 S/DEB</t>
        </is>
      </c>
      <c r="G562" s="8" t="inlineStr">
        <is>
          <t>Anticipo Ganancias Ley 25.413 débitos</t>
        </is>
      </c>
      <c r="H562" s="8" t="inlineStr">
        <is>
          <t>Anticipo Impuesto a las Ganancias</t>
        </is>
      </c>
      <c r="I562" s="9" t="n">
        <v>18.07</v>
      </c>
      <c r="J562" s="9" t="inlineStr"/>
      <c r="K562" s="8" t="inlineStr">
        <is>
          <t>Copiar en Flexxus: Tipo=MB-EXT | Movimiento=GRAVAMEN LEY 25.413 S/DEB | Monto=18,07 | Fecha: 20/04/2026</t>
        </is>
      </c>
    </row>
    <row r="563">
      <c r="A563" s="8" t="inlineStr">
        <is>
          <t>PEND-09B8219FEE27-A001</t>
        </is>
      </c>
      <c r="B563" s="8" t="inlineStr">
        <is>
          <t>ABIERTO_NUEVO</t>
        </is>
      </c>
      <c r="C563" s="8" t="inlineStr">
        <is>
          <t>Banco egreso no Flexxus</t>
        </is>
      </c>
      <c r="D563" s="8" t="inlineStr">
        <is>
          <t>20/04/2026</t>
        </is>
      </c>
      <c r="E563" s="8" t="inlineStr">
        <is>
          <t>29841670</t>
        </is>
      </c>
      <c r="F563" s="8" t="inlineStr">
        <is>
          <t>GRAVAMEN LEY 25413 S/DEB</t>
        </is>
      </c>
      <c r="G563" s="8" t="inlineStr">
        <is>
          <t>Anticipo Ganancias Ley 25.413 débitos</t>
        </is>
      </c>
      <c r="H563" s="8" t="inlineStr">
        <is>
          <t>Anticipo Impuesto a las Ganancias</t>
        </is>
      </c>
      <c r="I563" s="9" t="n">
        <v>5.93</v>
      </c>
      <c r="J563" s="9" t="inlineStr"/>
      <c r="K563" s="8" t="inlineStr">
        <is>
          <t>Copiar en Flexxus: Tipo=MB-EXT | Movimiento=GRAVAMEN LEY 25.413 S/DEB | Monto=5,93 | Fecha: 20/04/2026</t>
        </is>
      </c>
    </row>
    <row r="564">
      <c r="A564" s="8" t="inlineStr">
        <is>
          <t>PEND-AA5616E3346F-A001</t>
        </is>
      </c>
      <c r="B564" s="8" t="inlineStr">
        <is>
          <t>ABIERTO_NUEVO</t>
        </is>
      </c>
      <c r="C564" s="8" t="inlineStr">
        <is>
          <t>Banco egreso no Flexxus</t>
        </is>
      </c>
      <c r="D564" s="8" t="inlineStr">
        <is>
          <t>20/04/2026</t>
        </is>
      </c>
      <c r="E564" s="8" t="inlineStr">
        <is>
          <t>29841642</t>
        </is>
      </c>
      <c r="F564" s="8" t="inlineStr">
        <is>
          <t>GRAVAMEN LEY 25413 S/DEB</t>
        </is>
      </c>
      <c r="G564" s="8" t="inlineStr">
        <is>
          <t>Anticipo Ganancias Ley 25.413 débitos</t>
        </is>
      </c>
      <c r="H564" s="8" t="inlineStr">
        <is>
          <t>Anticipo Impuesto a las Ganancias</t>
        </is>
      </c>
      <c r="I564" s="9" t="n">
        <v>2.98</v>
      </c>
      <c r="J564" s="9" t="inlineStr"/>
      <c r="K564" s="8" t="inlineStr">
        <is>
          <t>Copiar en Flexxus: Tipo=MB-EXT | Movimiento=GRAVAMEN LEY 25.413 S/DEB | Monto=2,98 | Fecha: 20/04/2026</t>
        </is>
      </c>
    </row>
    <row r="565">
      <c r="A565" s="8" t="inlineStr">
        <is>
          <t>PEND-39ED52349C29-A001</t>
        </is>
      </c>
      <c r="B565" s="8" t="inlineStr">
        <is>
          <t>ABIERTO_NUEVO</t>
        </is>
      </c>
      <c r="C565" s="8" t="inlineStr">
        <is>
          <t>Banco egreso no Flexxus</t>
        </is>
      </c>
      <c r="D565" s="8" t="inlineStr">
        <is>
          <t>20/04/2026</t>
        </is>
      </c>
      <c r="E565" s="8" t="inlineStr">
        <is>
          <t>29841627</t>
        </is>
      </c>
      <c r="F565" s="8" t="inlineStr">
        <is>
          <t>GRAVAMEN LEY 25413 S/DEB</t>
        </is>
      </c>
      <c r="G565" s="8" t="inlineStr">
        <is>
          <t>Anticipo Ganancias Ley 25.413 débitos</t>
        </is>
      </c>
      <c r="H565" s="8" t="inlineStr">
        <is>
          <t>Anticipo Impuesto a las Ganancias</t>
        </is>
      </c>
      <c r="I565" s="9" t="n">
        <v>0.68</v>
      </c>
      <c r="J565" s="9" t="inlineStr"/>
      <c r="K565" s="8" t="inlineStr">
        <is>
          <t>Copiar en Flexxus: Tipo=MB-EXT | Movimiento=GRAVAMEN LEY 25.413 S/DEB | Monto=0,68 | Fecha: 20/04/2026</t>
        </is>
      </c>
    </row>
    <row r="566">
      <c r="A566" s="8" t="inlineStr">
        <is>
          <t>PEND-2FA7AB47AD81-A001</t>
        </is>
      </c>
      <c r="B566" s="8" t="inlineStr">
        <is>
          <t>ABIERTO_NUEVO</t>
        </is>
      </c>
      <c r="C566" s="8" t="inlineStr">
        <is>
          <t>Banco egreso no Flexxus</t>
        </is>
      </c>
      <c r="D566" s="8" t="inlineStr">
        <is>
          <t>20/04/2026</t>
        </is>
      </c>
      <c r="E566" s="8" t="inlineStr">
        <is>
          <t>32032899</t>
        </is>
      </c>
      <c r="F566" s="8" t="inlineStr">
        <is>
          <t>GRAVAMEN LEY 25413 S/DEB</t>
        </is>
      </c>
      <c r="G566" s="8" t="inlineStr">
        <is>
          <t>Anticipo Ganancias Ley 25.413 débitos</t>
        </is>
      </c>
      <c r="H566" s="8" t="inlineStr">
        <is>
          <t>Anticipo Impuesto a las Ganancias</t>
        </is>
      </c>
      <c r="I566" s="9" t="n">
        <v>2.05</v>
      </c>
      <c r="J566" s="9" t="inlineStr"/>
      <c r="K566" s="8" t="inlineStr">
        <is>
          <t>Copiar en Flexxus: Tipo=MB-EXT | Movimiento=GRAVAMEN LEY 25.413 S/DEB | Monto=2,05 | Fecha: 20/04/2026</t>
        </is>
      </c>
    </row>
    <row r="567">
      <c r="A567" s="8" t="inlineStr">
        <is>
          <t>PEND-B421FAC093A1-A001</t>
        </is>
      </c>
      <c r="B567" s="8" t="inlineStr">
        <is>
          <t>ABIERTO_NUEVO</t>
        </is>
      </c>
      <c r="C567" s="8" t="inlineStr">
        <is>
          <t>Banco egreso no Flexxus</t>
        </is>
      </c>
      <c r="D567" s="8" t="inlineStr">
        <is>
          <t>20/04/2026</t>
        </is>
      </c>
      <c r="E567" s="8" t="inlineStr">
        <is>
          <t>31995644</t>
        </is>
      </c>
      <c r="F567" s="8" t="inlineStr">
        <is>
          <t>GRAVAMEN LEY 25413 S/DEB</t>
        </is>
      </c>
      <c r="G567" s="8" t="inlineStr">
        <is>
          <t>Anticipo Ganancias Ley 25.413 débitos</t>
        </is>
      </c>
      <c r="H567" s="8" t="inlineStr">
        <is>
          <t>Anticipo Impuesto a las Ganancias</t>
        </is>
      </c>
      <c r="I567" s="9" t="n">
        <v>24.31</v>
      </c>
      <c r="J567" s="9" t="inlineStr"/>
      <c r="K567" s="8" t="inlineStr">
        <is>
          <t>Copiar en Flexxus: Tipo=MB-EXT | Movimiento=GRAVAMEN LEY 25.413 S/DEB | Monto=24,31 | Fecha: 20/04/2026</t>
        </is>
      </c>
    </row>
    <row r="568">
      <c r="A568" s="8" t="inlineStr">
        <is>
          <t>PEND-B09F75F99618-A001</t>
        </is>
      </c>
      <c r="B568" s="8" t="inlineStr">
        <is>
          <t>ABIERTO_NUEVO</t>
        </is>
      </c>
      <c r="C568" s="8" t="inlineStr">
        <is>
          <t>Banco egreso no Flexxus</t>
        </is>
      </c>
      <c r="D568" s="8" t="inlineStr">
        <is>
          <t>20/04/2026</t>
        </is>
      </c>
      <c r="E568" s="8" t="inlineStr">
        <is>
          <t>29841627</t>
        </is>
      </c>
      <c r="F568" s="8" t="inlineStr">
        <is>
          <t>GRAVAMEN LEY 25413 S/DEB</t>
        </is>
      </c>
      <c r="G568" s="8" t="inlineStr">
        <is>
          <t>Anticipo Ganancias Ley 25.413 débitos</t>
        </is>
      </c>
      <c r="H568" s="8" t="inlineStr">
        <is>
          <t>Anticipo Impuesto a las Ganancias</t>
        </is>
      </c>
      <c r="I568" s="9" t="n">
        <v>0.74</v>
      </c>
      <c r="J568" s="9" t="inlineStr"/>
      <c r="K568" s="8" t="inlineStr">
        <is>
          <t>Copiar en Flexxus: Tipo=MB-EXT | Movimiento=GRAVAMEN LEY 25.413 S/DEB | Monto=0,74 | Fecha: 20/04/2026</t>
        </is>
      </c>
    </row>
    <row r="569">
      <c r="A569" s="8" t="inlineStr">
        <is>
          <t>PEND-773F210494C8-A001</t>
        </is>
      </c>
      <c r="B569" s="8" t="inlineStr">
        <is>
          <t>ABIERTO_NUEVO</t>
        </is>
      </c>
      <c r="C569" s="8" t="inlineStr">
        <is>
          <t>Banco egreso no Flexxus</t>
        </is>
      </c>
      <c r="D569" s="8" t="inlineStr">
        <is>
          <t>20/04/2026</t>
        </is>
      </c>
      <c r="E569" s="8" t="inlineStr">
        <is>
          <t>32032899</t>
        </is>
      </c>
      <c r="F569" s="8" t="inlineStr">
        <is>
          <t>GRAVAMEN LEY 25413 S/DEB</t>
        </is>
      </c>
      <c r="G569" s="8" t="inlineStr">
        <is>
          <t>Anticipo Ganancias Ley 25.413 débitos</t>
        </is>
      </c>
      <c r="H569" s="8" t="inlineStr">
        <is>
          <t>Anticipo Impuesto a las Ganancias</t>
        </is>
      </c>
      <c r="I569" s="9" t="n">
        <v>2.15</v>
      </c>
      <c r="J569" s="9" t="inlineStr"/>
      <c r="K569" s="8" t="inlineStr">
        <is>
          <t>Copiar en Flexxus: Tipo=MB-EXT | Movimiento=GRAVAMEN LEY 25.413 S/DEB | Monto=2,15 | Fecha: 20/04/2026</t>
        </is>
      </c>
    </row>
    <row r="570">
      <c r="A570" s="8" t="inlineStr">
        <is>
          <t>PEND-F7444CA606CA-A001</t>
        </is>
      </c>
      <c r="B570" s="8" t="inlineStr">
        <is>
          <t>ABIERTO_NUEVO</t>
        </is>
      </c>
      <c r="C570" s="8" t="inlineStr">
        <is>
          <t>Banco egreso no Flexxus</t>
        </is>
      </c>
      <c r="D570" s="8" t="inlineStr">
        <is>
          <t>20/04/2026</t>
        </is>
      </c>
      <c r="E570" s="8" t="inlineStr">
        <is>
          <t>107488</t>
        </is>
      </c>
      <c r="F570" s="8" t="inlineStr">
        <is>
          <t>GRAVAMEN LEY 25413 S/DEB</t>
        </is>
      </c>
      <c r="G570" s="8" t="inlineStr">
        <is>
          <t>Anticipo Ganancias Ley 25.413 débitos</t>
        </is>
      </c>
      <c r="H570" s="8" t="inlineStr">
        <is>
          <t>Anticipo Impuesto a las Ganancias</t>
        </is>
      </c>
      <c r="I570" s="9" t="n">
        <v>1.49</v>
      </c>
      <c r="J570" s="9" t="inlineStr"/>
      <c r="K570" s="8" t="inlineStr">
        <is>
          <t>Copiar en Flexxus: Tipo=MB-EXT | Movimiento=GRAVAMEN LEY 25.413 S/DEB | Monto=1,49 | Fecha: 20/04/2026</t>
        </is>
      </c>
    </row>
    <row r="571">
      <c r="A571" s="8" t="inlineStr">
        <is>
          <t>PEND-35DC1C547AD9-A001</t>
        </is>
      </c>
      <c r="B571" s="8" t="inlineStr">
        <is>
          <t>ABIERTO_NUEVO</t>
        </is>
      </c>
      <c r="C571" s="8" t="inlineStr">
        <is>
          <t>Banco egreso no Flexxus</t>
        </is>
      </c>
      <c r="D571" s="8" t="inlineStr">
        <is>
          <t>20/04/2026</t>
        </is>
      </c>
      <c r="E571" s="8" t="inlineStr">
        <is>
          <t>31995644</t>
        </is>
      </c>
      <c r="F571" s="8" t="inlineStr">
        <is>
          <t>GRAVAMEN LEY 25413 S/DEB</t>
        </is>
      </c>
      <c r="G571" s="8" t="inlineStr">
        <is>
          <t>Anticipo Ganancias Ley 25.413 débitos</t>
        </is>
      </c>
      <c r="H571" s="8" t="inlineStr">
        <is>
          <t>Anticipo Impuesto a las Ganancias</t>
        </is>
      </c>
      <c r="I571" s="9" t="n">
        <v>37.83</v>
      </c>
      <c r="J571" s="9" t="inlineStr"/>
      <c r="K571" s="8" t="inlineStr">
        <is>
          <t>Copiar en Flexxus: Tipo=MB-EXT | Movimiento=GRAVAMEN LEY 25.413 S/DEB | Monto=37,83 | Fecha: 20/04/2026</t>
        </is>
      </c>
    </row>
    <row r="572">
      <c r="A572" s="8" t="inlineStr">
        <is>
          <t>PEND-14615BE782FA-A001</t>
        </is>
      </c>
      <c r="B572" s="8" t="inlineStr">
        <is>
          <t>ABIERTO_NUEVO</t>
        </is>
      </c>
      <c r="C572" s="8" t="inlineStr">
        <is>
          <t>Banco egreso no Flexxus</t>
        </is>
      </c>
      <c r="D572" s="8" t="inlineStr">
        <is>
          <t>20/04/2026</t>
        </is>
      </c>
      <c r="E572" s="8" t="inlineStr">
        <is>
          <t>32032899</t>
        </is>
      </c>
      <c r="F572" s="8" t="inlineStr">
        <is>
          <t>GRAVAMEN LEY 25413 S/DEB</t>
        </is>
      </c>
      <c r="G572" s="8" t="inlineStr">
        <is>
          <t>Anticipo Ganancias Ley 25.413 débitos</t>
        </is>
      </c>
      <c r="H572" s="8" t="inlineStr">
        <is>
          <t>Anticipo Impuesto a las Ganancias</t>
        </is>
      </c>
      <c r="I572" s="9" t="n">
        <v>7.32</v>
      </c>
      <c r="J572" s="9" t="inlineStr"/>
      <c r="K572" s="8" t="inlineStr">
        <is>
          <t>Copiar en Flexxus: Tipo=MB-EXT | Movimiento=GRAVAMEN LEY 25.413 S/DEB | Monto=7,32 | Fecha: 20/04/2026</t>
        </is>
      </c>
    </row>
    <row r="573">
      <c r="A573" s="8" t="inlineStr">
        <is>
          <t>PEND-C64E1A191886-A001</t>
        </is>
      </c>
      <c r="B573" s="8" t="inlineStr">
        <is>
          <t>ABIERTO_NUEVO</t>
        </is>
      </c>
      <c r="C573" s="8" t="inlineStr">
        <is>
          <t>Banco egreso no Flexxus</t>
        </is>
      </c>
      <c r="D573" s="8" t="inlineStr">
        <is>
          <t>20/04/2026</t>
        </is>
      </c>
      <c r="E573" s="8" t="inlineStr">
        <is>
          <t>32032899</t>
        </is>
      </c>
      <c r="F573" s="8" t="inlineStr">
        <is>
          <t>GRAVAMEN LEY 25413 S/DEB</t>
        </is>
      </c>
      <c r="G573" s="8" t="inlineStr">
        <is>
          <t>Anticipo Ganancias Ley 25.413 débitos</t>
        </is>
      </c>
      <c r="H573" s="8" t="inlineStr">
        <is>
          <t>Anticipo Impuesto a las Ganancias</t>
        </is>
      </c>
      <c r="I573" s="9" t="n">
        <v>1.88</v>
      </c>
      <c r="J573" s="9" t="inlineStr"/>
      <c r="K573" s="8" t="inlineStr">
        <is>
          <t>Copiar en Flexxus: Tipo=MB-EXT | Movimiento=GRAVAMEN LEY 25.413 S/DEB | Monto=1,88 | Fecha: 20/04/2026</t>
        </is>
      </c>
    </row>
    <row r="574">
      <c r="A574" s="8" t="inlineStr">
        <is>
          <t>PEND-86C2202C3297-A001</t>
        </is>
      </c>
      <c r="B574" s="8" t="inlineStr">
        <is>
          <t>ABIERTO_NUEVO</t>
        </is>
      </c>
      <c r="C574" s="8" t="inlineStr">
        <is>
          <t>Banco egreso no Flexxus</t>
        </is>
      </c>
      <c r="D574" s="8" t="inlineStr">
        <is>
          <t>20/04/2026</t>
        </is>
      </c>
      <c r="E574" s="8" t="inlineStr">
        <is>
          <t>31995644</t>
        </is>
      </c>
      <c r="F574" s="8" t="inlineStr">
        <is>
          <t>GRAVAMEN LEY 25413 S/DEB</t>
        </is>
      </c>
      <c r="G574" s="8" t="inlineStr">
        <is>
          <t>Anticipo Ganancias Ley 25.413 débitos</t>
        </is>
      </c>
      <c r="H574" s="8" t="inlineStr">
        <is>
          <t>Anticipo Impuesto a las Ganancias</t>
        </is>
      </c>
      <c r="I574" s="9" t="n">
        <v>3.13</v>
      </c>
      <c r="J574" s="9" t="inlineStr"/>
      <c r="K574" s="8" t="inlineStr">
        <is>
          <t>Copiar en Flexxus: Tipo=MB-EXT | Movimiento=GRAVAMEN LEY 25.413 S/DEB | Monto=3,13 | Fecha: 20/04/2026</t>
        </is>
      </c>
    </row>
    <row r="575">
      <c r="A575" s="8" t="inlineStr">
        <is>
          <t>PEND-05B24F428BBF-A001</t>
        </is>
      </c>
      <c r="B575" s="8" t="inlineStr">
        <is>
          <t>ABIERTO_NUEVO</t>
        </is>
      </c>
      <c r="C575" s="8" t="inlineStr">
        <is>
          <t>Banco egreso no Flexxus</t>
        </is>
      </c>
      <c r="D575" s="8" t="inlineStr">
        <is>
          <t>20/04/2026</t>
        </is>
      </c>
      <c r="E575" s="8" t="inlineStr">
        <is>
          <t>31995644</t>
        </is>
      </c>
      <c r="F575" s="8" t="inlineStr">
        <is>
          <t>GRAVAMEN LEY 25413 S/DEB</t>
        </is>
      </c>
      <c r="G575" s="8" t="inlineStr">
        <is>
          <t>Anticipo Ganancias Ley 25.413 débitos</t>
        </is>
      </c>
      <c r="H575" s="8" t="inlineStr">
        <is>
          <t>Anticipo Impuesto a las Ganancias</t>
        </is>
      </c>
      <c r="I575" s="9" t="n">
        <v>5.5</v>
      </c>
      <c r="J575" s="9" t="inlineStr"/>
      <c r="K575" s="8" t="inlineStr">
        <is>
          <t>Copiar en Flexxus: Tipo=MB-EXT | Movimiento=GRAVAMEN LEY 25.413 S/DEB | Monto=5,50 | Fecha: 20/04/2026</t>
        </is>
      </c>
    </row>
    <row r="576">
      <c r="A576" s="8" t="inlineStr">
        <is>
          <t>PEND-CDCBBC169D1B-A001</t>
        </is>
      </c>
      <c r="B576" s="8" t="inlineStr">
        <is>
          <t>ABIERTO_NUEVO</t>
        </is>
      </c>
      <c r="C576" s="8" t="inlineStr">
        <is>
          <t>Banco egreso no Flexxus</t>
        </is>
      </c>
      <c r="D576" s="8" t="inlineStr">
        <is>
          <t>20/04/2026</t>
        </is>
      </c>
      <c r="E576" s="8" t="inlineStr">
        <is>
          <t>4018025</t>
        </is>
      </c>
      <c r="F576" s="8" t="inlineStr">
        <is>
          <t>GRAVAMEN LEY 25413 S/DEB</t>
        </is>
      </c>
      <c r="G576" s="8" t="inlineStr">
        <is>
          <t>Anticipo Ganancias Ley 25.413 débitos</t>
        </is>
      </c>
      <c r="H576" s="8" t="inlineStr">
        <is>
          <t>Anticipo Impuesto a las Ganancias</t>
        </is>
      </c>
      <c r="I576" s="9" t="n">
        <v>135.19</v>
      </c>
      <c r="J576" s="9" t="inlineStr"/>
      <c r="K576" s="8" t="inlineStr">
        <is>
          <t>Copiar en Flexxus: Tipo=MB-EXT | Movimiento=GRAVAMEN LEY 25.413 S/DEB | Monto=135,19 | Fecha: 20/04/2026</t>
        </is>
      </c>
    </row>
    <row r="577">
      <c r="A577" s="8" t="inlineStr">
        <is>
          <t>PEND-83EF5C91CDE1-A001</t>
        </is>
      </c>
      <c r="B577" s="8" t="inlineStr">
        <is>
          <t>ABIERTO_NUEVO</t>
        </is>
      </c>
      <c r="C577" s="8" t="inlineStr">
        <is>
          <t>Banco egreso no Flexxus</t>
        </is>
      </c>
      <c r="D577" s="8" t="inlineStr">
        <is>
          <t>20/04/2026</t>
        </is>
      </c>
      <c r="E577" s="8" t="inlineStr">
        <is>
          <t>29841683</t>
        </is>
      </c>
      <c r="F577" s="8" t="inlineStr">
        <is>
          <t>GRAVAMEN LEY 25413 S/DEB</t>
        </is>
      </c>
      <c r="G577" s="8" t="inlineStr">
        <is>
          <t>Anticipo Ganancias Ley 25.413 débitos</t>
        </is>
      </c>
      <c r="H577" s="8" t="inlineStr">
        <is>
          <t>Anticipo Impuesto a las Ganancias</t>
        </is>
      </c>
      <c r="I577" s="9" t="n">
        <v>1.9</v>
      </c>
      <c r="J577" s="9" t="inlineStr"/>
      <c r="K577" s="8" t="inlineStr">
        <is>
          <t>Copiar en Flexxus: Tipo=MB-EXT | Movimiento=GRAVAMEN LEY 25.413 S/DEB | Monto=1,90 | Fecha: 20/04/2026</t>
        </is>
      </c>
    </row>
    <row r="578">
      <c r="A578" s="8" t="inlineStr">
        <is>
          <t>PEND-1C3732789A8D-A001</t>
        </is>
      </c>
      <c r="B578" s="8" t="inlineStr">
        <is>
          <t>ABIERTO_NUEVO</t>
        </is>
      </c>
      <c r="C578" s="8" t="inlineStr">
        <is>
          <t>Banco egreso no Flexxus</t>
        </is>
      </c>
      <c r="D578" s="8" t="inlineStr">
        <is>
          <t>20/04/2026</t>
        </is>
      </c>
      <c r="E578" s="8" t="inlineStr">
        <is>
          <t>29841670</t>
        </is>
      </c>
      <c r="F578" s="8" t="inlineStr">
        <is>
          <t>GRAVAMEN LEY 25413 S/DEB</t>
        </is>
      </c>
      <c r="G578" s="8" t="inlineStr">
        <is>
          <t>Anticipo Ganancias Ley 25.413 débitos</t>
        </is>
      </c>
      <c r="H578" s="8" t="inlineStr">
        <is>
          <t>Anticipo Impuesto a las Ganancias</t>
        </is>
      </c>
      <c r="I578" s="9" t="n">
        <v>0.49</v>
      </c>
      <c r="J578" s="9" t="inlineStr"/>
      <c r="K578" s="8" t="inlineStr">
        <is>
          <t>Copiar en Flexxus: Tipo=MB-EXT | Movimiento=GRAVAMEN LEY 25.413 S/DEB | Monto=0,49 | Fecha: 20/04/2026</t>
        </is>
      </c>
    </row>
    <row r="579">
      <c r="A579" s="8" t="inlineStr">
        <is>
          <t>PEND-09CCDDF78FA4-A001</t>
        </is>
      </c>
      <c r="B579" s="8" t="inlineStr">
        <is>
          <t>ABIERTO_NUEVO</t>
        </is>
      </c>
      <c r="C579" s="8" t="inlineStr">
        <is>
          <t>Banco egreso no Flexxus</t>
        </is>
      </c>
      <c r="D579" s="8" t="inlineStr">
        <is>
          <t>20/04/2026</t>
        </is>
      </c>
      <c r="E579" s="8" t="inlineStr">
        <is>
          <t>29841642</t>
        </is>
      </c>
      <c r="F579" s="8" t="inlineStr">
        <is>
          <t>GRAVAMEN LEY 25413 S/DEB</t>
        </is>
      </c>
      <c r="G579" s="8" t="inlineStr">
        <is>
          <t>Anticipo Ganancias Ley 25.413 débitos</t>
        </is>
      </c>
      <c r="H579" s="8" t="inlineStr">
        <is>
          <t>Anticipo Impuesto a las Ganancias</t>
        </is>
      </c>
      <c r="I579" s="9" t="n">
        <v>0.85</v>
      </c>
      <c r="J579" s="9" t="inlineStr"/>
      <c r="K579" s="8" t="inlineStr">
        <is>
          <t>Copiar en Flexxus: Tipo=MB-EXT | Movimiento=GRAVAMEN LEY 25.413 S/DEB | Monto=0,85 | Fecha: 20/04/2026</t>
        </is>
      </c>
    </row>
    <row r="580">
      <c r="A580" s="8" t="inlineStr">
        <is>
          <t>PEND-1B953E0B06D2-A001</t>
        </is>
      </c>
      <c r="B580" s="8" t="inlineStr">
        <is>
          <t>ABIERTO_NUEVO</t>
        </is>
      </c>
      <c r="C580" s="8" t="inlineStr">
        <is>
          <t>Banco egreso no Flexxus</t>
        </is>
      </c>
      <c r="D580" s="8" t="inlineStr">
        <is>
          <t>20/04/2026</t>
        </is>
      </c>
      <c r="E580" s="8" t="inlineStr">
        <is>
          <t>32032899</t>
        </is>
      </c>
      <c r="F580" s="8" t="inlineStr">
        <is>
          <t>GRAVAMEN LEY 25413 S/DEB</t>
        </is>
      </c>
      <c r="G580" s="8" t="inlineStr">
        <is>
          <t>Anticipo Ganancias Ley 25.413 débitos</t>
        </is>
      </c>
      <c r="H580" s="8" t="inlineStr">
        <is>
          <t>Anticipo Impuesto a las Ganancias</t>
        </is>
      </c>
      <c r="I580" s="9" t="n">
        <v>5.73</v>
      </c>
      <c r="J580" s="9" t="inlineStr"/>
      <c r="K580" s="8" t="inlineStr">
        <is>
          <t>Copiar en Flexxus: Tipo=MB-EXT | Movimiento=GRAVAMEN LEY 25.413 S/DEB | Monto=5,73 | Fecha: 20/04/2026</t>
        </is>
      </c>
    </row>
    <row r="581">
      <c r="A581" s="8" t="inlineStr">
        <is>
          <t>PEND-86C2202C3297-B002</t>
        </is>
      </c>
      <c r="B581" s="8" t="inlineStr">
        <is>
          <t>ABIERTO_NUEVO</t>
        </is>
      </c>
      <c r="C581" s="8" t="inlineStr">
        <is>
          <t>Banco egreso no Flexxus</t>
        </is>
      </c>
      <c r="D581" s="8" t="inlineStr">
        <is>
          <t>20/04/2026</t>
        </is>
      </c>
      <c r="E581" s="8" t="inlineStr">
        <is>
          <t>31995644</t>
        </is>
      </c>
      <c r="F581" s="8" t="inlineStr">
        <is>
          <t>GRAVAMEN LEY 25413 S/DEB</t>
        </is>
      </c>
      <c r="G581" s="8" t="inlineStr">
        <is>
          <t>Anticipo Ganancias Ley 25.413 débitos</t>
        </is>
      </c>
      <c r="H581" s="8" t="inlineStr">
        <is>
          <t>Anticipo Impuesto a las Ganancias</t>
        </is>
      </c>
      <c r="I581" s="9" t="n">
        <v>3.13</v>
      </c>
      <c r="J581" s="9" t="inlineStr"/>
      <c r="K581" s="8" t="inlineStr">
        <is>
          <t>Copiar en Flexxus: Tipo=MB-EXT | Movimiento=GRAVAMEN LEY 25.413 S/DEB | Monto=3,13 | Fecha: 20/04/2026</t>
        </is>
      </c>
    </row>
    <row r="582">
      <c r="A582" s="8" t="inlineStr">
        <is>
          <t>PEND-6A0D4583C388-A001</t>
        </is>
      </c>
      <c r="B582" s="8" t="inlineStr">
        <is>
          <t>ABIERTO_NUEVO</t>
        </is>
      </c>
      <c r="C582" s="8" t="inlineStr">
        <is>
          <t>Banco egreso no Flexxus</t>
        </is>
      </c>
      <c r="D582" s="8" t="inlineStr">
        <is>
          <t>20/04/2026</t>
        </is>
      </c>
      <c r="E582" s="8" t="inlineStr">
        <is>
          <t>31995644</t>
        </is>
      </c>
      <c r="F582" s="8" t="inlineStr">
        <is>
          <t>GRAVAMEN LEY 25413 S/DEB</t>
        </is>
      </c>
      <c r="G582" s="8" t="inlineStr">
        <is>
          <t>Anticipo Ganancias Ley 25.413 débitos</t>
        </is>
      </c>
      <c r="H582" s="8" t="inlineStr">
        <is>
          <t>Anticipo Impuesto a las Ganancias</t>
        </is>
      </c>
      <c r="I582" s="9" t="n">
        <v>18.97</v>
      </c>
      <c r="J582" s="9" t="inlineStr"/>
      <c r="K582" s="8" t="inlineStr">
        <is>
          <t>Copiar en Flexxus: Tipo=MB-EXT | Movimiento=GRAVAMEN LEY 25.413 S/DEB | Monto=18,97 | Fecha: 20/04/2026</t>
        </is>
      </c>
    </row>
    <row r="583">
      <c r="A583" s="8" t="inlineStr">
        <is>
          <t>PEND-BC183E9F9704-A001</t>
        </is>
      </c>
      <c r="B583" s="8" t="inlineStr">
        <is>
          <t>ABIERTO_NUEVO</t>
        </is>
      </c>
      <c r="C583" s="8" t="inlineStr">
        <is>
          <t>Banco egreso no Flexxus</t>
        </is>
      </c>
      <c r="D583" s="8" t="inlineStr">
        <is>
          <t>20/04/2026</t>
        </is>
      </c>
      <c r="E583" s="8" t="inlineStr">
        <is>
          <t>29841705</t>
        </is>
      </c>
      <c r="F583" s="8" t="inlineStr">
        <is>
          <t>GRAVAMEN LEY 25413 S/DEB</t>
        </is>
      </c>
      <c r="G583" s="8" t="inlineStr">
        <is>
          <t>Anticipo Ganancias Ley 25.413 débitos</t>
        </is>
      </c>
      <c r="H583" s="8" t="inlineStr">
        <is>
          <t>Anticipo Impuesto a las Ganancias</t>
        </is>
      </c>
      <c r="I583" s="9" t="n">
        <v>2.11</v>
      </c>
      <c r="J583" s="9" t="inlineStr"/>
      <c r="K583" s="8" t="inlineStr">
        <is>
          <t>Copiar en Flexxus: Tipo=MB-EXT | Movimiento=GRAVAMEN LEY 25.413 S/DEB | Monto=2,11 | Fecha: 20/04/2026</t>
        </is>
      </c>
    </row>
    <row r="584">
      <c r="A584" s="8" t="inlineStr">
        <is>
          <t>PEND-77C544494B19-A001</t>
        </is>
      </c>
      <c r="B584" s="8" t="inlineStr">
        <is>
          <t>ABIERTO_NUEVO</t>
        </is>
      </c>
      <c r="C584" s="8" t="inlineStr">
        <is>
          <t>Banco egreso no Flexxus</t>
        </is>
      </c>
      <c r="D584" s="8" t="inlineStr">
        <is>
          <t>20/04/2026</t>
        </is>
      </c>
      <c r="E584" s="8" t="inlineStr">
        <is>
          <t>29841683</t>
        </is>
      </c>
      <c r="F584" s="8" t="inlineStr">
        <is>
          <t>GRAVAMEN LEY 25413 S/DEB</t>
        </is>
      </c>
      <c r="G584" s="8" t="inlineStr">
        <is>
          <t>Anticipo Ganancias Ley 25.413 débitos</t>
        </is>
      </c>
      <c r="H584" s="8" t="inlineStr">
        <is>
          <t>Anticipo Impuesto a las Ganancias</t>
        </is>
      </c>
      <c r="I584" s="9" t="n">
        <v>1.97</v>
      </c>
      <c r="J584" s="9" t="inlineStr"/>
      <c r="K584" s="8" t="inlineStr">
        <is>
          <t>Copiar en Flexxus: Tipo=MB-EXT | Movimiento=GRAVAMEN LEY 25.413 S/DEB | Monto=1,97 | Fecha: 20/04/2026</t>
        </is>
      </c>
    </row>
    <row r="585">
      <c r="A585" s="8" t="inlineStr">
        <is>
          <t>PEND-B0EA59022BE7-A001</t>
        </is>
      </c>
      <c r="B585" s="8" t="inlineStr">
        <is>
          <t>ABIERTO_NUEVO</t>
        </is>
      </c>
      <c r="C585" s="8" t="inlineStr">
        <is>
          <t>Banco egreso no Flexxus</t>
        </is>
      </c>
      <c r="D585" s="8" t="inlineStr">
        <is>
          <t>20/04/2026</t>
        </is>
      </c>
      <c r="E585" s="8" t="inlineStr">
        <is>
          <t>107473</t>
        </is>
      </c>
      <c r="F585" s="8" t="inlineStr">
        <is>
          <t>GRAVAMEN LEY 25413 S/DEB</t>
        </is>
      </c>
      <c r="G585" s="8" t="inlineStr">
        <is>
          <t>Anticipo Ganancias Ley 25.413 débitos</t>
        </is>
      </c>
      <c r="H585" s="8" t="inlineStr">
        <is>
          <t>Anticipo Impuesto a las Ganancias</t>
        </is>
      </c>
      <c r="I585" s="9" t="n">
        <v>1.5</v>
      </c>
      <c r="J585" s="9" t="inlineStr"/>
      <c r="K585" s="8" t="inlineStr">
        <is>
          <t>Copiar en Flexxus: Tipo=MB-EXT | Movimiento=GRAVAMEN LEY 25.413 S/DEB | Monto=1,50 | Fecha: 20/04/2026</t>
        </is>
      </c>
    </row>
    <row r="586">
      <c r="A586" s="8" t="inlineStr">
        <is>
          <t>PEND-20509D910DD4-A001</t>
        </is>
      </c>
      <c r="B586" s="8" t="inlineStr">
        <is>
          <t>ABIERTO_NUEVO</t>
        </is>
      </c>
      <c r="C586" s="8" t="inlineStr">
        <is>
          <t>Banco egreso no Flexxus</t>
        </is>
      </c>
      <c r="D586" s="8" t="inlineStr">
        <is>
          <t>20/04/2026</t>
        </is>
      </c>
      <c r="E586" s="8" t="inlineStr">
        <is>
          <t>107472</t>
        </is>
      </c>
      <c r="F586" s="8" t="inlineStr">
        <is>
          <t>GRAVAMEN LEY 25413 S/DEB</t>
        </is>
      </c>
      <c r="G586" s="8" t="inlineStr">
        <is>
          <t>Anticipo Ganancias Ley 25.413 débitos</t>
        </is>
      </c>
      <c r="H586" s="8" t="inlineStr">
        <is>
          <t>Anticipo Impuesto a las Ganancias</t>
        </is>
      </c>
      <c r="I586" s="9" t="n">
        <v>1.59</v>
      </c>
      <c r="J586" s="9" t="inlineStr"/>
      <c r="K586" s="8" t="inlineStr">
        <is>
          <t>Copiar en Flexxus: Tipo=MB-EXT | Movimiento=GRAVAMEN LEY 25.413 S/DEB | Monto=1,59 | Fecha: 20/04/2026</t>
        </is>
      </c>
    </row>
    <row r="587">
      <c r="A587" s="8" t="inlineStr">
        <is>
          <t>PEND-DC89A12C5CEE-A001</t>
        </is>
      </c>
      <c r="B587" s="8" t="inlineStr">
        <is>
          <t>ABIERTO_NUEVO</t>
        </is>
      </c>
      <c r="C587" s="8" t="inlineStr">
        <is>
          <t>Banco egreso no Flexxus</t>
        </is>
      </c>
      <c r="D587" s="8" t="inlineStr">
        <is>
          <t>20/04/2026</t>
        </is>
      </c>
      <c r="E587" s="8" t="inlineStr">
        <is>
          <t>107471</t>
        </is>
      </c>
      <c r="F587" s="8" t="inlineStr">
        <is>
          <t>GRAVAMEN LEY 25413 S/DEB</t>
        </is>
      </c>
      <c r="G587" s="8" t="inlineStr">
        <is>
          <t>Anticipo Ganancias Ley 25.413 débitos</t>
        </is>
      </c>
      <c r="H587" s="8" t="inlineStr">
        <is>
          <t>Anticipo Impuesto a las Ganancias</t>
        </is>
      </c>
      <c r="I587" s="9" t="n">
        <v>1.37</v>
      </c>
      <c r="J587" s="9" t="inlineStr"/>
      <c r="K587" s="8" t="inlineStr">
        <is>
          <t>Copiar en Flexxus: Tipo=MB-EXT | Movimiento=GRAVAMEN LEY 25.413 S/DEB | Monto=1,37 | Fecha: 20/04/2026</t>
        </is>
      </c>
    </row>
    <row r="588">
      <c r="A588" s="8" t="inlineStr">
        <is>
          <t>PEND-ECC9179BB316-A001</t>
        </is>
      </c>
      <c r="B588" s="8" t="inlineStr">
        <is>
          <t>ABIERTO_NUEVO</t>
        </is>
      </c>
      <c r="C588" s="8" t="inlineStr">
        <is>
          <t>Banco egreso no Flexxus</t>
        </is>
      </c>
      <c r="D588" s="8" t="inlineStr">
        <is>
          <t>20/04/2026</t>
        </is>
      </c>
      <c r="E588" s="8" t="inlineStr">
        <is>
          <t>107470</t>
        </is>
      </c>
      <c r="F588" s="8" t="inlineStr">
        <is>
          <t>GRAVAMEN LEY 25413 S/DEB</t>
        </is>
      </c>
      <c r="G588" s="8" t="inlineStr">
        <is>
          <t>Anticipo Ganancias Ley 25.413 débitos</t>
        </is>
      </c>
      <c r="H588" s="8" t="inlineStr">
        <is>
          <t>Anticipo Impuesto a las Ganancias</t>
        </is>
      </c>
      <c r="I588" s="9" t="n">
        <v>0.68</v>
      </c>
      <c r="J588" s="9" t="inlineStr"/>
      <c r="K588" s="8" t="inlineStr">
        <is>
          <t>Copiar en Flexxus: Tipo=MB-EXT | Movimiento=GRAVAMEN LEY 25.413 S/DEB | Monto=0,68 | Fecha: 20/04/2026</t>
        </is>
      </c>
    </row>
    <row r="589">
      <c r="A589" s="8" t="inlineStr">
        <is>
          <t>PEND-6D59350FA1E0-A001</t>
        </is>
      </c>
      <c r="B589" s="8" t="inlineStr">
        <is>
          <t>ABIERTO_NUEVO</t>
        </is>
      </c>
      <c r="C589" s="8" t="inlineStr">
        <is>
          <t>Banco egreso no Flexxus</t>
        </is>
      </c>
      <c r="D589" s="8" t="inlineStr">
        <is>
          <t>20/04/2026</t>
        </is>
      </c>
      <c r="E589" s="8" t="inlineStr">
        <is>
          <t>107469</t>
        </is>
      </c>
      <c r="F589" s="8" t="inlineStr">
        <is>
          <t>GRAVAMEN LEY 25413 S/DEB</t>
        </is>
      </c>
      <c r="G589" s="8" t="inlineStr">
        <is>
          <t>Anticipo Ganancias Ley 25.413 débitos</t>
        </is>
      </c>
      <c r="H589" s="8" t="inlineStr">
        <is>
          <t>Anticipo Impuesto a las Ganancias</t>
        </is>
      </c>
      <c r="I589" s="9" t="n">
        <v>1.08</v>
      </c>
      <c r="J589" s="9" t="inlineStr"/>
      <c r="K589" s="8" t="inlineStr">
        <is>
          <t>Copiar en Flexxus: Tipo=MB-EXT | Movimiento=GRAVAMEN LEY 25.413 S/DEB | Monto=1,08 | Fecha: 20/04/2026</t>
        </is>
      </c>
    </row>
    <row r="590">
      <c r="A590" s="8" t="inlineStr">
        <is>
          <t>PEND-27E79BE1F778-A001</t>
        </is>
      </c>
      <c r="B590" s="8" t="inlineStr">
        <is>
          <t>ABIERTO_NUEVO</t>
        </is>
      </c>
      <c r="C590" s="8" t="inlineStr">
        <is>
          <t>Banco egreso no Flexxus</t>
        </is>
      </c>
      <c r="D590" s="8" t="inlineStr">
        <is>
          <t>20/04/2026</t>
        </is>
      </c>
      <c r="E590" s="8" t="inlineStr">
        <is>
          <t>107468</t>
        </is>
      </c>
      <c r="F590" s="8" t="inlineStr">
        <is>
          <t>GRAVAMEN LEY 25413 S/DEB</t>
        </is>
      </c>
      <c r="G590" s="8" t="inlineStr">
        <is>
          <t>Anticipo Ganancias Ley 25.413 débitos</t>
        </is>
      </c>
      <c r="H590" s="8" t="inlineStr">
        <is>
          <t>Anticipo Impuesto a las Ganancias</t>
        </is>
      </c>
      <c r="I590" s="9" t="n">
        <v>1.01</v>
      </c>
      <c r="J590" s="9" t="inlineStr"/>
      <c r="K590" s="8" t="inlineStr">
        <is>
          <t>Copiar en Flexxus: Tipo=MB-EXT | Movimiento=GRAVAMEN LEY 25.413 S/DEB | Monto=1,01 | Fecha: 20/04/2026</t>
        </is>
      </c>
    </row>
    <row r="591">
      <c r="A591" s="8" t="inlineStr">
        <is>
          <t>PEND-B912F78095A3-A001</t>
        </is>
      </c>
      <c r="B591" s="8" t="inlineStr">
        <is>
          <t>ABIERTO_NUEVO</t>
        </is>
      </c>
      <c r="C591" s="8" t="inlineStr">
        <is>
          <t>Banco egreso no Flexxus</t>
        </is>
      </c>
      <c r="D591" s="8" t="inlineStr">
        <is>
          <t>20/04/2026</t>
        </is>
      </c>
      <c r="E591" s="8" t="inlineStr">
        <is>
          <t>107464</t>
        </is>
      </c>
      <c r="F591" s="8" t="inlineStr">
        <is>
          <t>GRAVAMEN LEY 25413 S/DEB</t>
        </is>
      </c>
      <c r="G591" s="8" t="inlineStr">
        <is>
          <t>Anticipo Ganancias Ley 25.413 débitos</t>
        </is>
      </c>
      <c r="H591" s="8" t="inlineStr">
        <is>
          <t>Anticipo Impuesto a las Ganancias</t>
        </is>
      </c>
      <c r="I591" s="9" t="n">
        <v>1.38</v>
      </c>
      <c r="J591" s="9" t="inlineStr"/>
      <c r="K591" s="8" t="inlineStr">
        <is>
          <t>Copiar en Flexxus: Tipo=MB-EXT | Movimiento=GRAVAMEN LEY 25.413 S/DEB | Monto=1,38 | Fecha: 20/04/2026</t>
        </is>
      </c>
    </row>
    <row r="592">
      <c r="A592" s="8" t="inlineStr">
        <is>
          <t>PEND-2F2E2228D47B-A001</t>
        </is>
      </c>
      <c r="B592" s="8" t="inlineStr">
        <is>
          <t>ABIERTO_NUEVO</t>
        </is>
      </c>
      <c r="C592" s="8" t="inlineStr">
        <is>
          <t>Banco egreso no Flexxus</t>
        </is>
      </c>
      <c r="D592" s="8" t="inlineStr">
        <is>
          <t>20/04/2026</t>
        </is>
      </c>
      <c r="E592" s="8" t="inlineStr">
        <is>
          <t>107463</t>
        </is>
      </c>
      <c r="F592" s="8" t="inlineStr">
        <is>
          <t>GRAVAMEN LEY 25413 S/DEB</t>
        </is>
      </c>
      <c r="G592" s="8" t="inlineStr">
        <is>
          <t>Anticipo Ganancias Ley 25.413 débitos</t>
        </is>
      </c>
      <c r="H592" s="8" t="inlineStr">
        <is>
          <t>Anticipo Impuesto a las Ganancias</t>
        </is>
      </c>
      <c r="I592" s="9" t="n">
        <v>3.16</v>
      </c>
      <c r="J592" s="9" t="inlineStr"/>
      <c r="K592" s="8" t="inlineStr">
        <is>
          <t>Copiar en Flexxus: Tipo=MB-EXT | Movimiento=GRAVAMEN LEY 25.413 S/DEB | Monto=3,16 | Fecha: 20/04/2026</t>
        </is>
      </c>
    </row>
    <row r="593">
      <c r="A593" s="8" t="inlineStr">
        <is>
          <t>PEND-B745511AEA50-A001</t>
        </is>
      </c>
      <c r="B593" s="8" t="inlineStr">
        <is>
          <t>ABIERTO_NUEVO</t>
        </is>
      </c>
      <c r="C593" s="8" t="inlineStr">
        <is>
          <t>Banco egreso no Flexxus</t>
        </is>
      </c>
      <c r="D593" s="8" t="inlineStr">
        <is>
          <t>20/04/2026</t>
        </is>
      </c>
      <c r="E593" s="8" t="inlineStr">
        <is>
          <t>107462</t>
        </is>
      </c>
      <c r="F593" s="8" t="inlineStr">
        <is>
          <t>GRAVAMEN LEY 25413 S/DEB</t>
        </is>
      </c>
      <c r="G593" s="8" t="inlineStr">
        <is>
          <t>Anticipo Ganancias Ley 25.413 débitos</t>
        </is>
      </c>
      <c r="H593" s="8" t="inlineStr">
        <is>
          <t>Anticipo Impuesto a las Ganancias</t>
        </is>
      </c>
      <c r="I593" s="9" t="n">
        <v>3.16</v>
      </c>
      <c r="J593" s="9" t="inlineStr"/>
      <c r="K593" s="8" t="inlineStr">
        <is>
          <t>Copiar en Flexxus: Tipo=MB-EXT | Movimiento=GRAVAMEN LEY 25.413 S/DEB | Monto=3,16 | Fecha: 20/04/2026</t>
        </is>
      </c>
    </row>
    <row r="594">
      <c r="A594" s="8" t="inlineStr">
        <is>
          <t>PEND-13837EF4020F-A001</t>
        </is>
      </c>
      <c r="B594" s="8" t="inlineStr">
        <is>
          <t>ABIERTO_NUEVO</t>
        </is>
      </c>
      <c r="C594" s="8" t="inlineStr">
        <is>
          <t>Banco egreso no Flexxus</t>
        </is>
      </c>
      <c r="D594" s="8" t="inlineStr">
        <is>
          <t>20/04/2026</t>
        </is>
      </c>
      <c r="E594" s="8" t="inlineStr">
        <is>
          <t>107461</t>
        </is>
      </c>
      <c r="F594" s="8" t="inlineStr">
        <is>
          <t>GRAVAMEN LEY 25413 S/DEB</t>
        </is>
      </c>
      <c r="G594" s="8" t="inlineStr">
        <is>
          <t>Anticipo Ganancias Ley 25.413 débitos</t>
        </is>
      </c>
      <c r="H594" s="8" t="inlineStr">
        <is>
          <t>Anticipo Impuesto a las Ganancias</t>
        </is>
      </c>
      <c r="I594" s="9" t="n">
        <v>1.4</v>
      </c>
      <c r="J594" s="9" t="inlineStr"/>
      <c r="K594" s="8" t="inlineStr">
        <is>
          <t>Copiar en Flexxus: Tipo=MB-EXT | Movimiento=GRAVAMEN LEY 25.413 S/DEB | Monto=1,40 | Fecha: 20/04/2026</t>
        </is>
      </c>
    </row>
    <row r="595">
      <c r="A595" s="8" t="inlineStr">
        <is>
          <t>PEND-5E14FD5C2278-A001</t>
        </is>
      </c>
      <c r="B595" s="8" t="inlineStr">
        <is>
          <t>ABIERTO_NUEVO</t>
        </is>
      </c>
      <c r="C595" s="8" t="inlineStr">
        <is>
          <t>Banco egreso no Flexxus</t>
        </is>
      </c>
      <c r="D595" s="8" t="inlineStr">
        <is>
          <t>20/04/2026</t>
        </is>
      </c>
      <c r="E595" s="8" t="inlineStr">
        <is>
          <t>107460</t>
        </is>
      </c>
      <c r="F595" s="8" t="inlineStr">
        <is>
          <t>GRAVAMEN LEY 25413 S/DEB</t>
        </is>
      </c>
      <c r="G595" s="8" t="inlineStr">
        <is>
          <t>Anticipo Ganancias Ley 25.413 débitos</t>
        </is>
      </c>
      <c r="H595" s="8" t="inlineStr">
        <is>
          <t>Anticipo Impuesto a las Ganancias</t>
        </is>
      </c>
      <c r="I595" s="9" t="n">
        <v>17.84</v>
      </c>
      <c r="J595" s="9" t="inlineStr"/>
      <c r="K595" s="8" t="inlineStr">
        <is>
          <t>Copiar en Flexxus: Tipo=MB-EXT | Movimiento=GRAVAMEN LEY 25.413 S/DEB | Monto=17,84 | Fecha: 20/04/2026</t>
        </is>
      </c>
    </row>
    <row r="596">
      <c r="A596" s="8" t="inlineStr">
        <is>
          <t>PEND-C9FBB4EAFFA4-A001</t>
        </is>
      </c>
      <c r="B596" s="8" t="inlineStr">
        <is>
          <t>ABIERTO_NUEVO</t>
        </is>
      </c>
      <c r="C596" s="8" t="inlineStr">
        <is>
          <t>Banco egreso no Flexxus</t>
        </is>
      </c>
      <c r="D596" s="8" t="inlineStr">
        <is>
          <t>20/04/2026</t>
        </is>
      </c>
      <c r="E596" s="8" t="inlineStr">
        <is>
          <t>107459</t>
        </is>
      </c>
      <c r="F596" s="8" t="inlineStr">
        <is>
          <t>GRAVAMEN LEY 25413 S/DEB</t>
        </is>
      </c>
      <c r="G596" s="8" t="inlineStr">
        <is>
          <t>Anticipo Ganancias Ley 25.413 débitos</t>
        </is>
      </c>
      <c r="H596" s="8" t="inlineStr">
        <is>
          <t>Anticipo Impuesto a las Ganancias</t>
        </is>
      </c>
      <c r="I596" s="9" t="n">
        <v>9.550000000000001</v>
      </c>
      <c r="J596" s="9" t="inlineStr"/>
      <c r="K596" s="8" t="inlineStr">
        <is>
          <t>Copiar en Flexxus: Tipo=MB-EXT | Movimiento=GRAVAMEN LEY 25.413 S/DEB | Monto=9,55 | Fecha: 20/04/2026</t>
        </is>
      </c>
    </row>
    <row r="597">
      <c r="A597" s="8" t="inlineStr">
        <is>
          <t>PEND-64CABA37BAC0-A001</t>
        </is>
      </c>
      <c r="B597" s="8" t="inlineStr">
        <is>
          <t>ABIERTO_NUEVO</t>
        </is>
      </c>
      <c r="C597" s="8" t="inlineStr">
        <is>
          <t>Banco egreso no Flexxus</t>
        </is>
      </c>
      <c r="D597" s="8" t="inlineStr">
        <is>
          <t>20/04/2026</t>
        </is>
      </c>
      <c r="E597" s="8" t="inlineStr">
        <is>
          <t>107458</t>
        </is>
      </c>
      <c r="F597" s="8" t="inlineStr">
        <is>
          <t>GRAVAMEN LEY 25413 S/DEB</t>
        </is>
      </c>
      <c r="G597" s="8" t="inlineStr">
        <is>
          <t>Anticipo Ganancias Ley 25.413 débitos</t>
        </is>
      </c>
      <c r="H597" s="8" t="inlineStr">
        <is>
          <t>Anticipo Impuesto a las Ganancias</t>
        </is>
      </c>
      <c r="I597" s="9" t="n">
        <v>8.66</v>
      </c>
      <c r="J597" s="9" t="inlineStr"/>
      <c r="K597" s="8" t="inlineStr">
        <is>
          <t>Copiar en Flexxus: Tipo=MB-EXT | Movimiento=GRAVAMEN LEY 25.413 S/DEB | Monto=8,66 | Fecha: 20/04/2026</t>
        </is>
      </c>
    </row>
    <row r="598">
      <c r="A598" s="8" t="inlineStr">
        <is>
          <t>PEND-F0871DF671F8-A001</t>
        </is>
      </c>
      <c r="B598" s="8" t="inlineStr">
        <is>
          <t>ABIERTO_NUEVO</t>
        </is>
      </c>
      <c r="C598" s="8" t="inlineStr">
        <is>
          <t>Banco egreso no Flexxus</t>
        </is>
      </c>
      <c r="D598" s="8" t="inlineStr">
        <is>
          <t>20/04/2026</t>
        </is>
      </c>
      <c r="E598" s="8" t="inlineStr">
        <is>
          <t>107457</t>
        </is>
      </c>
      <c r="F598" s="8" t="inlineStr">
        <is>
          <t>GRAVAMEN LEY 25413 S/DEB</t>
        </is>
      </c>
      <c r="G598" s="8" t="inlineStr">
        <is>
          <t>Anticipo Ganancias Ley 25.413 débitos</t>
        </is>
      </c>
      <c r="H598" s="8" t="inlineStr">
        <is>
          <t>Anticipo Impuesto a las Ganancias</t>
        </is>
      </c>
      <c r="I598" s="9" t="n">
        <v>2.06</v>
      </c>
      <c r="J598" s="9" t="inlineStr"/>
      <c r="K598" s="8" t="inlineStr">
        <is>
          <t>Copiar en Flexxus: Tipo=MB-EXT | Movimiento=GRAVAMEN LEY 25.413 S/DEB | Monto=2,06 | Fecha: 20/04/2026</t>
        </is>
      </c>
    </row>
    <row r="599">
      <c r="A599" s="8" t="inlineStr">
        <is>
          <t>PEND-28E73622263A-A001</t>
        </is>
      </c>
      <c r="B599" s="8" t="inlineStr">
        <is>
          <t>ABIERTO_NUEVO</t>
        </is>
      </c>
      <c r="C599" s="8" t="inlineStr">
        <is>
          <t>Banco egreso no Flexxus</t>
        </is>
      </c>
      <c r="D599" s="8" t="inlineStr">
        <is>
          <t>20/04/2026</t>
        </is>
      </c>
      <c r="E599" s="8" t="inlineStr">
        <is>
          <t>107456</t>
        </is>
      </c>
      <c r="F599" s="8" t="inlineStr">
        <is>
          <t>GRAVAMEN LEY 25413 S/DEB</t>
        </is>
      </c>
      <c r="G599" s="8" t="inlineStr">
        <is>
          <t>Anticipo Ganancias Ley 25.413 débitos</t>
        </is>
      </c>
      <c r="H599" s="8" t="inlineStr">
        <is>
          <t>Anticipo Impuesto a las Ganancias</t>
        </is>
      </c>
      <c r="I599" s="9" t="n">
        <v>2.1</v>
      </c>
      <c r="J599" s="9" t="inlineStr"/>
      <c r="K599" s="8" t="inlineStr">
        <is>
          <t>Copiar en Flexxus: Tipo=MB-EXT | Movimiento=GRAVAMEN LEY 25.413 S/DEB | Monto=2,10 | Fecha: 20/04/2026</t>
        </is>
      </c>
    </row>
    <row r="600">
      <c r="A600" s="8" t="inlineStr">
        <is>
          <t>PEND-BDEF57F0D8C5-A001</t>
        </is>
      </c>
      <c r="B600" s="8" t="inlineStr">
        <is>
          <t>ABIERTO_NUEVO</t>
        </is>
      </c>
      <c r="C600" s="8" t="inlineStr">
        <is>
          <t>Banco egreso no Flexxus</t>
        </is>
      </c>
      <c r="D600" s="8" t="inlineStr">
        <is>
          <t>20/04/2026</t>
        </is>
      </c>
      <c r="E600" s="8" t="inlineStr">
        <is>
          <t>107455</t>
        </is>
      </c>
      <c r="F600" s="8" t="inlineStr">
        <is>
          <t>GRAVAMEN LEY 25413 S/DEB</t>
        </is>
      </c>
      <c r="G600" s="8" t="inlineStr">
        <is>
          <t>Anticipo Ganancias Ley 25.413 débitos</t>
        </is>
      </c>
      <c r="H600" s="8" t="inlineStr">
        <is>
          <t>Anticipo Impuesto a las Ganancias</t>
        </is>
      </c>
      <c r="I600" s="9" t="n">
        <v>2.44</v>
      </c>
      <c r="J600" s="9" t="inlineStr"/>
      <c r="K600" s="8" t="inlineStr">
        <is>
          <t>Copiar en Flexxus: Tipo=MB-EXT | Movimiento=GRAVAMEN LEY 25.413 S/DEB | Monto=2,44 | Fecha: 20/04/2026</t>
        </is>
      </c>
    </row>
    <row r="601">
      <c r="A601" s="8" t="inlineStr">
        <is>
          <t>PEND-72B6A77961BA-A001</t>
        </is>
      </c>
      <c r="B601" s="8" t="inlineStr">
        <is>
          <t>ABIERTO_NUEVO</t>
        </is>
      </c>
      <c r="C601" s="8" t="inlineStr">
        <is>
          <t>Banco egreso no Flexxus</t>
        </is>
      </c>
      <c r="D601" s="8" t="inlineStr">
        <is>
          <t>20/04/2026</t>
        </is>
      </c>
      <c r="E601" s="8" t="inlineStr">
        <is>
          <t>107454</t>
        </is>
      </c>
      <c r="F601" s="8" t="inlineStr">
        <is>
          <t>GRAVAMEN LEY 25413 S/DEB</t>
        </is>
      </c>
      <c r="G601" s="8" t="inlineStr">
        <is>
          <t>Anticipo Ganancias Ley 25.413 débitos</t>
        </is>
      </c>
      <c r="H601" s="8" t="inlineStr">
        <is>
          <t>Anticipo Impuesto a las Ganancias</t>
        </is>
      </c>
      <c r="I601" s="9" t="n">
        <v>1.89</v>
      </c>
      <c r="J601" s="9" t="inlineStr"/>
      <c r="K601" s="8" t="inlineStr">
        <is>
          <t>Copiar en Flexxus: Tipo=MB-EXT | Movimiento=GRAVAMEN LEY 25.413 S/DEB | Monto=1,89 | Fecha: 20/04/2026</t>
        </is>
      </c>
    </row>
    <row r="602">
      <c r="A602" s="8" t="inlineStr">
        <is>
          <t>PEND-E1EF95A0D3DD-A001</t>
        </is>
      </c>
      <c r="B602" s="8" t="inlineStr">
        <is>
          <t>ABIERTO_NUEVO</t>
        </is>
      </c>
      <c r="C602" s="8" t="inlineStr">
        <is>
          <t>Banco egreso no Flexxus</t>
        </is>
      </c>
      <c r="D602" s="8" t="inlineStr">
        <is>
          <t>20/04/2026</t>
        </is>
      </c>
      <c r="E602" s="8" t="inlineStr">
        <is>
          <t>107453</t>
        </is>
      </c>
      <c r="F602" s="8" t="inlineStr">
        <is>
          <t>GRAVAMEN LEY 25413 S/DEB</t>
        </is>
      </c>
      <c r="G602" s="8" t="inlineStr">
        <is>
          <t>Anticipo Ganancias Ley 25.413 débitos</t>
        </is>
      </c>
      <c r="H602" s="8" t="inlineStr">
        <is>
          <t>Anticipo Impuesto a las Ganancias</t>
        </is>
      </c>
      <c r="I602" s="9" t="n">
        <v>2.26</v>
      </c>
      <c r="J602" s="9" t="inlineStr"/>
      <c r="K602" s="8" t="inlineStr">
        <is>
          <t>Copiar en Flexxus: Tipo=MB-EXT | Movimiento=GRAVAMEN LEY 25.413 S/DEB | Monto=2,26 | Fecha: 20/04/2026</t>
        </is>
      </c>
    </row>
    <row r="603">
      <c r="A603" s="8" t="inlineStr">
        <is>
          <t>PEND-C05CB3EAF7B2-A001</t>
        </is>
      </c>
      <c r="B603" s="8" t="inlineStr">
        <is>
          <t>ABIERTO_NUEVO</t>
        </is>
      </c>
      <c r="C603" s="8" t="inlineStr">
        <is>
          <t>Banco egreso no Flexxus</t>
        </is>
      </c>
      <c r="D603" s="8" t="inlineStr">
        <is>
          <t>20/04/2026</t>
        </is>
      </c>
      <c r="E603" s="8" t="inlineStr">
        <is>
          <t>107452</t>
        </is>
      </c>
      <c r="F603" s="8" t="inlineStr">
        <is>
          <t>GRAVAMEN LEY 25413 S/DEB</t>
        </is>
      </c>
      <c r="G603" s="8" t="inlineStr">
        <is>
          <t>Anticipo Ganancias Ley 25.413 débitos</t>
        </is>
      </c>
      <c r="H603" s="8" t="inlineStr">
        <is>
          <t>Anticipo Impuesto a las Ganancias</t>
        </is>
      </c>
      <c r="I603" s="9" t="n">
        <v>0.2</v>
      </c>
      <c r="J603" s="9" t="inlineStr"/>
      <c r="K603" s="8" t="inlineStr">
        <is>
          <t>Copiar en Flexxus: Tipo=MB-EXT | Movimiento=GRAVAMEN LEY 25.413 S/DEB | Monto=0,20 | Fecha: 20/04/2026</t>
        </is>
      </c>
    </row>
    <row r="604">
      <c r="A604" s="8" t="inlineStr">
        <is>
          <t>PEND-4E9EC3F629EF-A001</t>
        </is>
      </c>
      <c r="B604" s="8" t="inlineStr">
        <is>
          <t>ABIERTO_NUEVO</t>
        </is>
      </c>
      <c r="C604" s="8" t="inlineStr">
        <is>
          <t>Banco egreso no Flexxus</t>
        </is>
      </c>
      <c r="D604" s="8" t="inlineStr">
        <is>
          <t>20/04/2026</t>
        </is>
      </c>
      <c r="E604" s="8" t="inlineStr">
        <is>
          <t>107451</t>
        </is>
      </c>
      <c r="F604" s="8" t="inlineStr">
        <is>
          <t>GRAVAMEN LEY 25413 S/DEB</t>
        </is>
      </c>
      <c r="G604" s="8" t="inlineStr">
        <is>
          <t>Anticipo Ganancias Ley 25.413 débitos</t>
        </is>
      </c>
      <c r="H604" s="8" t="inlineStr">
        <is>
          <t>Anticipo Impuesto a las Ganancias</t>
        </is>
      </c>
      <c r="I604" s="9" t="n">
        <v>1.66</v>
      </c>
      <c r="J604" s="9" t="inlineStr"/>
      <c r="K604" s="8" t="inlineStr">
        <is>
          <t>Copiar en Flexxus: Tipo=MB-EXT | Movimiento=GRAVAMEN LEY 25.413 S/DEB | Monto=1,66 | Fecha: 20/04/2026</t>
        </is>
      </c>
    </row>
    <row r="605">
      <c r="A605" s="8" t="inlineStr">
        <is>
          <t>PEND-57B1ECDAD665-A001</t>
        </is>
      </c>
      <c r="B605" s="8" t="inlineStr">
        <is>
          <t>ABIERTO_NUEVO</t>
        </is>
      </c>
      <c r="C605" s="8" t="inlineStr">
        <is>
          <t>Banco egreso no Flexxus</t>
        </is>
      </c>
      <c r="D605" s="8" t="inlineStr">
        <is>
          <t>20/04/2026</t>
        </is>
      </c>
      <c r="E605" s="8" t="inlineStr">
        <is>
          <t>107450</t>
        </is>
      </c>
      <c r="F605" s="8" t="inlineStr">
        <is>
          <t>GRAVAMEN LEY 25413 S/DEB</t>
        </is>
      </c>
      <c r="G605" s="8" t="inlineStr">
        <is>
          <t>Anticipo Ganancias Ley 25.413 débitos</t>
        </is>
      </c>
      <c r="H605" s="8" t="inlineStr">
        <is>
          <t>Anticipo Impuesto a las Ganancias</t>
        </is>
      </c>
      <c r="I605" s="9" t="n">
        <v>0.8</v>
      </c>
      <c r="J605" s="9" t="inlineStr"/>
      <c r="K605" s="8" t="inlineStr">
        <is>
          <t>Copiar en Flexxus: Tipo=MB-EXT | Movimiento=GRAVAMEN LEY 25.413 S/DEB | Monto=0,80 | Fecha: 20/04/2026</t>
        </is>
      </c>
    </row>
    <row r="606">
      <c r="A606" s="8" t="inlineStr">
        <is>
          <t>PEND-F32A2C6155C0-A001</t>
        </is>
      </c>
      <c r="B606" s="8" t="inlineStr">
        <is>
          <t>ABIERTO_NUEVO</t>
        </is>
      </c>
      <c r="C606" s="8" t="inlineStr">
        <is>
          <t>Banco egreso no Flexxus</t>
        </is>
      </c>
      <c r="D606" s="8" t="inlineStr">
        <is>
          <t>20/04/2026</t>
        </is>
      </c>
      <c r="E606" s="8" t="inlineStr">
        <is>
          <t>107449</t>
        </is>
      </c>
      <c r="F606" s="8" t="inlineStr">
        <is>
          <t>GRAVAMEN LEY 25413 S/DEB</t>
        </is>
      </c>
      <c r="G606" s="8" t="inlineStr">
        <is>
          <t>Anticipo Ganancias Ley 25.413 débitos</t>
        </is>
      </c>
      <c r="H606" s="8" t="inlineStr">
        <is>
          <t>Anticipo Impuesto a las Ganancias</t>
        </is>
      </c>
      <c r="I606" s="9" t="n">
        <v>2.62</v>
      </c>
      <c r="J606" s="9" t="inlineStr"/>
      <c r="K606" s="8" t="inlineStr">
        <is>
          <t>Copiar en Flexxus: Tipo=MB-EXT | Movimiento=GRAVAMEN LEY 25.413 S/DEB | Monto=2,62 | Fecha: 20/04/2026</t>
        </is>
      </c>
    </row>
    <row r="607">
      <c r="A607" s="8" t="inlineStr">
        <is>
          <t>PEND-072678D4A0E5-A001</t>
        </is>
      </c>
      <c r="B607" s="8" t="inlineStr">
        <is>
          <t>ABIERTO_NUEVO</t>
        </is>
      </c>
      <c r="C607" s="8" t="inlineStr">
        <is>
          <t>Banco egreso no Flexxus</t>
        </is>
      </c>
      <c r="D607" s="8" t="inlineStr">
        <is>
          <t>20/04/2026</t>
        </is>
      </c>
      <c r="E607" s="8" t="inlineStr">
        <is>
          <t>107448</t>
        </is>
      </c>
      <c r="F607" s="8" t="inlineStr">
        <is>
          <t>GRAVAMEN LEY 25413 S/DEB</t>
        </is>
      </c>
      <c r="G607" s="8" t="inlineStr">
        <is>
          <t>Anticipo Ganancias Ley 25.413 débitos</t>
        </is>
      </c>
      <c r="H607" s="8" t="inlineStr">
        <is>
          <t>Anticipo Impuesto a las Ganancias</t>
        </is>
      </c>
      <c r="I607" s="9" t="n">
        <v>2.73</v>
      </c>
      <c r="J607" s="9" t="inlineStr"/>
      <c r="K607" s="8" t="inlineStr">
        <is>
          <t>Copiar en Flexxus: Tipo=MB-EXT | Movimiento=GRAVAMEN LEY 25.413 S/DEB | Monto=2,73 | Fecha: 20/04/2026</t>
        </is>
      </c>
    </row>
    <row r="608">
      <c r="A608" s="8" t="inlineStr">
        <is>
          <t>PEND-CADB01A81984-A001</t>
        </is>
      </c>
      <c r="B608" s="8" t="inlineStr">
        <is>
          <t>ABIERTO_NUEVO</t>
        </is>
      </c>
      <c r="C608" s="8" t="inlineStr">
        <is>
          <t>Banco egreso no Flexxus</t>
        </is>
      </c>
      <c r="D608" s="8" t="inlineStr">
        <is>
          <t>20/04/2026</t>
        </is>
      </c>
      <c r="E608" s="8" t="inlineStr">
        <is>
          <t>107447</t>
        </is>
      </c>
      <c r="F608" s="8" t="inlineStr">
        <is>
          <t>GRAVAMEN LEY 25413 S/DEB</t>
        </is>
      </c>
      <c r="G608" s="8" t="inlineStr">
        <is>
          <t>Anticipo Ganancias Ley 25.413 débitos</t>
        </is>
      </c>
      <c r="H608" s="8" t="inlineStr">
        <is>
          <t>Anticipo Impuesto a las Ganancias</t>
        </is>
      </c>
      <c r="I608" s="9" t="n">
        <v>1.11</v>
      </c>
      <c r="J608" s="9" t="inlineStr"/>
      <c r="K608" s="8" t="inlineStr">
        <is>
          <t>Copiar en Flexxus: Tipo=MB-EXT | Movimiento=GRAVAMEN LEY 25.413 S/DEB | Monto=1,11 | Fecha: 20/04/2026</t>
        </is>
      </c>
    </row>
    <row r="609">
      <c r="A609" s="8" t="inlineStr">
        <is>
          <t>PEND-1AD67086A75A-A001</t>
        </is>
      </c>
      <c r="B609" s="8" t="inlineStr">
        <is>
          <t>ABIERTO_NUEVO</t>
        </is>
      </c>
      <c r="C609" s="8" t="inlineStr">
        <is>
          <t>Banco egreso no Flexxus</t>
        </is>
      </c>
      <c r="D609" s="8" t="inlineStr">
        <is>
          <t>20/04/2026</t>
        </is>
      </c>
      <c r="E609" s="8" t="inlineStr">
        <is>
          <t>107446</t>
        </is>
      </c>
      <c r="F609" s="8" t="inlineStr">
        <is>
          <t>GRAVAMEN LEY 25413 S/DEB</t>
        </is>
      </c>
      <c r="G609" s="8" t="inlineStr">
        <is>
          <t>Anticipo Ganancias Ley 25.413 débitos</t>
        </is>
      </c>
      <c r="H609" s="8" t="inlineStr">
        <is>
          <t>Anticipo Impuesto a las Ganancias</t>
        </is>
      </c>
      <c r="I609" s="9" t="n">
        <v>1.59</v>
      </c>
      <c r="J609" s="9" t="inlineStr"/>
      <c r="K609" s="8" t="inlineStr">
        <is>
          <t>Copiar en Flexxus: Tipo=MB-EXT | Movimiento=GRAVAMEN LEY 25.413 S/DEB | Monto=1,59 | Fecha: 20/04/2026</t>
        </is>
      </c>
    </row>
    <row r="610">
      <c r="A610" s="8" t="inlineStr">
        <is>
          <t>PEND-21E92CCC46A3-A001</t>
        </is>
      </c>
      <c r="B610" s="8" t="inlineStr">
        <is>
          <t>ABIERTO_NUEVO</t>
        </is>
      </c>
      <c r="C610" s="8" t="inlineStr">
        <is>
          <t>Banco egreso no Flexxus</t>
        </is>
      </c>
      <c r="D610" s="8" t="inlineStr">
        <is>
          <t>20/04/2026</t>
        </is>
      </c>
      <c r="E610" s="8" t="inlineStr">
        <is>
          <t>107445</t>
        </is>
      </c>
      <c r="F610" s="8" t="inlineStr">
        <is>
          <t>GRAVAMEN LEY 25413 S/DEB</t>
        </is>
      </c>
      <c r="G610" s="8" t="inlineStr">
        <is>
          <t>Anticipo Ganancias Ley 25.413 débitos</t>
        </is>
      </c>
      <c r="H610" s="8" t="inlineStr">
        <is>
          <t>Anticipo Impuesto a las Ganancias</t>
        </is>
      </c>
      <c r="I610" s="9" t="n">
        <v>0.92</v>
      </c>
      <c r="J610" s="9" t="inlineStr"/>
      <c r="K610" s="8" t="inlineStr">
        <is>
          <t>Copiar en Flexxus: Tipo=MB-EXT | Movimiento=GRAVAMEN LEY 25.413 S/DEB | Monto=0,92 | Fecha: 20/04/2026</t>
        </is>
      </c>
    </row>
    <row r="611">
      <c r="A611" s="8" t="inlineStr">
        <is>
          <t>PEND-CD8E4854CA39-A001</t>
        </is>
      </c>
      <c r="B611" s="8" t="inlineStr">
        <is>
          <t>ABIERTO_NUEVO</t>
        </is>
      </c>
      <c r="C611" s="8" t="inlineStr">
        <is>
          <t>Banco egreso no Flexxus</t>
        </is>
      </c>
      <c r="D611" s="8" t="inlineStr">
        <is>
          <t>20/04/2026</t>
        </is>
      </c>
      <c r="E611" s="8" t="inlineStr">
        <is>
          <t>107444</t>
        </is>
      </c>
      <c r="F611" s="8" t="inlineStr">
        <is>
          <t>GRAVAMEN LEY 25413 S/DEB</t>
        </is>
      </c>
      <c r="G611" s="8" t="inlineStr">
        <is>
          <t>Anticipo Ganancias Ley 25.413 débitos</t>
        </is>
      </c>
      <c r="H611" s="8" t="inlineStr">
        <is>
          <t>Anticipo Impuesto a las Ganancias</t>
        </is>
      </c>
      <c r="I611" s="9" t="n">
        <v>1.49</v>
      </c>
      <c r="J611" s="9" t="inlineStr"/>
      <c r="K611" s="8" t="inlineStr">
        <is>
          <t>Copiar en Flexxus: Tipo=MB-EXT | Movimiento=GRAVAMEN LEY 25.413 S/DEB | Monto=1,49 | Fecha: 20/04/2026</t>
        </is>
      </c>
    </row>
    <row r="612">
      <c r="A612" s="8" t="inlineStr">
        <is>
          <t>PEND-2A089AE2ED71-A001</t>
        </is>
      </c>
      <c r="B612" s="8" t="inlineStr">
        <is>
          <t>ABIERTO_NUEVO</t>
        </is>
      </c>
      <c r="C612" s="8" t="inlineStr">
        <is>
          <t>Banco egreso no Flexxus</t>
        </is>
      </c>
      <c r="D612" s="8" t="inlineStr">
        <is>
          <t>20/04/2026</t>
        </is>
      </c>
      <c r="E612" s="8" t="inlineStr">
        <is>
          <t>107443</t>
        </is>
      </c>
      <c r="F612" s="8" t="inlineStr">
        <is>
          <t>GRAVAMEN LEY 25413 S/DEB</t>
        </is>
      </c>
      <c r="G612" s="8" t="inlineStr">
        <is>
          <t>Anticipo Ganancias Ley 25.413 débitos</t>
        </is>
      </c>
      <c r="H612" s="8" t="inlineStr">
        <is>
          <t>Anticipo Impuesto a las Ganancias</t>
        </is>
      </c>
      <c r="I612" s="9" t="n">
        <v>1.02</v>
      </c>
      <c r="J612" s="9" t="inlineStr"/>
      <c r="K612" s="8" t="inlineStr">
        <is>
          <t>Copiar en Flexxus: Tipo=MB-EXT | Movimiento=GRAVAMEN LEY 25.413 S/DEB | Monto=1,02 | Fecha: 20/04/2026</t>
        </is>
      </c>
    </row>
    <row r="613">
      <c r="A613" s="8" t="inlineStr">
        <is>
          <t>PEND-C97F341A07EE-A001</t>
        </is>
      </c>
      <c r="B613" s="8" t="inlineStr">
        <is>
          <t>ABIERTO_NUEVO</t>
        </is>
      </c>
      <c r="C613" s="8" t="inlineStr">
        <is>
          <t>Banco egreso no Flexxus</t>
        </is>
      </c>
      <c r="D613" s="8" t="inlineStr">
        <is>
          <t>20/04/2026</t>
        </is>
      </c>
      <c r="E613" s="8" t="inlineStr">
        <is>
          <t>107442</t>
        </is>
      </c>
      <c r="F613" s="8" t="inlineStr">
        <is>
          <t>GRAVAMEN LEY 25413 S/DEB</t>
        </is>
      </c>
      <c r="G613" s="8" t="inlineStr">
        <is>
          <t>Anticipo Ganancias Ley 25.413 débitos</t>
        </is>
      </c>
      <c r="H613" s="8" t="inlineStr">
        <is>
          <t>Anticipo Impuesto a las Ganancias</t>
        </is>
      </c>
      <c r="I613" s="9" t="n">
        <v>1.08</v>
      </c>
      <c r="J613" s="9" t="inlineStr"/>
      <c r="K613" s="8" t="inlineStr">
        <is>
          <t>Copiar en Flexxus: Tipo=MB-EXT | Movimiento=GRAVAMEN LEY 25.413 S/DEB | Monto=1,08 | Fecha: 20/04/2026</t>
        </is>
      </c>
    </row>
    <row r="614">
      <c r="A614" s="8" t="inlineStr">
        <is>
          <t>PEND-203669930262-A001</t>
        </is>
      </c>
      <c r="B614" s="8" t="inlineStr">
        <is>
          <t>ABIERTO_NUEVO</t>
        </is>
      </c>
      <c r="C614" s="8" t="inlineStr">
        <is>
          <t>Banco egreso no Flexxus</t>
        </is>
      </c>
      <c r="D614" s="8" t="inlineStr">
        <is>
          <t>20/04/2026</t>
        </is>
      </c>
      <c r="E614" s="8" t="inlineStr">
        <is>
          <t>107441</t>
        </is>
      </c>
      <c r="F614" s="8" t="inlineStr">
        <is>
          <t>GRAVAMEN LEY 25413 S/DEB</t>
        </is>
      </c>
      <c r="G614" s="8" t="inlineStr">
        <is>
          <t>Anticipo Ganancias Ley 25.413 débitos</t>
        </is>
      </c>
      <c r="H614" s="8" t="inlineStr">
        <is>
          <t>Anticipo Impuesto a las Ganancias</t>
        </is>
      </c>
      <c r="I614" s="9" t="n">
        <v>0.33</v>
      </c>
      <c r="J614" s="9" t="inlineStr"/>
      <c r="K614" s="8" t="inlineStr">
        <is>
          <t>Copiar en Flexxus: Tipo=MB-EXT | Movimiento=GRAVAMEN LEY 25.413 S/DEB | Monto=0,33 | Fecha: 20/04/2026</t>
        </is>
      </c>
    </row>
    <row r="615">
      <c r="A615" s="8" t="inlineStr">
        <is>
          <t>PEND-AAE6A3B299EA-A001</t>
        </is>
      </c>
      <c r="B615" s="8" t="inlineStr">
        <is>
          <t>ABIERTO_NUEVO</t>
        </is>
      </c>
      <c r="C615" s="8" t="inlineStr">
        <is>
          <t>Banco egreso no Flexxus</t>
        </is>
      </c>
      <c r="D615" s="8" t="inlineStr">
        <is>
          <t>20/04/2026</t>
        </is>
      </c>
      <c r="E615" s="8" t="inlineStr">
        <is>
          <t>107440</t>
        </is>
      </c>
      <c r="F615" s="8" t="inlineStr">
        <is>
          <t>GRAVAMEN LEY 25413 S/DEB</t>
        </is>
      </c>
      <c r="G615" s="8" t="inlineStr">
        <is>
          <t>Anticipo Ganancias Ley 25.413 débitos</t>
        </is>
      </c>
      <c r="H615" s="8" t="inlineStr">
        <is>
          <t>Anticipo Impuesto a las Ganancias</t>
        </is>
      </c>
      <c r="I615" s="9" t="n">
        <v>1.15</v>
      </c>
      <c r="J615" s="9" t="inlineStr"/>
      <c r="K615" s="8" t="inlineStr">
        <is>
          <t>Copiar en Flexxus: Tipo=MB-EXT | Movimiento=GRAVAMEN LEY 25.413 S/DEB | Monto=1,15 | Fecha: 20/04/2026</t>
        </is>
      </c>
    </row>
    <row r="616">
      <c r="A616" s="8" t="inlineStr">
        <is>
          <t>PEND-67DB2AEDBBF8-A001</t>
        </is>
      </c>
      <c r="B616" s="8" t="inlineStr">
        <is>
          <t>ABIERTO_NUEVO</t>
        </is>
      </c>
      <c r="C616" s="8" t="inlineStr">
        <is>
          <t>Banco egreso no Flexxus</t>
        </is>
      </c>
      <c r="D616" s="8" t="inlineStr">
        <is>
          <t>20/04/2026</t>
        </is>
      </c>
      <c r="E616" s="8" t="inlineStr">
        <is>
          <t>107439</t>
        </is>
      </c>
      <c r="F616" s="8" t="inlineStr">
        <is>
          <t>GRAVAMEN LEY 25413 S/DEB</t>
        </is>
      </c>
      <c r="G616" s="8" t="inlineStr">
        <is>
          <t>Anticipo Ganancias Ley 25.413 débitos</t>
        </is>
      </c>
      <c r="H616" s="8" t="inlineStr">
        <is>
          <t>Anticipo Impuesto a las Ganancias</t>
        </is>
      </c>
      <c r="I616" s="9" t="n">
        <v>2.29</v>
      </c>
      <c r="J616" s="9" t="inlineStr"/>
      <c r="K616" s="8" t="inlineStr">
        <is>
          <t>Copiar en Flexxus: Tipo=MB-EXT | Movimiento=GRAVAMEN LEY 25.413 S/DEB | Monto=2,29 | Fecha: 20/04/2026</t>
        </is>
      </c>
    </row>
    <row r="617">
      <c r="A617" s="8" t="inlineStr">
        <is>
          <t>PEND-4A8A1EC95D06-A001</t>
        </is>
      </c>
      <c r="B617" s="8" t="inlineStr">
        <is>
          <t>ABIERTO_NUEVO</t>
        </is>
      </c>
      <c r="C617" s="8" t="inlineStr">
        <is>
          <t>Banco egreso no Flexxus</t>
        </is>
      </c>
      <c r="D617" s="8" t="inlineStr">
        <is>
          <t>20/04/2026</t>
        </is>
      </c>
      <c r="E617" s="8" t="inlineStr">
        <is>
          <t>107438</t>
        </is>
      </c>
      <c r="F617" s="8" t="inlineStr">
        <is>
          <t>GRAVAMEN LEY 25413 S/DEB</t>
        </is>
      </c>
      <c r="G617" s="8" t="inlineStr">
        <is>
          <t>Anticipo Ganancias Ley 25.413 débitos</t>
        </is>
      </c>
      <c r="H617" s="8" t="inlineStr">
        <is>
          <t>Anticipo Impuesto a las Ganancias</t>
        </is>
      </c>
      <c r="I617" s="9" t="n">
        <v>1.37</v>
      </c>
      <c r="J617" s="9" t="inlineStr"/>
      <c r="K617" s="8" t="inlineStr">
        <is>
          <t>Copiar en Flexxus: Tipo=MB-EXT | Movimiento=GRAVAMEN LEY 25.413 S/DEB | Monto=1,37 | Fecha: 20/04/2026</t>
        </is>
      </c>
    </row>
    <row r="618">
      <c r="A618" s="8" t="inlineStr">
        <is>
          <t>PEND-5D34C2683154-A001</t>
        </is>
      </c>
      <c r="B618" s="8" t="inlineStr">
        <is>
          <t>ABIERTO_NUEVO</t>
        </is>
      </c>
      <c r="C618" s="8" t="inlineStr">
        <is>
          <t>Banco egreso no Flexxus</t>
        </is>
      </c>
      <c r="D618" s="8" t="inlineStr">
        <is>
          <t>20/04/2026</t>
        </is>
      </c>
      <c r="E618" s="8" t="inlineStr">
        <is>
          <t>107437</t>
        </is>
      </c>
      <c r="F618" s="8" t="inlineStr">
        <is>
          <t>GRAVAMEN LEY 25413 S/DEB</t>
        </is>
      </c>
      <c r="G618" s="8" t="inlineStr">
        <is>
          <t>Anticipo Ganancias Ley 25.413 débitos</t>
        </is>
      </c>
      <c r="H618" s="8" t="inlineStr">
        <is>
          <t>Anticipo Impuesto a las Ganancias</t>
        </is>
      </c>
      <c r="I618" s="9" t="n">
        <v>0.53</v>
      </c>
      <c r="J618" s="9" t="inlineStr"/>
      <c r="K618" s="8" t="inlineStr">
        <is>
          <t>Copiar en Flexxus: Tipo=MB-EXT | Movimiento=GRAVAMEN LEY 25.413 S/DEB | Monto=0,53 | Fecha: 20/04/2026</t>
        </is>
      </c>
    </row>
    <row r="619">
      <c r="A619" s="8" t="inlineStr">
        <is>
          <t>PEND-FBE54C10F9FC-A001</t>
        </is>
      </c>
      <c r="B619" s="8" t="inlineStr">
        <is>
          <t>ABIERTO_NUEVO</t>
        </is>
      </c>
      <c r="C619" s="8" t="inlineStr">
        <is>
          <t>Banco egreso no Flexxus</t>
        </is>
      </c>
      <c r="D619" s="8" t="inlineStr">
        <is>
          <t>20/04/2026</t>
        </is>
      </c>
      <c r="E619" s="8" t="inlineStr">
        <is>
          <t>107436</t>
        </is>
      </c>
      <c r="F619" s="8" t="inlineStr">
        <is>
          <t>GRAVAMEN LEY 25413 S/DEB</t>
        </is>
      </c>
      <c r="G619" s="8" t="inlineStr">
        <is>
          <t>Anticipo Ganancias Ley 25.413 débitos</t>
        </is>
      </c>
      <c r="H619" s="8" t="inlineStr">
        <is>
          <t>Anticipo Impuesto a las Ganancias</t>
        </is>
      </c>
      <c r="I619" s="9" t="n">
        <v>2.51</v>
      </c>
      <c r="J619" s="9" t="inlineStr"/>
      <c r="K619" s="8" t="inlineStr">
        <is>
          <t>Copiar en Flexxus: Tipo=MB-EXT | Movimiento=GRAVAMEN LEY 25.413 S/DEB | Monto=2,51 | Fecha: 20/04/2026</t>
        </is>
      </c>
    </row>
    <row r="620">
      <c r="A620" s="8" t="inlineStr">
        <is>
          <t>PEND-63A04430EC5B-A001</t>
        </is>
      </c>
      <c r="B620" s="8" t="inlineStr">
        <is>
          <t>ABIERTO_NUEVO</t>
        </is>
      </c>
      <c r="C620" s="8" t="inlineStr">
        <is>
          <t>Banco egreso no Flexxus</t>
        </is>
      </c>
      <c r="D620" s="8" t="inlineStr">
        <is>
          <t>20/04/2026</t>
        </is>
      </c>
      <c r="E620" s="8" t="inlineStr">
        <is>
          <t>107435</t>
        </is>
      </c>
      <c r="F620" s="8" t="inlineStr">
        <is>
          <t>GRAVAMEN LEY 25413 S/DEB</t>
        </is>
      </c>
      <c r="G620" s="8" t="inlineStr">
        <is>
          <t>Anticipo Ganancias Ley 25.413 débitos</t>
        </is>
      </c>
      <c r="H620" s="8" t="inlineStr">
        <is>
          <t>Anticipo Impuesto a las Ganancias</t>
        </is>
      </c>
      <c r="I620" s="9" t="n">
        <v>2.34</v>
      </c>
      <c r="J620" s="9" t="inlineStr"/>
      <c r="K620" s="8" t="inlineStr">
        <is>
          <t>Copiar en Flexxus: Tipo=MB-EXT | Movimiento=GRAVAMEN LEY 25.413 S/DEB | Monto=2,34 | Fecha: 20/04/2026</t>
        </is>
      </c>
    </row>
    <row r="621">
      <c r="A621" s="8" t="inlineStr">
        <is>
          <t>PEND-A7449BA1604D-A001</t>
        </is>
      </c>
      <c r="B621" s="8" t="inlineStr">
        <is>
          <t>ABIERTO_NUEVO</t>
        </is>
      </c>
      <c r="C621" s="8" t="inlineStr">
        <is>
          <t>Banco egreso no Flexxus</t>
        </is>
      </c>
      <c r="D621" s="8" t="inlineStr">
        <is>
          <t>20/04/2026</t>
        </is>
      </c>
      <c r="E621" s="8" t="inlineStr">
        <is>
          <t>107434</t>
        </is>
      </c>
      <c r="F621" s="8" t="inlineStr">
        <is>
          <t>GRAVAMEN LEY 25413 S/DEB</t>
        </is>
      </c>
      <c r="G621" s="8" t="inlineStr">
        <is>
          <t>Anticipo Ganancias Ley 25.413 débitos</t>
        </is>
      </c>
      <c r="H621" s="8" t="inlineStr">
        <is>
          <t>Anticipo Impuesto a las Ganancias</t>
        </is>
      </c>
      <c r="I621" s="9" t="n">
        <v>3.27</v>
      </c>
      <c r="J621" s="9" t="inlineStr"/>
      <c r="K621" s="8" t="inlineStr">
        <is>
          <t>Copiar en Flexxus: Tipo=MB-EXT | Movimiento=GRAVAMEN LEY 25.413 S/DEB | Monto=3,27 | Fecha: 20/04/2026</t>
        </is>
      </c>
    </row>
    <row r="622">
      <c r="A622" s="8" t="inlineStr">
        <is>
          <t>PEND-47B14FA9BC86-A001</t>
        </is>
      </c>
      <c r="B622" s="8" t="inlineStr">
        <is>
          <t>ABIERTO_NUEVO</t>
        </is>
      </c>
      <c r="C622" s="8" t="inlineStr">
        <is>
          <t>Banco egreso no Flexxus</t>
        </is>
      </c>
      <c r="D622" s="8" t="inlineStr">
        <is>
          <t>20/04/2026</t>
        </is>
      </c>
      <c r="E622" s="8" t="inlineStr">
        <is>
          <t>107433</t>
        </is>
      </c>
      <c r="F622" s="8" t="inlineStr">
        <is>
          <t>GRAVAMEN LEY 25413 S/DEB</t>
        </is>
      </c>
      <c r="G622" s="8" t="inlineStr">
        <is>
          <t>Anticipo Ganancias Ley 25.413 débitos</t>
        </is>
      </c>
      <c r="H622" s="8" t="inlineStr">
        <is>
          <t>Anticipo Impuesto a las Ganancias</t>
        </is>
      </c>
      <c r="I622" s="9" t="n">
        <v>6</v>
      </c>
      <c r="J622" s="9" t="inlineStr"/>
      <c r="K622" s="8" t="inlineStr">
        <is>
          <t>Copiar en Flexxus: Tipo=MB-EXT | Movimiento=GRAVAMEN LEY 25.413 S/DEB | Monto=6,00 | Fecha: 20/04/2026</t>
        </is>
      </c>
    </row>
    <row r="623">
      <c r="A623" s="8" t="inlineStr">
        <is>
          <t>PEND-A3D397A6D66C-A001</t>
        </is>
      </c>
      <c r="B623" s="8" t="inlineStr">
        <is>
          <t>ABIERTO_NUEVO</t>
        </is>
      </c>
      <c r="C623" s="8" t="inlineStr">
        <is>
          <t>Banco egreso no Flexxus</t>
        </is>
      </c>
      <c r="D623" s="8" t="inlineStr">
        <is>
          <t>20/04/2026</t>
        </is>
      </c>
      <c r="E623" s="8" t="inlineStr">
        <is>
          <t>107432</t>
        </is>
      </c>
      <c r="F623" s="8" t="inlineStr">
        <is>
          <t>GRAVAMEN LEY 25413 S/DEB</t>
        </is>
      </c>
      <c r="G623" s="8" t="inlineStr">
        <is>
          <t>Anticipo Ganancias Ley 25.413 débitos</t>
        </is>
      </c>
      <c r="H623" s="8" t="inlineStr">
        <is>
          <t>Anticipo Impuesto a las Ganancias</t>
        </is>
      </c>
      <c r="I623" s="9" t="n">
        <v>1.69</v>
      </c>
      <c r="J623" s="9" t="inlineStr"/>
      <c r="K623" s="8" t="inlineStr">
        <is>
          <t>Copiar en Flexxus: Tipo=MB-EXT | Movimiento=GRAVAMEN LEY 25.413 S/DEB | Monto=1,69 | Fecha: 20/04/2026</t>
        </is>
      </c>
    </row>
    <row r="624">
      <c r="A624" s="8" t="inlineStr">
        <is>
          <t>PEND-A96F498953AC-A001</t>
        </is>
      </c>
      <c r="B624" s="8" t="inlineStr">
        <is>
          <t>ABIERTO_NUEVO</t>
        </is>
      </c>
      <c r="C624" s="8" t="inlineStr">
        <is>
          <t>Banco egreso no Flexxus</t>
        </is>
      </c>
      <c r="D624" s="8" t="inlineStr">
        <is>
          <t>20/04/2026</t>
        </is>
      </c>
      <c r="E624" s="8" t="inlineStr">
        <is>
          <t>107431</t>
        </is>
      </c>
      <c r="F624" s="8" t="inlineStr">
        <is>
          <t>GRAVAMEN LEY 25413 S/DEB</t>
        </is>
      </c>
      <c r="G624" s="8" t="inlineStr">
        <is>
          <t>Anticipo Ganancias Ley 25.413 débitos</t>
        </is>
      </c>
      <c r="H624" s="8" t="inlineStr">
        <is>
          <t>Anticipo Impuesto a las Ganancias</t>
        </is>
      </c>
      <c r="I624" s="9" t="n">
        <v>0.68</v>
      </c>
      <c r="J624" s="9" t="inlineStr"/>
      <c r="K624" s="8" t="inlineStr">
        <is>
          <t>Copiar en Flexxus: Tipo=MB-EXT | Movimiento=GRAVAMEN LEY 25.413 S/DEB | Monto=0,68 | Fecha: 20/04/2026</t>
        </is>
      </c>
    </row>
    <row r="625">
      <c r="A625" s="8" t="inlineStr">
        <is>
          <t>PEND-B6C27D1E32CA-A001</t>
        </is>
      </c>
      <c r="B625" s="8" t="inlineStr">
        <is>
          <t>ABIERTO_NUEVO</t>
        </is>
      </c>
      <c r="C625" s="8" t="inlineStr">
        <is>
          <t>Banco egreso no Flexxus</t>
        </is>
      </c>
      <c r="D625" s="8" t="inlineStr">
        <is>
          <t>20/04/2026</t>
        </is>
      </c>
      <c r="E625" s="8" t="inlineStr">
        <is>
          <t>107430</t>
        </is>
      </c>
      <c r="F625" s="8" t="inlineStr">
        <is>
          <t>GRAVAMEN LEY 25413 S/DEB</t>
        </is>
      </c>
      <c r="G625" s="8" t="inlineStr">
        <is>
          <t>Anticipo Ganancias Ley 25.413 débitos</t>
        </is>
      </c>
      <c r="H625" s="8" t="inlineStr">
        <is>
          <t>Anticipo Impuesto a las Ganancias</t>
        </is>
      </c>
      <c r="I625" s="9" t="n">
        <v>3.18</v>
      </c>
      <c r="J625" s="9" t="inlineStr"/>
      <c r="K625" s="8" t="inlineStr">
        <is>
          <t>Copiar en Flexxus: Tipo=MB-EXT | Movimiento=GRAVAMEN LEY 25.413 S/DEB | Monto=3,18 | Fecha: 20/04/2026</t>
        </is>
      </c>
    </row>
    <row r="626">
      <c r="A626" s="8" t="inlineStr">
        <is>
          <t>PEND-6A4F42F053C3-A001</t>
        </is>
      </c>
      <c r="B626" s="8" t="inlineStr">
        <is>
          <t>ABIERTO_NUEVO</t>
        </is>
      </c>
      <c r="C626" s="8" t="inlineStr">
        <is>
          <t>Banco egreso no Flexxus</t>
        </is>
      </c>
      <c r="D626" s="8" t="inlineStr">
        <is>
          <t>20/04/2026</t>
        </is>
      </c>
      <c r="E626" s="8" t="inlineStr">
        <is>
          <t>107429</t>
        </is>
      </c>
      <c r="F626" s="8" t="inlineStr">
        <is>
          <t>GRAVAMEN LEY 25413 S/DEB</t>
        </is>
      </c>
      <c r="G626" s="8" t="inlineStr">
        <is>
          <t>Anticipo Ganancias Ley 25.413 débitos</t>
        </is>
      </c>
      <c r="H626" s="8" t="inlineStr">
        <is>
          <t>Anticipo Impuesto a las Ganancias</t>
        </is>
      </c>
      <c r="I626" s="9" t="n">
        <v>2.85</v>
      </c>
      <c r="J626" s="9" t="inlineStr"/>
      <c r="K626" s="8" t="inlineStr">
        <is>
          <t>Copiar en Flexxus: Tipo=MB-EXT | Movimiento=GRAVAMEN LEY 25.413 S/DEB | Monto=2,85 | Fecha: 20/04/2026</t>
        </is>
      </c>
    </row>
    <row r="627">
      <c r="A627" s="8" t="inlineStr">
        <is>
          <t>PEND-E4BFB8669260-A001</t>
        </is>
      </c>
      <c r="B627" s="8" t="inlineStr">
        <is>
          <t>ABIERTO_NUEVO</t>
        </is>
      </c>
      <c r="C627" s="8" t="inlineStr">
        <is>
          <t>Banco egreso no Flexxus</t>
        </is>
      </c>
      <c r="D627" s="8" t="inlineStr">
        <is>
          <t>20/04/2026</t>
        </is>
      </c>
      <c r="E627" s="8" t="inlineStr">
        <is>
          <t>107428</t>
        </is>
      </c>
      <c r="F627" s="8" t="inlineStr">
        <is>
          <t>GRAVAMEN LEY 25413 S/DEB</t>
        </is>
      </c>
      <c r="G627" s="8" t="inlineStr">
        <is>
          <t>Anticipo Ganancias Ley 25.413 débitos</t>
        </is>
      </c>
      <c r="H627" s="8" t="inlineStr">
        <is>
          <t>Anticipo Impuesto a las Ganancias</t>
        </is>
      </c>
      <c r="I627" s="9" t="n">
        <v>2.83</v>
      </c>
      <c r="J627" s="9" t="inlineStr"/>
      <c r="K627" s="8" t="inlineStr">
        <is>
          <t>Copiar en Flexxus: Tipo=MB-EXT | Movimiento=GRAVAMEN LEY 25.413 S/DEB | Monto=2,83 | Fecha: 20/04/2026</t>
        </is>
      </c>
    </row>
    <row r="628">
      <c r="A628" s="8" t="inlineStr">
        <is>
          <t>PEND-32705F50AB34-A001</t>
        </is>
      </c>
      <c r="B628" s="8" t="inlineStr">
        <is>
          <t>ABIERTO_NUEVO</t>
        </is>
      </c>
      <c r="C628" s="8" t="inlineStr">
        <is>
          <t>Banco egreso no Flexxus</t>
        </is>
      </c>
      <c r="D628" s="8" t="inlineStr">
        <is>
          <t>20/04/2026</t>
        </is>
      </c>
      <c r="E628" s="8" t="inlineStr">
        <is>
          <t>107427</t>
        </is>
      </c>
      <c r="F628" s="8" t="inlineStr">
        <is>
          <t>GRAVAMEN LEY 25413 S/DEB</t>
        </is>
      </c>
      <c r="G628" s="8" t="inlineStr">
        <is>
          <t>Anticipo Ganancias Ley 25.413 débitos</t>
        </is>
      </c>
      <c r="H628" s="8" t="inlineStr">
        <is>
          <t>Anticipo Impuesto a las Ganancias</t>
        </is>
      </c>
      <c r="I628" s="9" t="n">
        <v>1.99</v>
      </c>
      <c r="J628" s="9" t="inlineStr"/>
      <c r="K628" s="8" t="inlineStr">
        <is>
          <t>Copiar en Flexxus: Tipo=MB-EXT | Movimiento=GRAVAMEN LEY 25.413 S/DEB | Monto=1,99 | Fecha: 20/04/2026</t>
        </is>
      </c>
    </row>
    <row r="629">
      <c r="A629" s="8" t="inlineStr">
        <is>
          <t>PEND-8FFC371CC680-A001</t>
        </is>
      </c>
      <c r="B629" s="8" t="inlineStr">
        <is>
          <t>ABIERTO_NUEVO</t>
        </is>
      </c>
      <c r="C629" s="8" t="inlineStr">
        <is>
          <t>Banco egreso no Flexxus</t>
        </is>
      </c>
      <c r="D629" s="8" t="inlineStr">
        <is>
          <t>20/04/2026</t>
        </is>
      </c>
      <c r="E629" s="8" t="inlineStr">
        <is>
          <t>107426</t>
        </is>
      </c>
      <c r="F629" s="8" t="inlineStr">
        <is>
          <t>GRAVAMEN LEY 25413 S/DEB</t>
        </is>
      </c>
      <c r="G629" s="8" t="inlineStr">
        <is>
          <t>Anticipo Ganancias Ley 25.413 débitos</t>
        </is>
      </c>
      <c r="H629" s="8" t="inlineStr">
        <is>
          <t>Anticipo Impuesto a las Ganancias</t>
        </is>
      </c>
      <c r="I629" s="9" t="n">
        <v>2.05</v>
      </c>
      <c r="J629" s="9" t="inlineStr"/>
      <c r="K629" s="8" t="inlineStr">
        <is>
          <t>Copiar en Flexxus: Tipo=MB-EXT | Movimiento=GRAVAMEN LEY 25.413 S/DEB | Monto=2,05 | Fecha: 20/04/2026</t>
        </is>
      </c>
    </row>
    <row r="630">
      <c r="A630" s="8" t="inlineStr">
        <is>
          <t>PEND-03F436B9822C-A001</t>
        </is>
      </c>
      <c r="B630" s="8" t="inlineStr">
        <is>
          <t>ABIERTO_NUEVO</t>
        </is>
      </c>
      <c r="C630" s="8" t="inlineStr">
        <is>
          <t>Banco egreso no Flexxus</t>
        </is>
      </c>
      <c r="D630" s="8" t="inlineStr">
        <is>
          <t>20/04/2026</t>
        </is>
      </c>
      <c r="E630" s="8" t="inlineStr">
        <is>
          <t>107425</t>
        </is>
      </c>
      <c r="F630" s="8" t="inlineStr">
        <is>
          <t>GRAVAMEN LEY 25413 S/DEB</t>
        </is>
      </c>
      <c r="G630" s="8" t="inlineStr">
        <is>
          <t>Anticipo Ganancias Ley 25.413 débitos</t>
        </is>
      </c>
      <c r="H630" s="8" t="inlineStr">
        <is>
          <t>Anticipo Impuesto a las Ganancias</t>
        </is>
      </c>
      <c r="I630" s="9" t="n">
        <v>1.72</v>
      </c>
      <c r="J630" s="9" t="inlineStr"/>
      <c r="K630" s="8" t="inlineStr">
        <is>
          <t>Copiar en Flexxus: Tipo=MB-EXT | Movimiento=GRAVAMEN LEY 25.413 S/DEB | Monto=1,72 | Fecha: 20/04/2026</t>
        </is>
      </c>
    </row>
    <row r="631">
      <c r="A631" s="8" t="inlineStr">
        <is>
          <t>PEND-639508D7C820-A001</t>
        </is>
      </c>
      <c r="B631" s="8" t="inlineStr">
        <is>
          <t>ABIERTO_NUEVO</t>
        </is>
      </c>
      <c r="C631" s="8" t="inlineStr">
        <is>
          <t>Banco egreso no Flexxus</t>
        </is>
      </c>
      <c r="D631" s="8" t="inlineStr">
        <is>
          <t>20/04/2026</t>
        </is>
      </c>
      <c r="E631" s="8" t="inlineStr">
        <is>
          <t>107424</t>
        </is>
      </c>
      <c r="F631" s="8" t="inlineStr">
        <is>
          <t>GRAVAMEN LEY 25413 S/DEB</t>
        </is>
      </c>
      <c r="G631" s="8" t="inlineStr">
        <is>
          <t>Anticipo Ganancias Ley 25.413 débitos</t>
        </is>
      </c>
      <c r="H631" s="8" t="inlineStr">
        <is>
          <t>Anticipo Impuesto a las Ganancias</t>
        </is>
      </c>
      <c r="I631" s="9" t="n">
        <v>1.33</v>
      </c>
      <c r="J631" s="9" t="inlineStr"/>
      <c r="K631" s="8" t="inlineStr">
        <is>
          <t>Copiar en Flexxus: Tipo=MB-EXT | Movimiento=GRAVAMEN LEY 25.413 S/DEB | Monto=1,33 | Fecha: 20/04/2026</t>
        </is>
      </c>
    </row>
    <row r="632">
      <c r="A632" s="8" t="inlineStr">
        <is>
          <t>PEND-71AFF45CD30B-A001</t>
        </is>
      </c>
      <c r="B632" s="8" t="inlineStr">
        <is>
          <t>ABIERTO_NUEVO</t>
        </is>
      </c>
      <c r="C632" s="8" t="inlineStr">
        <is>
          <t>Banco egreso no Flexxus</t>
        </is>
      </c>
      <c r="D632" s="8" t="inlineStr">
        <is>
          <t>20/04/2026</t>
        </is>
      </c>
      <c r="E632" s="8" t="inlineStr">
        <is>
          <t>107423</t>
        </is>
      </c>
      <c r="F632" s="8" t="inlineStr">
        <is>
          <t>GRAVAMEN LEY 25413 S/DEB</t>
        </is>
      </c>
      <c r="G632" s="8" t="inlineStr">
        <is>
          <t>Anticipo Ganancias Ley 25.413 débitos</t>
        </is>
      </c>
      <c r="H632" s="8" t="inlineStr">
        <is>
          <t>Anticipo Impuesto a las Ganancias</t>
        </is>
      </c>
      <c r="I632" s="9" t="n">
        <v>0.48</v>
      </c>
      <c r="J632" s="9" t="inlineStr"/>
      <c r="K632" s="8" t="inlineStr">
        <is>
          <t>Copiar en Flexxus: Tipo=MB-EXT | Movimiento=GRAVAMEN LEY 25.413 S/DEB | Monto=0,48 | Fecha: 20/04/2026</t>
        </is>
      </c>
    </row>
    <row r="633">
      <c r="A633" s="8" t="inlineStr">
        <is>
          <t>PEND-41DE0786E1DC-A001</t>
        </is>
      </c>
      <c r="B633" s="8" t="inlineStr">
        <is>
          <t>ABIERTO_NUEVO</t>
        </is>
      </c>
      <c r="C633" s="8" t="inlineStr">
        <is>
          <t>Banco egreso no Flexxus</t>
        </is>
      </c>
      <c r="D633" s="8" t="inlineStr">
        <is>
          <t>20/04/2026</t>
        </is>
      </c>
      <c r="E633" s="8" t="inlineStr">
        <is>
          <t>107422</t>
        </is>
      </c>
      <c r="F633" s="8" t="inlineStr">
        <is>
          <t>GRAVAMEN LEY 25413 S/DEB</t>
        </is>
      </c>
      <c r="G633" s="8" t="inlineStr">
        <is>
          <t>Anticipo Ganancias Ley 25.413 débitos</t>
        </is>
      </c>
      <c r="H633" s="8" t="inlineStr">
        <is>
          <t>Anticipo Impuesto a las Ganancias</t>
        </is>
      </c>
      <c r="I633" s="9" t="n">
        <v>0.93</v>
      </c>
      <c r="J633" s="9" t="inlineStr"/>
      <c r="K633" s="8" t="inlineStr">
        <is>
          <t>Copiar en Flexxus: Tipo=MB-EXT | Movimiento=GRAVAMEN LEY 25.413 S/DEB | Monto=0,93 | Fecha: 20/04/2026</t>
        </is>
      </c>
    </row>
    <row r="634">
      <c r="A634" s="8" t="inlineStr">
        <is>
          <t>PEND-F984BBB09A0B-A001</t>
        </is>
      </c>
      <c r="B634" s="8" t="inlineStr">
        <is>
          <t>ABIERTO_NUEVO</t>
        </is>
      </c>
      <c r="C634" s="8" t="inlineStr">
        <is>
          <t>Banco egreso no Flexxus</t>
        </is>
      </c>
      <c r="D634" s="8" t="inlineStr">
        <is>
          <t>20/04/2026</t>
        </is>
      </c>
      <c r="E634" s="8" t="inlineStr">
        <is>
          <t>107421</t>
        </is>
      </c>
      <c r="F634" s="8" t="inlineStr">
        <is>
          <t>GRAVAMEN LEY 25413 S/DEB</t>
        </is>
      </c>
      <c r="G634" s="8" t="inlineStr">
        <is>
          <t>Anticipo Ganancias Ley 25.413 débitos</t>
        </is>
      </c>
      <c r="H634" s="8" t="inlineStr">
        <is>
          <t>Anticipo Impuesto a las Ganancias</t>
        </is>
      </c>
      <c r="I634" s="9" t="n">
        <v>1.6</v>
      </c>
      <c r="J634" s="9" t="inlineStr"/>
      <c r="K634" s="8" t="inlineStr">
        <is>
          <t>Copiar en Flexxus: Tipo=MB-EXT | Movimiento=GRAVAMEN LEY 25.413 S/DEB | Monto=1,60 | Fecha: 20/04/2026</t>
        </is>
      </c>
    </row>
    <row r="635">
      <c r="A635" s="8" t="inlineStr">
        <is>
          <t>PEND-FF6856CE0509-A001</t>
        </is>
      </c>
      <c r="B635" s="8" t="inlineStr">
        <is>
          <t>ABIERTO_NUEVO</t>
        </is>
      </c>
      <c r="C635" s="8" t="inlineStr">
        <is>
          <t>Banco egreso no Flexxus</t>
        </is>
      </c>
      <c r="D635" s="8" t="inlineStr">
        <is>
          <t>20/04/2026</t>
        </is>
      </c>
      <c r="E635" s="8" t="inlineStr">
        <is>
          <t>107420</t>
        </is>
      </c>
      <c r="F635" s="8" t="inlineStr">
        <is>
          <t>GRAVAMEN LEY 25413 S/DEB</t>
        </is>
      </c>
      <c r="G635" s="8" t="inlineStr">
        <is>
          <t>Anticipo Ganancias Ley 25.413 débitos</t>
        </is>
      </c>
      <c r="H635" s="8" t="inlineStr">
        <is>
          <t>Anticipo Impuesto a las Ganancias</t>
        </is>
      </c>
      <c r="I635" s="9" t="n">
        <v>2.1</v>
      </c>
      <c r="J635" s="9" t="inlineStr"/>
      <c r="K635" s="8" t="inlineStr">
        <is>
          <t>Copiar en Flexxus: Tipo=MB-EXT | Movimiento=GRAVAMEN LEY 25.413 S/DEB | Monto=2,10 | Fecha: 20/04/2026</t>
        </is>
      </c>
    </row>
    <row r="636">
      <c r="A636" s="8" t="inlineStr">
        <is>
          <t>PEND-A087D213FB8B-A001</t>
        </is>
      </c>
      <c r="B636" s="8" t="inlineStr">
        <is>
          <t>ABIERTO_NUEVO</t>
        </is>
      </c>
      <c r="C636" s="8" t="inlineStr">
        <is>
          <t>Banco egreso no Flexxus</t>
        </is>
      </c>
      <c r="D636" s="8" t="inlineStr">
        <is>
          <t>20/04/2026</t>
        </is>
      </c>
      <c r="E636" s="8" t="inlineStr">
        <is>
          <t>107419</t>
        </is>
      </c>
      <c r="F636" s="8" t="inlineStr">
        <is>
          <t>GRAVAMEN LEY 25413 S/DEB</t>
        </is>
      </c>
      <c r="G636" s="8" t="inlineStr">
        <is>
          <t>Anticipo Ganancias Ley 25.413 débitos</t>
        </is>
      </c>
      <c r="H636" s="8" t="inlineStr">
        <is>
          <t>Anticipo Impuesto a las Ganancias</t>
        </is>
      </c>
      <c r="I636" s="9" t="n">
        <v>4.74</v>
      </c>
      <c r="J636" s="9" t="inlineStr"/>
      <c r="K636" s="8" t="inlineStr">
        <is>
          <t>Copiar en Flexxus: Tipo=MB-EXT | Movimiento=GRAVAMEN LEY 25.413 S/DEB | Monto=4,74 | Fecha: 20/04/2026</t>
        </is>
      </c>
    </row>
    <row r="637">
      <c r="A637" s="8" t="inlineStr">
        <is>
          <t>PEND-65CE6F4462BE-A001</t>
        </is>
      </c>
      <c r="B637" s="8" t="inlineStr">
        <is>
          <t>ABIERTO_NUEVO</t>
        </is>
      </c>
      <c r="C637" s="8" t="inlineStr">
        <is>
          <t>Banco egreso no Flexxus</t>
        </is>
      </c>
      <c r="D637" s="8" t="inlineStr">
        <is>
          <t>20/04/2026</t>
        </is>
      </c>
      <c r="E637" s="8" t="inlineStr">
        <is>
          <t>107418</t>
        </is>
      </c>
      <c r="F637" s="8" t="inlineStr">
        <is>
          <t>GRAVAMEN LEY 25413 S/DEB</t>
        </is>
      </c>
      <c r="G637" s="8" t="inlineStr">
        <is>
          <t>Anticipo Ganancias Ley 25.413 débitos</t>
        </is>
      </c>
      <c r="H637" s="8" t="inlineStr">
        <is>
          <t>Anticipo Impuesto a las Ganancias</t>
        </is>
      </c>
      <c r="I637" s="9" t="n">
        <v>0.27</v>
      </c>
      <c r="J637" s="9" t="inlineStr"/>
      <c r="K637" s="8" t="inlineStr">
        <is>
          <t>Copiar en Flexxus: Tipo=MB-EXT | Movimiento=GRAVAMEN LEY 25.413 S/DEB | Monto=0,27 | Fecha: 20/04/2026</t>
        </is>
      </c>
    </row>
    <row r="638">
      <c r="A638" s="8" t="inlineStr">
        <is>
          <t>PEND-7E2034A676B9-A001</t>
        </is>
      </c>
      <c r="B638" s="8" t="inlineStr">
        <is>
          <t>ABIERTO_NUEVO</t>
        </is>
      </c>
      <c r="C638" s="8" t="inlineStr">
        <is>
          <t>Banco egreso no Flexxus</t>
        </is>
      </c>
      <c r="D638" s="8" t="inlineStr">
        <is>
          <t>20/04/2026</t>
        </is>
      </c>
      <c r="E638" s="8" t="inlineStr">
        <is>
          <t>107417</t>
        </is>
      </c>
      <c r="F638" s="8" t="inlineStr">
        <is>
          <t>GRAVAMEN LEY 25413 S/DEB</t>
        </is>
      </c>
      <c r="G638" s="8" t="inlineStr">
        <is>
          <t>Anticipo Ganancias Ley 25.413 débitos</t>
        </is>
      </c>
      <c r="H638" s="8" t="inlineStr">
        <is>
          <t>Anticipo Impuesto a las Ganancias</t>
        </is>
      </c>
      <c r="I638" s="9" t="n">
        <v>1.37</v>
      </c>
      <c r="J638" s="9" t="inlineStr"/>
      <c r="K638" s="8" t="inlineStr">
        <is>
          <t>Copiar en Flexxus: Tipo=MB-EXT | Movimiento=GRAVAMEN LEY 25.413 S/DEB | Monto=1,37 | Fecha: 20/04/2026</t>
        </is>
      </c>
    </row>
    <row r="639">
      <c r="A639" s="8" t="inlineStr">
        <is>
          <t>PEND-8337D4AAB817-A001</t>
        </is>
      </c>
      <c r="B639" s="8" t="inlineStr">
        <is>
          <t>ABIERTO_NUEVO</t>
        </is>
      </c>
      <c r="C639" s="8" t="inlineStr">
        <is>
          <t>Banco egreso no Flexxus</t>
        </is>
      </c>
      <c r="D639" s="8" t="inlineStr">
        <is>
          <t>20/04/2026</t>
        </is>
      </c>
      <c r="E639" s="8" t="inlineStr">
        <is>
          <t>107416</t>
        </is>
      </c>
      <c r="F639" s="8" t="inlineStr">
        <is>
          <t>GRAVAMEN LEY 25413 S/DEB</t>
        </is>
      </c>
      <c r="G639" s="8" t="inlineStr">
        <is>
          <t>Anticipo Ganancias Ley 25.413 débitos</t>
        </is>
      </c>
      <c r="H639" s="8" t="inlineStr">
        <is>
          <t>Anticipo Impuesto a las Ganancias</t>
        </is>
      </c>
      <c r="I639" s="9" t="n">
        <v>3.9</v>
      </c>
      <c r="J639" s="9" t="inlineStr"/>
      <c r="K639" s="8" t="inlineStr">
        <is>
          <t>Copiar en Flexxus: Tipo=MB-EXT | Movimiento=GRAVAMEN LEY 25.413 S/DEB | Monto=3,90 | Fecha: 20/04/2026</t>
        </is>
      </c>
    </row>
    <row r="640">
      <c r="A640" s="8" t="inlineStr">
        <is>
          <t>PEND-128582FC4BA0-A001</t>
        </is>
      </c>
      <c r="B640" s="8" t="inlineStr">
        <is>
          <t>ABIERTO_NUEVO</t>
        </is>
      </c>
      <c r="C640" s="8" t="inlineStr">
        <is>
          <t>Banco egreso no Flexxus</t>
        </is>
      </c>
      <c r="D640" s="8" t="inlineStr">
        <is>
          <t>20/04/2026</t>
        </is>
      </c>
      <c r="E640" s="8" t="inlineStr">
        <is>
          <t>107415</t>
        </is>
      </c>
      <c r="F640" s="8" t="inlineStr">
        <is>
          <t>GRAVAMEN LEY 25413 S/DEB</t>
        </is>
      </c>
      <c r="G640" s="8" t="inlineStr">
        <is>
          <t>Anticipo Ganancias Ley 25.413 débitos</t>
        </is>
      </c>
      <c r="H640" s="8" t="inlineStr">
        <is>
          <t>Anticipo Impuesto a las Ganancias</t>
        </is>
      </c>
      <c r="I640" s="9" t="n">
        <v>1.72</v>
      </c>
      <c r="J640" s="9" t="inlineStr"/>
      <c r="K640" s="8" t="inlineStr">
        <is>
          <t>Copiar en Flexxus: Tipo=MB-EXT | Movimiento=GRAVAMEN LEY 25.413 S/DEB | Monto=1,72 | Fecha: 20/04/2026</t>
        </is>
      </c>
    </row>
    <row r="641">
      <c r="A641" s="8" t="inlineStr">
        <is>
          <t>PEND-70DADFA62E06-A001</t>
        </is>
      </c>
      <c r="B641" s="8" t="inlineStr">
        <is>
          <t>ABIERTO_NUEVO</t>
        </is>
      </c>
      <c r="C641" s="8" t="inlineStr">
        <is>
          <t>Banco egreso no Flexxus</t>
        </is>
      </c>
      <c r="D641" s="8" t="inlineStr">
        <is>
          <t>20/04/2026</t>
        </is>
      </c>
      <c r="E641" s="8" t="inlineStr">
        <is>
          <t>107414</t>
        </is>
      </c>
      <c r="F641" s="8" t="inlineStr">
        <is>
          <t>GRAVAMEN LEY 25413 S/DEB</t>
        </is>
      </c>
      <c r="G641" s="8" t="inlineStr">
        <is>
          <t>Anticipo Ganancias Ley 25.413 débitos</t>
        </is>
      </c>
      <c r="H641" s="8" t="inlineStr">
        <is>
          <t>Anticipo Impuesto a las Ganancias</t>
        </is>
      </c>
      <c r="I641" s="9" t="n">
        <v>1.43</v>
      </c>
      <c r="J641" s="9" t="inlineStr"/>
      <c r="K641" s="8" t="inlineStr">
        <is>
          <t>Copiar en Flexxus: Tipo=MB-EXT | Movimiento=GRAVAMEN LEY 25.413 S/DEB | Monto=1,43 | Fecha: 20/04/2026</t>
        </is>
      </c>
    </row>
    <row r="642">
      <c r="A642" s="8" t="inlineStr">
        <is>
          <t>PEND-C3594034EBB7-A001</t>
        </is>
      </c>
      <c r="B642" s="8" t="inlineStr">
        <is>
          <t>ABIERTO_NUEVO</t>
        </is>
      </c>
      <c r="C642" s="8" t="inlineStr">
        <is>
          <t>Banco egreso no Flexxus</t>
        </is>
      </c>
      <c r="D642" s="8" t="inlineStr">
        <is>
          <t>20/04/2026</t>
        </is>
      </c>
      <c r="E642" s="8" t="inlineStr">
        <is>
          <t>107413</t>
        </is>
      </c>
      <c r="F642" s="8" t="inlineStr">
        <is>
          <t>GRAVAMEN LEY 25413 S/DEB</t>
        </is>
      </c>
      <c r="G642" s="8" t="inlineStr">
        <is>
          <t>Anticipo Ganancias Ley 25.413 débitos</t>
        </is>
      </c>
      <c r="H642" s="8" t="inlineStr">
        <is>
          <t>Anticipo Impuesto a las Ganancias</t>
        </is>
      </c>
      <c r="I642" s="9" t="n">
        <v>1.49</v>
      </c>
      <c r="J642" s="9" t="inlineStr"/>
      <c r="K642" s="8" t="inlineStr">
        <is>
          <t>Copiar en Flexxus: Tipo=MB-EXT | Movimiento=GRAVAMEN LEY 25.413 S/DEB | Monto=1,49 | Fecha: 20/04/2026</t>
        </is>
      </c>
    </row>
    <row r="643">
      <c r="A643" s="8" t="inlineStr">
        <is>
          <t>PEND-60794F8BD17D-A001</t>
        </is>
      </c>
      <c r="B643" s="8" t="inlineStr">
        <is>
          <t>ABIERTO_NUEVO</t>
        </is>
      </c>
      <c r="C643" s="8" t="inlineStr">
        <is>
          <t>Banco egreso no Flexxus</t>
        </is>
      </c>
      <c r="D643" s="8" t="inlineStr">
        <is>
          <t>20/04/2026</t>
        </is>
      </c>
      <c r="E643" s="8" t="inlineStr">
        <is>
          <t>107412</t>
        </is>
      </c>
      <c r="F643" s="8" t="inlineStr">
        <is>
          <t>GRAVAMEN LEY 25413 S/DEB</t>
        </is>
      </c>
      <c r="G643" s="8" t="inlineStr">
        <is>
          <t>Anticipo Ganancias Ley 25.413 débitos</t>
        </is>
      </c>
      <c r="H643" s="8" t="inlineStr">
        <is>
          <t>Anticipo Impuesto a las Ganancias</t>
        </is>
      </c>
      <c r="I643" s="9" t="n">
        <v>1.37</v>
      </c>
      <c r="J643" s="9" t="inlineStr"/>
      <c r="K643" s="8" t="inlineStr">
        <is>
          <t>Copiar en Flexxus: Tipo=MB-EXT | Movimiento=GRAVAMEN LEY 25.413 S/DEB | Monto=1,37 | Fecha: 20/04/2026</t>
        </is>
      </c>
    </row>
    <row r="644">
      <c r="A644" s="8" t="inlineStr">
        <is>
          <t>PEND-069DA34FFA9E-A001</t>
        </is>
      </c>
      <c r="B644" s="8" t="inlineStr">
        <is>
          <t>ABIERTO_NUEVO</t>
        </is>
      </c>
      <c r="C644" s="8" t="inlineStr">
        <is>
          <t>Banco egreso no Flexxus</t>
        </is>
      </c>
      <c r="D644" s="8" t="inlineStr">
        <is>
          <t>20/04/2026</t>
        </is>
      </c>
      <c r="E644" s="8" t="inlineStr">
        <is>
          <t>107411</t>
        </is>
      </c>
      <c r="F644" s="8" t="inlineStr">
        <is>
          <t>GRAVAMEN LEY 25413 S/DEB</t>
        </is>
      </c>
      <c r="G644" s="8" t="inlineStr">
        <is>
          <t>Anticipo Ganancias Ley 25.413 débitos</t>
        </is>
      </c>
      <c r="H644" s="8" t="inlineStr">
        <is>
          <t>Anticipo Impuesto a las Ganancias</t>
        </is>
      </c>
      <c r="I644" s="9" t="n">
        <v>2.22</v>
      </c>
      <c r="J644" s="9" t="inlineStr"/>
      <c r="K644" s="8" t="inlineStr">
        <is>
          <t>Copiar en Flexxus: Tipo=MB-EXT | Movimiento=GRAVAMEN LEY 25.413 S/DEB | Monto=2,22 | Fecha: 20/04/2026</t>
        </is>
      </c>
    </row>
    <row r="645">
      <c r="A645" s="8" t="inlineStr">
        <is>
          <t>PEND-FEC702CE2D3A-A001</t>
        </is>
      </c>
      <c r="B645" s="8" t="inlineStr">
        <is>
          <t>ABIERTO_NUEVO</t>
        </is>
      </c>
      <c r="C645" s="8" t="inlineStr">
        <is>
          <t>Banco egreso no Flexxus</t>
        </is>
      </c>
      <c r="D645" s="8" t="inlineStr">
        <is>
          <t>20/04/2026</t>
        </is>
      </c>
      <c r="E645" s="8" t="inlineStr">
        <is>
          <t>107410</t>
        </is>
      </c>
      <c r="F645" s="8" t="inlineStr">
        <is>
          <t>GRAVAMEN LEY 25413 S/DEB</t>
        </is>
      </c>
      <c r="G645" s="8" t="inlineStr">
        <is>
          <t>Anticipo Ganancias Ley 25.413 débitos</t>
        </is>
      </c>
      <c r="H645" s="8" t="inlineStr">
        <is>
          <t>Anticipo Impuesto a las Ganancias</t>
        </is>
      </c>
      <c r="I645" s="9" t="n">
        <v>1.77</v>
      </c>
      <c r="J645" s="9" t="inlineStr"/>
      <c r="K645" s="8" t="inlineStr">
        <is>
          <t>Copiar en Flexxus: Tipo=MB-EXT | Movimiento=GRAVAMEN LEY 25.413 S/DEB | Monto=1,77 | Fecha: 20/04/2026</t>
        </is>
      </c>
    </row>
    <row r="646">
      <c r="A646" s="8" t="inlineStr">
        <is>
          <t>PEND-83B86FB068C0-A001</t>
        </is>
      </c>
      <c r="B646" s="8" t="inlineStr">
        <is>
          <t>ABIERTO_NUEVO</t>
        </is>
      </c>
      <c r="C646" s="8" t="inlineStr">
        <is>
          <t>Banco egreso no Flexxus</t>
        </is>
      </c>
      <c r="D646" s="8" t="inlineStr">
        <is>
          <t>20/04/2026</t>
        </is>
      </c>
      <c r="E646" s="8" t="inlineStr">
        <is>
          <t>107409</t>
        </is>
      </c>
      <c r="F646" s="8" t="inlineStr">
        <is>
          <t>GRAVAMEN LEY 25413 S/DEB</t>
        </is>
      </c>
      <c r="G646" s="8" t="inlineStr">
        <is>
          <t>Anticipo Ganancias Ley 25.413 débitos</t>
        </is>
      </c>
      <c r="H646" s="8" t="inlineStr">
        <is>
          <t>Anticipo Impuesto a las Ganancias</t>
        </is>
      </c>
      <c r="I646" s="9" t="n">
        <v>0.93</v>
      </c>
      <c r="J646" s="9" t="inlineStr"/>
      <c r="K646" s="8" t="inlineStr">
        <is>
          <t>Copiar en Flexxus: Tipo=MB-EXT | Movimiento=GRAVAMEN LEY 25.413 S/DEB | Monto=0,93 | Fecha: 20/04/2026</t>
        </is>
      </c>
    </row>
    <row r="647">
      <c r="A647" s="8" t="inlineStr">
        <is>
          <t>PEND-EFF1876793B2-A001</t>
        </is>
      </c>
      <c r="B647" s="8" t="inlineStr">
        <is>
          <t>ABIERTO_NUEVO</t>
        </is>
      </c>
      <c r="C647" s="8" t="inlineStr">
        <is>
          <t>Banco egreso no Flexxus</t>
        </is>
      </c>
      <c r="D647" s="8" t="inlineStr">
        <is>
          <t>20/04/2026</t>
        </is>
      </c>
      <c r="E647" s="8" t="inlineStr">
        <is>
          <t>107408</t>
        </is>
      </c>
      <c r="F647" s="8" t="inlineStr">
        <is>
          <t>GRAVAMEN LEY 25413 S/DEB</t>
        </is>
      </c>
      <c r="G647" s="8" t="inlineStr">
        <is>
          <t>Anticipo Ganancias Ley 25.413 débitos</t>
        </is>
      </c>
      <c r="H647" s="8" t="inlineStr">
        <is>
          <t>Anticipo Impuesto a las Ganancias</t>
        </is>
      </c>
      <c r="I647" s="9" t="n">
        <v>0.97</v>
      </c>
      <c r="J647" s="9" t="inlineStr"/>
      <c r="K647" s="8" t="inlineStr">
        <is>
          <t>Copiar en Flexxus: Tipo=MB-EXT | Movimiento=GRAVAMEN LEY 25.413 S/DEB | Monto=0,97 | Fecha: 20/04/2026</t>
        </is>
      </c>
    </row>
    <row r="648">
      <c r="A648" s="8" t="inlineStr">
        <is>
          <t>PEND-8130C942E31D-A001</t>
        </is>
      </c>
      <c r="B648" s="8" t="inlineStr">
        <is>
          <t>ABIERTO_NUEVO</t>
        </is>
      </c>
      <c r="C648" s="8" t="inlineStr">
        <is>
          <t>Banco egreso no Flexxus</t>
        </is>
      </c>
      <c r="D648" s="8" t="inlineStr">
        <is>
          <t>20/04/2026</t>
        </is>
      </c>
      <c r="E648" s="8" t="inlineStr">
        <is>
          <t>107407</t>
        </is>
      </c>
      <c r="F648" s="8" t="inlineStr">
        <is>
          <t>GRAVAMEN LEY 25413 S/DEB</t>
        </is>
      </c>
      <c r="G648" s="8" t="inlineStr">
        <is>
          <t>Anticipo Ganancias Ley 25.413 débitos</t>
        </is>
      </c>
      <c r="H648" s="8" t="inlineStr">
        <is>
          <t>Anticipo Impuesto a las Ganancias</t>
        </is>
      </c>
      <c r="I648" s="9" t="n">
        <v>1.19</v>
      </c>
      <c r="J648" s="9" t="inlineStr"/>
      <c r="K648" s="8" t="inlineStr">
        <is>
          <t>Copiar en Flexxus: Tipo=MB-EXT | Movimiento=GRAVAMEN LEY 25.413 S/DEB | Monto=1,19 | Fecha: 20/04/2026</t>
        </is>
      </c>
    </row>
    <row r="649">
      <c r="A649" s="8" t="inlineStr">
        <is>
          <t>PEND-25B2663FC657-A001</t>
        </is>
      </c>
      <c r="B649" s="8" t="inlineStr">
        <is>
          <t>ABIERTO_NUEVO</t>
        </is>
      </c>
      <c r="C649" s="8" t="inlineStr">
        <is>
          <t>Banco egreso no Flexxus</t>
        </is>
      </c>
      <c r="D649" s="8" t="inlineStr">
        <is>
          <t>20/04/2026</t>
        </is>
      </c>
      <c r="E649" s="8" t="inlineStr">
        <is>
          <t>107406</t>
        </is>
      </c>
      <c r="F649" s="8" t="inlineStr">
        <is>
          <t>GRAVAMEN LEY 25413 S/DEB</t>
        </is>
      </c>
      <c r="G649" s="8" t="inlineStr">
        <is>
          <t>Anticipo Ganancias Ley 25.413 débitos</t>
        </is>
      </c>
      <c r="H649" s="8" t="inlineStr">
        <is>
          <t>Anticipo Impuesto a las Ganancias</t>
        </is>
      </c>
      <c r="I649" s="9" t="n">
        <v>1.13</v>
      </c>
      <c r="J649" s="9" t="inlineStr"/>
      <c r="K649" s="8" t="inlineStr">
        <is>
          <t>Copiar en Flexxus: Tipo=MB-EXT | Movimiento=GRAVAMEN LEY 25.413 S/DEB | Monto=1,13 | Fecha: 20/04/2026</t>
        </is>
      </c>
    </row>
    <row r="650">
      <c r="A650" s="8" t="inlineStr">
        <is>
          <t>PEND-E29BCEF33726-A001</t>
        </is>
      </c>
      <c r="B650" s="8" t="inlineStr">
        <is>
          <t>ABIERTO_NUEVO</t>
        </is>
      </c>
      <c r="C650" s="8" t="inlineStr">
        <is>
          <t>Banco egreso no Flexxus</t>
        </is>
      </c>
      <c r="D650" s="8" t="inlineStr">
        <is>
          <t>20/04/2026</t>
        </is>
      </c>
      <c r="E650" s="8" t="inlineStr">
        <is>
          <t>107405</t>
        </is>
      </c>
      <c r="F650" s="8" t="inlineStr">
        <is>
          <t>GRAVAMEN LEY 25413 S/DEB</t>
        </is>
      </c>
      <c r="G650" s="8" t="inlineStr">
        <is>
          <t>Anticipo Ganancias Ley 25.413 débitos</t>
        </is>
      </c>
      <c r="H650" s="8" t="inlineStr">
        <is>
          <t>Anticipo Impuesto a las Ganancias</t>
        </is>
      </c>
      <c r="I650" s="9" t="n">
        <v>0.89</v>
      </c>
      <c r="J650" s="9" t="inlineStr"/>
      <c r="K650" s="8" t="inlineStr">
        <is>
          <t>Copiar en Flexxus: Tipo=MB-EXT | Movimiento=GRAVAMEN LEY 25.413 S/DEB | Monto=0,89 | Fecha: 20/04/2026</t>
        </is>
      </c>
    </row>
    <row r="651">
      <c r="A651" s="8" t="inlineStr">
        <is>
          <t>PEND-14B89556A3F5-A001</t>
        </is>
      </c>
      <c r="B651" s="8" t="inlineStr">
        <is>
          <t>ABIERTO_NUEVO</t>
        </is>
      </c>
      <c r="C651" s="8" t="inlineStr">
        <is>
          <t>Banco egreso no Flexxus</t>
        </is>
      </c>
      <c r="D651" s="8" t="inlineStr">
        <is>
          <t>20/04/2026</t>
        </is>
      </c>
      <c r="E651" s="8" t="inlineStr">
        <is>
          <t>107404</t>
        </is>
      </c>
      <c r="F651" s="8" t="inlineStr">
        <is>
          <t>GRAVAMEN LEY 25413 S/DEB</t>
        </is>
      </c>
      <c r="G651" s="8" t="inlineStr">
        <is>
          <t>Anticipo Ganancias Ley 25.413 débitos</t>
        </is>
      </c>
      <c r="H651" s="8" t="inlineStr">
        <is>
          <t>Anticipo Impuesto a las Ganancias</t>
        </is>
      </c>
      <c r="I651" s="9" t="n">
        <v>4.35</v>
      </c>
      <c r="J651" s="9" t="inlineStr"/>
      <c r="K651" s="8" t="inlineStr">
        <is>
          <t>Copiar en Flexxus: Tipo=MB-EXT | Movimiento=GRAVAMEN LEY 25.413 S/DEB | Monto=4,35 | Fecha: 20/04/2026</t>
        </is>
      </c>
    </row>
    <row r="652">
      <c r="A652" s="8" t="inlineStr">
        <is>
          <t>PEND-094B0C1DB90E-A001</t>
        </is>
      </c>
      <c r="B652" s="8" t="inlineStr">
        <is>
          <t>ABIERTO_NUEVO</t>
        </is>
      </c>
      <c r="C652" s="8" t="inlineStr">
        <is>
          <t>Banco egreso no Flexxus</t>
        </is>
      </c>
      <c r="D652" s="8" t="inlineStr">
        <is>
          <t>20/04/2026</t>
        </is>
      </c>
      <c r="E652" s="8" t="inlineStr">
        <is>
          <t>107403</t>
        </is>
      </c>
      <c r="F652" s="8" t="inlineStr">
        <is>
          <t>GRAVAMEN LEY 25413 S/DEB</t>
        </is>
      </c>
      <c r="G652" s="8" t="inlineStr">
        <is>
          <t>Anticipo Ganancias Ley 25.413 débitos</t>
        </is>
      </c>
      <c r="H652" s="8" t="inlineStr">
        <is>
          <t>Anticipo Impuesto a las Ganancias</t>
        </is>
      </c>
      <c r="I652" s="9" t="n">
        <v>4.01</v>
      </c>
      <c r="J652" s="9" t="inlineStr"/>
      <c r="K652" s="8" t="inlineStr">
        <is>
          <t>Copiar en Flexxus: Tipo=MB-EXT | Movimiento=GRAVAMEN LEY 25.413 S/DEB | Monto=4,01 | Fecha: 20/04/2026</t>
        </is>
      </c>
    </row>
    <row r="653">
      <c r="A653" s="8" t="inlineStr">
        <is>
          <t>PEND-3926796CD27B-A001</t>
        </is>
      </c>
      <c r="B653" s="8" t="inlineStr">
        <is>
          <t>ABIERTO_NUEVO</t>
        </is>
      </c>
      <c r="C653" s="8" t="inlineStr">
        <is>
          <t>Banco egreso no Flexxus</t>
        </is>
      </c>
      <c r="D653" s="8" t="inlineStr">
        <is>
          <t>20/04/2026</t>
        </is>
      </c>
      <c r="E653" s="8" t="inlineStr">
        <is>
          <t>107402</t>
        </is>
      </c>
      <c r="F653" s="8" t="inlineStr">
        <is>
          <t>GRAVAMEN LEY 25413 S/DEB</t>
        </is>
      </c>
      <c r="G653" s="8" t="inlineStr">
        <is>
          <t>Anticipo Ganancias Ley 25.413 débitos</t>
        </is>
      </c>
      <c r="H653" s="8" t="inlineStr">
        <is>
          <t>Anticipo Impuesto a las Ganancias</t>
        </is>
      </c>
      <c r="I653" s="9" t="n">
        <v>3.54</v>
      </c>
      <c r="J653" s="9" t="inlineStr"/>
      <c r="K653" s="8" t="inlineStr">
        <is>
          <t>Copiar en Flexxus: Tipo=MB-EXT | Movimiento=GRAVAMEN LEY 25.413 S/DEB | Monto=3,54 | Fecha: 20/04/2026</t>
        </is>
      </c>
    </row>
    <row r="654">
      <c r="A654" s="8" t="inlineStr">
        <is>
          <t>PEND-14DE9D09798E-A001</t>
        </is>
      </c>
      <c r="B654" s="8" t="inlineStr">
        <is>
          <t>ABIERTO_NUEVO</t>
        </is>
      </c>
      <c r="C654" s="8" t="inlineStr">
        <is>
          <t>Banco egreso no Flexxus</t>
        </is>
      </c>
      <c r="D654" s="8" t="inlineStr">
        <is>
          <t>20/04/2026</t>
        </is>
      </c>
      <c r="E654" s="8" t="inlineStr">
        <is>
          <t>107401</t>
        </is>
      </c>
      <c r="F654" s="8" t="inlineStr">
        <is>
          <t>GRAVAMEN LEY 25413 S/DEB</t>
        </is>
      </c>
      <c r="G654" s="8" t="inlineStr">
        <is>
          <t>Anticipo Ganancias Ley 25.413 débitos</t>
        </is>
      </c>
      <c r="H654" s="8" t="inlineStr">
        <is>
          <t>Anticipo Impuesto a las Ganancias</t>
        </is>
      </c>
      <c r="I654" s="9" t="n">
        <v>6.6</v>
      </c>
      <c r="J654" s="9" t="inlineStr"/>
      <c r="K654" s="8" t="inlineStr">
        <is>
          <t>Copiar en Flexxus: Tipo=MB-EXT | Movimiento=GRAVAMEN LEY 25.413 S/DEB | Monto=6,60 | Fecha: 20/04/2026</t>
        </is>
      </c>
    </row>
    <row r="655">
      <c r="A655" s="8" t="inlineStr">
        <is>
          <t>PEND-19E6E30D8A00-A001</t>
        </is>
      </c>
      <c r="B655" s="8" t="inlineStr">
        <is>
          <t>ABIERTO_NUEVO</t>
        </is>
      </c>
      <c r="C655" s="8" t="inlineStr">
        <is>
          <t>Banco egreso no Flexxus</t>
        </is>
      </c>
      <c r="D655" s="8" t="inlineStr">
        <is>
          <t>20/04/2026</t>
        </is>
      </c>
      <c r="E655" s="8" t="inlineStr">
        <is>
          <t>107400</t>
        </is>
      </c>
      <c r="F655" s="8" t="inlineStr">
        <is>
          <t>GRAVAMEN LEY 25413 S/DEB</t>
        </is>
      </c>
      <c r="G655" s="8" t="inlineStr">
        <is>
          <t>Anticipo Ganancias Ley 25.413 débitos</t>
        </is>
      </c>
      <c r="H655" s="8" t="inlineStr">
        <is>
          <t>Anticipo Impuesto a las Ganancias</t>
        </is>
      </c>
      <c r="I655" s="9" t="n">
        <v>3.09</v>
      </c>
      <c r="J655" s="9" t="inlineStr"/>
      <c r="K655" s="8" t="inlineStr">
        <is>
          <t>Copiar en Flexxus: Tipo=MB-EXT | Movimiento=GRAVAMEN LEY 25.413 S/DEB | Monto=3,09 | Fecha: 20/04/2026</t>
        </is>
      </c>
    </row>
    <row r="656">
      <c r="A656" s="8" t="inlineStr">
        <is>
          <t>PEND-F2119D7299EC-A001</t>
        </is>
      </c>
      <c r="B656" s="8" t="inlineStr">
        <is>
          <t>ABIERTO_NUEVO</t>
        </is>
      </c>
      <c r="C656" s="8" t="inlineStr">
        <is>
          <t>Banco egreso no Flexxus</t>
        </is>
      </c>
      <c r="D656" s="8" t="inlineStr">
        <is>
          <t>20/04/2026</t>
        </is>
      </c>
      <c r="E656" s="8" t="inlineStr">
        <is>
          <t>107399</t>
        </is>
      </c>
      <c r="F656" s="8" t="inlineStr">
        <is>
          <t>GRAVAMEN LEY 25413 S/DEB</t>
        </is>
      </c>
      <c r="G656" s="8" t="inlineStr">
        <is>
          <t>Anticipo Ganancias Ley 25.413 débitos</t>
        </is>
      </c>
      <c r="H656" s="8" t="inlineStr">
        <is>
          <t>Anticipo Impuesto a las Ganancias</t>
        </is>
      </c>
      <c r="I656" s="9" t="n">
        <v>3.33</v>
      </c>
      <c r="J656" s="9" t="inlineStr"/>
      <c r="K656" s="8" t="inlineStr">
        <is>
          <t>Copiar en Flexxus: Tipo=MB-EXT | Movimiento=GRAVAMEN LEY 25.413 S/DEB | Monto=3,33 | Fecha: 20/04/2026</t>
        </is>
      </c>
    </row>
    <row r="657">
      <c r="A657" s="8" t="inlineStr">
        <is>
          <t>PEND-3C0C7CE02FCA-A001</t>
        </is>
      </c>
      <c r="B657" s="8" t="inlineStr">
        <is>
          <t>ABIERTO_NUEVO</t>
        </is>
      </c>
      <c r="C657" s="8" t="inlineStr">
        <is>
          <t>Banco egreso no Flexxus</t>
        </is>
      </c>
      <c r="D657" s="8" t="inlineStr">
        <is>
          <t>20/04/2026</t>
        </is>
      </c>
      <c r="E657" s="8" t="inlineStr">
        <is>
          <t>107398</t>
        </is>
      </c>
      <c r="F657" s="8" t="inlineStr">
        <is>
          <t>GRAVAMEN LEY 25413 S/DEB</t>
        </is>
      </c>
      <c r="G657" s="8" t="inlineStr">
        <is>
          <t>Anticipo Ganancias Ley 25.413 débitos</t>
        </is>
      </c>
      <c r="H657" s="8" t="inlineStr">
        <is>
          <t>Anticipo Impuesto a las Ganancias</t>
        </is>
      </c>
      <c r="I657" s="9" t="n">
        <v>1.93</v>
      </c>
      <c r="J657" s="9" t="inlineStr"/>
      <c r="K657" s="8" t="inlineStr">
        <is>
          <t>Copiar en Flexxus: Tipo=MB-EXT | Movimiento=GRAVAMEN LEY 25.413 S/DEB | Monto=1,93 | Fecha: 20/04/2026</t>
        </is>
      </c>
    </row>
    <row r="658">
      <c r="A658" s="8" t="inlineStr">
        <is>
          <t>PEND-5533735260BD-A001</t>
        </is>
      </c>
      <c r="B658" s="8" t="inlineStr">
        <is>
          <t>ABIERTO_NUEVO</t>
        </is>
      </c>
      <c r="C658" s="8" t="inlineStr">
        <is>
          <t>Banco egreso no Flexxus</t>
        </is>
      </c>
      <c r="D658" s="8" t="inlineStr">
        <is>
          <t>20/04/2026</t>
        </is>
      </c>
      <c r="E658" s="8" t="inlineStr">
        <is>
          <t>107397</t>
        </is>
      </c>
      <c r="F658" s="8" t="inlineStr">
        <is>
          <t>GRAVAMEN LEY 25413 S/DEB</t>
        </is>
      </c>
      <c r="G658" s="8" t="inlineStr">
        <is>
          <t>Anticipo Ganancias Ley 25.413 débitos</t>
        </is>
      </c>
      <c r="H658" s="8" t="inlineStr">
        <is>
          <t>Anticipo Impuesto a las Ganancias</t>
        </is>
      </c>
      <c r="I658" s="9" t="n">
        <v>0.5</v>
      </c>
      <c r="J658" s="9" t="inlineStr"/>
      <c r="K658" s="8" t="inlineStr">
        <is>
          <t>Copiar en Flexxus: Tipo=MB-EXT | Movimiento=GRAVAMEN LEY 25.413 S/DEB | Monto=0,50 | Fecha: 20/04/2026</t>
        </is>
      </c>
    </row>
    <row r="659">
      <c r="A659" s="8" t="inlineStr">
        <is>
          <t>PEND-52226E5EB79E-A001</t>
        </is>
      </c>
      <c r="B659" s="8" t="inlineStr">
        <is>
          <t>ABIERTO_NUEVO</t>
        </is>
      </c>
      <c r="C659" s="8" t="inlineStr">
        <is>
          <t>Banco egreso no Flexxus</t>
        </is>
      </c>
      <c r="D659" s="8" t="inlineStr">
        <is>
          <t>20/04/2026</t>
        </is>
      </c>
      <c r="E659" s="8" t="inlineStr">
        <is>
          <t>107396</t>
        </is>
      </c>
      <c r="F659" s="8" t="inlineStr">
        <is>
          <t>GRAVAMEN LEY 25413 S/DEB</t>
        </is>
      </c>
      <c r="G659" s="8" t="inlineStr">
        <is>
          <t>Anticipo Ganancias Ley 25.413 débitos</t>
        </is>
      </c>
      <c r="H659" s="8" t="inlineStr">
        <is>
          <t>Anticipo Impuesto a las Ganancias</t>
        </is>
      </c>
      <c r="I659" s="9" t="n">
        <v>0.8</v>
      </c>
      <c r="J659" s="9" t="inlineStr"/>
      <c r="K659" s="8" t="inlineStr">
        <is>
          <t>Copiar en Flexxus: Tipo=MB-EXT | Movimiento=GRAVAMEN LEY 25.413 S/DEB | Monto=0,80 | Fecha: 20/04/2026</t>
        </is>
      </c>
    </row>
    <row r="660">
      <c r="A660" s="8" t="inlineStr">
        <is>
          <t>PEND-E5E7D1136E82-A001</t>
        </is>
      </c>
      <c r="B660" s="8" t="inlineStr">
        <is>
          <t>ABIERTO_NUEVO</t>
        </is>
      </c>
      <c r="C660" s="8" t="inlineStr">
        <is>
          <t>Banco egreso no Flexxus</t>
        </is>
      </c>
      <c r="D660" s="8" t="inlineStr">
        <is>
          <t>20/04/2026</t>
        </is>
      </c>
      <c r="E660" s="8" t="inlineStr">
        <is>
          <t>107395</t>
        </is>
      </c>
      <c r="F660" s="8" t="inlineStr">
        <is>
          <t>GRAVAMEN LEY 25413 S/DEB</t>
        </is>
      </c>
      <c r="G660" s="8" t="inlineStr">
        <is>
          <t>Anticipo Ganancias Ley 25.413 débitos</t>
        </is>
      </c>
      <c r="H660" s="8" t="inlineStr">
        <is>
          <t>Anticipo Impuesto a las Ganancias</t>
        </is>
      </c>
      <c r="I660" s="9" t="n">
        <v>0.68</v>
      </c>
      <c r="J660" s="9" t="inlineStr"/>
      <c r="K660" s="8" t="inlineStr">
        <is>
          <t>Copiar en Flexxus: Tipo=MB-EXT | Movimiento=GRAVAMEN LEY 25.413 S/DEB | Monto=0,68 | Fecha: 20/04/2026</t>
        </is>
      </c>
    </row>
    <row r="661">
      <c r="A661" s="8" t="inlineStr">
        <is>
          <t>PEND-C5F4157D3E22-A001</t>
        </is>
      </c>
      <c r="B661" s="8" t="inlineStr">
        <is>
          <t>ABIERTO_NUEVO</t>
        </is>
      </c>
      <c r="C661" s="8" t="inlineStr">
        <is>
          <t>Banco egreso no Flexxus</t>
        </is>
      </c>
      <c r="D661" s="8" t="inlineStr">
        <is>
          <t>20/04/2026</t>
        </is>
      </c>
      <c r="E661" s="8" t="inlineStr">
        <is>
          <t>107394</t>
        </is>
      </c>
      <c r="F661" s="8" t="inlineStr">
        <is>
          <t>GRAVAMEN LEY 25413 S/DEB</t>
        </is>
      </c>
      <c r="G661" s="8" t="inlineStr">
        <is>
          <t>Anticipo Ganancias Ley 25.413 débitos</t>
        </is>
      </c>
      <c r="H661" s="8" t="inlineStr">
        <is>
          <t>Anticipo Impuesto a las Ganancias</t>
        </is>
      </c>
      <c r="I661" s="9" t="n">
        <v>2.41</v>
      </c>
      <c r="J661" s="9" t="inlineStr"/>
      <c r="K661" s="8" t="inlineStr">
        <is>
          <t>Copiar en Flexxus: Tipo=MB-EXT | Movimiento=GRAVAMEN LEY 25.413 S/DEB | Monto=2,41 | Fecha: 20/04/2026</t>
        </is>
      </c>
    </row>
    <row r="662">
      <c r="A662" s="8" t="inlineStr">
        <is>
          <t>PEND-D80575D5F8D2-A001</t>
        </is>
      </c>
      <c r="B662" s="8" t="inlineStr">
        <is>
          <t>ABIERTO_NUEVO</t>
        </is>
      </c>
      <c r="C662" s="8" t="inlineStr">
        <is>
          <t>Banco egreso no Flexxus</t>
        </is>
      </c>
      <c r="D662" s="8" t="inlineStr">
        <is>
          <t>20/04/2026</t>
        </is>
      </c>
      <c r="E662" s="8" t="inlineStr">
        <is>
          <t>107393</t>
        </is>
      </c>
      <c r="F662" s="8" t="inlineStr">
        <is>
          <t>GRAVAMEN LEY 25413 S/DEB</t>
        </is>
      </c>
      <c r="G662" s="8" t="inlineStr">
        <is>
          <t>Anticipo Ganancias Ley 25.413 débitos</t>
        </is>
      </c>
      <c r="H662" s="8" t="inlineStr">
        <is>
          <t>Anticipo Impuesto a las Ganancias</t>
        </is>
      </c>
      <c r="I662" s="9" t="n">
        <v>0.41</v>
      </c>
      <c r="J662" s="9" t="inlineStr"/>
      <c r="K662" s="8" t="inlineStr">
        <is>
          <t>Copiar en Flexxus: Tipo=MB-EXT | Movimiento=GRAVAMEN LEY 25.413 S/DEB | Monto=0,41 | Fecha: 20/04/2026</t>
        </is>
      </c>
    </row>
    <row r="663">
      <c r="A663" s="8" t="inlineStr">
        <is>
          <t>PEND-7778C1C42C5C-A001</t>
        </is>
      </c>
      <c r="B663" s="8" t="inlineStr">
        <is>
          <t>ABIERTO_NUEVO</t>
        </is>
      </c>
      <c r="C663" s="8" t="inlineStr">
        <is>
          <t>Banco egreso no Flexxus</t>
        </is>
      </c>
      <c r="D663" s="8" t="inlineStr">
        <is>
          <t>20/04/2026</t>
        </is>
      </c>
      <c r="E663" s="8" t="inlineStr">
        <is>
          <t>107392</t>
        </is>
      </c>
      <c r="F663" s="8" t="inlineStr">
        <is>
          <t>GRAVAMEN LEY 25413 S/DEB</t>
        </is>
      </c>
      <c r="G663" s="8" t="inlineStr">
        <is>
          <t>Anticipo Ganancias Ley 25.413 débitos</t>
        </is>
      </c>
      <c r="H663" s="8" t="inlineStr">
        <is>
          <t>Anticipo Impuesto a las Ganancias</t>
        </is>
      </c>
      <c r="I663" s="9" t="n">
        <v>1.37</v>
      </c>
      <c r="J663" s="9" t="inlineStr"/>
      <c r="K663" s="8" t="inlineStr">
        <is>
          <t>Copiar en Flexxus: Tipo=MB-EXT | Movimiento=GRAVAMEN LEY 25.413 S/DEB | Monto=1,37 | Fecha: 20/04/2026</t>
        </is>
      </c>
    </row>
    <row r="664">
      <c r="A664" s="8" t="inlineStr">
        <is>
          <t>PEND-9293FBFEAF0A-A001</t>
        </is>
      </c>
      <c r="B664" s="8" t="inlineStr">
        <is>
          <t>ABIERTO_NUEVO</t>
        </is>
      </c>
      <c r="C664" s="8" t="inlineStr">
        <is>
          <t>Banco egreso no Flexxus</t>
        </is>
      </c>
      <c r="D664" s="8" t="inlineStr">
        <is>
          <t>20/04/2026</t>
        </is>
      </c>
      <c r="E664" s="8" t="inlineStr">
        <is>
          <t>107391</t>
        </is>
      </c>
      <c r="F664" s="8" t="inlineStr">
        <is>
          <t>GRAVAMEN LEY 25413 S/DEB</t>
        </is>
      </c>
      <c r="G664" s="8" t="inlineStr">
        <is>
          <t>Anticipo Ganancias Ley 25.413 débitos</t>
        </is>
      </c>
      <c r="H664" s="8" t="inlineStr">
        <is>
          <t>Anticipo Impuesto a las Ganancias</t>
        </is>
      </c>
      <c r="I664" s="9" t="n">
        <v>4.27</v>
      </c>
      <c r="J664" s="9" t="inlineStr"/>
      <c r="K664" s="8" t="inlineStr">
        <is>
          <t>Copiar en Flexxus: Tipo=MB-EXT | Movimiento=GRAVAMEN LEY 25.413 S/DEB | Monto=4,27 | Fecha: 20/04/2026</t>
        </is>
      </c>
    </row>
    <row r="665">
      <c r="A665" s="8" t="inlineStr">
        <is>
          <t>PEND-5A1E685A8812-A001</t>
        </is>
      </c>
      <c r="B665" s="8" t="inlineStr">
        <is>
          <t>ABIERTO_NUEVO</t>
        </is>
      </c>
      <c r="C665" s="8" t="inlineStr">
        <is>
          <t>Banco egreso no Flexxus</t>
        </is>
      </c>
      <c r="D665" s="8" t="inlineStr">
        <is>
          <t>20/04/2026</t>
        </is>
      </c>
      <c r="E665" s="8" t="inlineStr">
        <is>
          <t>107390</t>
        </is>
      </c>
      <c r="F665" s="8" t="inlineStr">
        <is>
          <t>GRAVAMEN LEY 25413 S/DEB</t>
        </is>
      </c>
      <c r="G665" s="8" t="inlineStr">
        <is>
          <t>Anticipo Ganancias Ley 25.413 débitos</t>
        </is>
      </c>
      <c r="H665" s="8" t="inlineStr">
        <is>
          <t>Anticipo Impuesto a las Ganancias</t>
        </is>
      </c>
      <c r="I665" s="9" t="n">
        <v>1.37</v>
      </c>
      <c r="J665" s="9" t="inlineStr"/>
      <c r="K665" s="8" t="inlineStr">
        <is>
          <t>Copiar en Flexxus: Tipo=MB-EXT | Movimiento=GRAVAMEN LEY 25.413 S/DEB | Monto=1,37 | Fecha: 20/04/2026</t>
        </is>
      </c>
    </row>
    <row r="666">
      <c r="A666" s="8" t="inlineStr">
        <is>
          <t>PEND-1032A42E1DE9-A001</t>
        </is>
      </c>
      <c r="B666" s="8" t="inlineStr">
        <is>
          <t>ABIERTO_NUEVO</t>
        </is>
      </c>
      <c r="C666" s="8" t="inlineStr">
        <is>
          <t>Banco egreso no Flexxus</t>
        </is>
      </c>
      <c r="D666" s="8" t="inlineStr">
        <is>
          <t>20/04/2026</t>
        </is>
      </c>
      <c r="E666" s="8" t="inlineStr">
        <is>
          <t>107389</t>
        </is>
      </c>
      <c r="F666" s="8" t="inlineStr">
        <is>
          <t>GRAVAMEN LEY 25413 S/DEB</t>
        </is>
      </c>
      <c r="G666" s="8" t="inlineStr">
        <is>
          <t>Anticipo Ganancias Ley 25.413 débitos</t>
        </is>
      </c>
      <c r="H666" s="8" t="inlineStr">
        <is>
          <t>Anticipo Impuesto a las Ganancias</t>
        </is>
      </c>
      <c r="I666" s="9" t="n">
        <v>4.28</v>
      </c>
      <c r="J666" s="9" t="inlineStr"/>
      <c r="K666" s="8" t="inlineStr">
        <is>
          <t>Copiar en Flexxus: Tipo=MB-EXT | Movimiento=GRAVAMEN LEY 25.413 S/DEB | Monto=4,28 | Fecha: 20/04/2026</t>
        </is>
      </c>
    </row>
    <row r="667">
      <c r="A667" s="8" t="inlineStr">
        <is>
          <t>PEND-D181F289FECB-A001</t>
        </is>
      </c>
      <c r="B667" s="8" t="inlineStr">
        <is>
          <t>ABIERTO_NUEVO</t>
        </is>
      </c>
      <c r="C667" s="8" t="inlineStr">
        <is>
          <t>Banco egreso no Flexxus</t>
        </is>
      </c>
      <c r="D667" s="8" t="inlineStr">
        <is>
          <t>20/04/2026</t>
        </is>
      </c>
      <c r="E667" s="8" t="inlineStr">
        <is>
          <t>107388</t>
        </is>
      </c>
      <c r="F667" s="8" t="inlineStr">
        <is>
          <t>GRAVAMEN LEY 25413 S/DEB</t>
        </is>
      </c>
      <c r="G667" s="8" t="inlineStr">
        <is>
          <t>Anticipo Ganancias Ley 25.413 débitos</t>
        </is>
      </c>
      <c r="H667" s="8" t="inlineStr">
        <is>
          <t>Anticipo Impuesto a las Ganancias</t>
        </is>
      </c>
      <c r="I667" s="9" t="n">
        <v>2.48</v>
      </c>
      <c r="J667" s="9" t="inlineStr"/>
      <c r="K667" s="8" t="inlineStr">
        <is>
          <t>Copiar en Flexxus: Tipo=MB-EXT | Movimiento=GRAVAMEN LEY 25.413 S/DEB | Monto=2,48 | Fecha: 20/04/2026</t>
        </is>
      </c>
    </row>
    <row r="668">
      <c r="A668" s="8" t="inlineStr">
        <is>
          <t>PEND-4BC919935204-A001</t>
        </is>
      </c>
      <c r="B668" s="8" t="inlineStr">
        <is>
          <t>ABIERTO_NUEVO</t>
        </is>
      </c>
      <c r="C668" s="8" t="inlineStr">
        <is>
          <t>Banco egreso no Flexxus</t>
        </is>
      </c>
      <c r="D668" s="8" t="inlineStr">
        <is>
          <t>20/04/2026</t>
        </is>
      </c>
      <c r="E668" s="8" t="inlineStr">
        <is>
          <t>107387</t>
        </is>
      </c>
      <c r="F668" s="8" t="inlineStr">
        <is>
          <t>GRAVAMEN LEY 25413 S/DEB</t>
        </is>
      </c>
      <c r="G668" s="8" t="inlineStr">
        <is>
          <t>Anticipo Ganancias Ley 25.413 débitos</t>
        </is>
      </c>
      <c r="H668" s="8" t="inlineStr">
        <is>
          <t>Anticipo Impuesto a las Ganancias</t>
        </is>
      </c>
      <c r="I668" s="9" t="n">
        <v>0.5</v>
      </c>
      <c r="J668" s="9" t="inlineStr"/>
      <c r="K668" s="8" t="inlineStr">
        <is>
          <t>Copiar en Flexxus: Tipo=MB-EXT | Movimiento=GRAVAMEN LEY 25.413 S/DEB | Monto=0,50 | Fecha: 20/04/2026</t>
        </is>
      </c>
    </row>
    <row r="669">
      <c r="A669" s="8" t="inlineStr">
        <is>
          <t>PEND-E598FF30C1E6-A001</t>
        </is>
      </c>
      <c r="B669" s="8" t="inlineStr">
        <is>
          <t>ABIERTO_NUEVO</t>
        </is>
      </c>
      <c r="C669" s="8" t="inlineStr">
        <is>
          <t>Banco egreso no Flexxus</t>
        </is>
      </c>
      <c r="D669" s="8" t="inlineStr">
        <is>
          <t>20/04/2026</t>
        </is>
      </c>
      <c r="E669" s="8" t="inlineStr">
        <is>
          <t>107386</t>
        </is>
      </c>
      <c r="F669" s="8" t="inlineStr">
        <is>
          <t>GRAVAMEN LEY 25413 S/DEB</t>
        </is>
      </c>
      <c r="G669" s="8" t="inlineStr">
        <is>
          <t>Anticipo Ganancias Ley 25.413 débitos</t>
        </is>
      </c>
      <c r="H669" s="8" t="inlineStr">
        <is>
          <t>Anticipo Impuesto a las Ganancias</t>
        </is>
      </c>
      <c r="I669" s="9" t="n">
        <v>1.89</v>
      </c>
      <c r="J669" s="9" t="inlineStr"/>
      <c r="K669" s="8" t="inlineStr">
        <is>
          <t>Copiar en Flexxus: Tipo=MB-EXT | Movimiento=GRAVAMEN LEY 25.413 S/DEB | Monto=1,89 | Fecha: 20/04/2026</t>
        </is>
      </c>
    </row>
    <row r="670">
      <c r="A670" s="8" t="inlineStr">
        <is>
          <t>PEND-EDA60D9B3E65-A001</t>
        </is>
      </c>
      <c r="B670" s="8" t="inlineStr">
        <is>
          <t>ABIERTO_NUEVO</t>
        </is>
      </c>
      <c r="C670" s="8" t="inlineStr">
        <is>
          <t>Banco egreso no Flexxus</t>
        </is>
      </c>
      <c r="D670" s="8" t="inlineStr">
        <is>
          <t>20/04/2026</t>
        </is>
      </c>
      <c r="E670" s="8" t="inlineStr">
        <is>
          <t>107385</t>
        </is>
      </c>
      <c r="F670" s="8" t="inlineStr">
        <is>
          <t>GRAVAMEN LEY 25413 S/DEB</t>
        </is>
      </c>
      <c r="G670" s="8" t="inlineStr">
        <is>
          <t>Anticipo Ganancias Ley 25.413 débitos</t>
        </is>
      </c>
      <c r="H670" s="8" t="inlineStr">
        <is>
          <t>Anticipo Impuesto a las Ganancias</t>
        </is>
      </c>
      <c r="I670" s="9" t="n">
        <v>1.49</v>
      </c>
      <c r="J670" s="9" t="inlineStr"/>
      <c r="K670" s="8" t="inlineStr">
        <is>
          <t>Copiar en Flexxus: Tipo=MB-EXT | Movimiento=GRAVAMEN LEY 25.413 S/DEB | Monto=1,49 | Fecha: 20/04/2026</t>
        </is>
      </c>
    </row>
    <row r="671">
      <c r="A671" s="8" t="inlineStr">
        <is>
          <t>PEND-921DE578207B-A001</t>
        </is>
      </c>
      <c r="B671" s="8" t="inlineStr">
        <is>
          <t>ABIERTO_NUEVO</t>
        </is>
      </c>
      <c r="C671" s="8" t="inlineStr">
        <is>
          <t>Banco egreso no Flexxus</t>
        </is>
      </c>
      <c r="D671" s="8" t="inlineStr">
        <is>
          <t>20/04/2026</t>
        </is>
      </c>
      <c r="E671" s="8" t="inlineStr">
        <is>
          <t>107384</t>
        </is>
      </c>
      <c r="F671" s="8" t="inlineStr">
        <is>
          <t>GRAVAMEN LEY 25413 S/DEB</t>
        </is>
      </c>
      <c r="G671" s="8" t="inlineStr">
        <is>
          <t>Anticipo Ganancias Ley 25.413 débitos</t>
        </is>
      </c>
      <c r="H671" s="8" t="inlineStr">
        <is>
          <t>Anticipo Impuesto a las Ganancias</t>
        </is>
      </c>
      <c r="I671" s="9" t="n">
        <v>1.6</v>
      </c>
      <c r="J671" s="9" t="inlineStr"/>
      <c r="K671" s="8" t="inlineStr">
        <is>
          <t>Copiar en Flexxus: Tipo=MB-EXT | Movimiento=GRAVAMEN LEY 25.413 S/DEB | Monto=1,60 | Fecha: 20/04/2026</t>
        </is>
      </c>
    </row>
    <row r="672">
      <c r="A672" s="8" t="inlineStr">
        <is>
          <t>PEND-6C7A17300CDB-A001</t>
        </is>
      </c>
      <c r="B672" s="8" t="inlineStr">
        <is>
          <t>ABIERTO_NUEVO</t>
        </is>
      </c>
      <c r="C672" s="8" t="inlineStr">
        <is>
          <t>Banco egreso no Flexxus</t>
        </is>
      </c>
      <c r="D672" s="8" t="inlineStr">
        <is>
          <t>20/04/2026</t>
        </is>
      </c>
      <c r="E672" s="8" t="inlineStr">
        <is>
          <t>107383</t>
        </is>
      </c>
      <c r="F672" s="8" t="inlineStr">
        <is>
          <t>GRAVAMEN LEY 25413 S/DEB</t>
        </is>
      </c>
      <c r="G672" s="8" t="inlineStr">
        <is>
          <t>Anticipo Ganancias Ley 25.413 débitos</t>
        </is>
      </c>
      <c r="H672" s="8" t="inlineStr">
        <is>
          <t>Anticipo Impuesto a las Ganancias</t>
        </is>
      </c>
      <c r="I672" s="9" t="n">
        <v>0.46</v>
      </c>
      <c r="J672" s="9" t="inlineStr"/>
      <c r="K672" s="8" t="inlineStr">
        <is>
          <t>Copiar en Flexxus: Tipo=MB-EXT | Movimiento=GRAVAMEN LEY 25.413 S/DEB | Monto=0,46 | Fecha: 20/04/2026</t>
        </is>
      </c>
    </row>
    <row r="673">
      <c r="A673" s="8" t="inlineStr">
        <is>
          <t>PEND-F29C17797319-A001</t>
        </is>
      </c>
      <c r="B673" s="8" t="inlineStr">
        <is>
          <t>ABIERTO_NUEVO</t>
        </is>
      </c>
      <c r="C673" s="8" t="inlineStr">
        <is>
          <t>Banco egreso no Flexxus</t>
        </is>
      </c>
      <c r="D673" s="8" t="inlineStr">
        <is>
          <t>20/04/2026</t>
        </is>
      </c>
      <c r="E673" s="8" t="inlineStr">
        <is>
          <t>107382</t>
        </is>
      </c>
      <c r="F673" s="8" t="inlineStr">
        <is>
          <t>GRAVAMEN LEY 25413 S/DEB</t>
        </is>
      </c>
      <c r="G673" s="8" t="inlineStr">
        <is>
          <t>Anticipo Ganancias Ley 25.413 débitos</t>
        </is>
      </c>
      <c r="H673" s="8" t="inlineStr">
        <is>
          <t>Anticipo Impuesto a las Ganancias</t>
        </is>
      </c>
      <c r="I673" s="9" t="n">
        <v>1.6</v>
      </c>
      <c r="J673" s="9" t="inlineStr"/>
      <c r="K673" s="8" t="inlineStr">
        <is>
          <t>Copiar en Flexxus: Tipo=MB-EXT | Movimiento=GRAVAMEN LEY 25.413 S/DEB | Monto=1,60 | Fecha: 20/04/2026</t>
        </is>
      </c>
    </row>
    <row r="674">
      <c r="A674" s="8" t="inlineStr">
        <is>
          <t>PEND-C7DA0B9C3B6C-A001</t>
        </is>
      </c>
      <c r="B674" s="8" t="inlineStr">
        <is>
          <t>ABIERTO_NUEVO</t>
        </is>
      </c>
      <c r="C674" s="8" t="inlineStr">
        <is>
          <t>Banco egreso no Flexxus</t>
        </is>
      </c>
      <c r="D674" s="8" t="inlineStr">
        <is>
          <t>20/04/2026</t>
        </is>
      </c>
      <c r="E674" s="8" t="inlineStr">
        <is>
          <t>107381</t>
        </is>
      </c>
      <c r="F674" s="8" t="inlineStr">
        <is>
          <t>GRAVAMEN LEY 25413 S/DEB</t>
        </is>
      </c>
      <c r="G674" s="8" t="inlineStr">
        <is>
          <t>Anticipo Ganancias Ley 25.413 débitos</t>
        </is>
      </c>
      <c r="H674" s="8" t="inlineStr">
        <is>
          <t>Anticipo Impuesto a las Ganancias</t>
        </is>
      </c>
      <c r="I674" s="9" t="n">
        <v>1.6</v>
      </c>
      <c r="J674" s="9" t="inlineStr"/>
      <c r="K674" s="8" t="inlineStr">
        <is>
          <t>Copiar en Flexxus: Tipo=MB-EXT | Movimiento=GRAVAMEN LEY 25.413 S/DEB | Monto=1,60 | Fecha: 20/04/2026</t>
        </is>
      </c>
    </row>
    <row r="675">
      <c r="A675" s="8" t="inlineStr">
        <is>
          <t>PEND-C66823785A19-A001</t>
        </is>
      </c>
      <c r="B675" s="8" t="inlineStr">
        <is>
          <t>ABIERTO_NUEVO</t>
        </is>
      </c>
      <c r="C675" s="8" t="inlineStr">
        <is>
          <t>Banco egreso no Flexxus</t>
        </is>
      </c>
      <c r="D675" s="8" t="inlineStr">
        <is>
          <t>20/04/2026</t>
        </is>
      </c>
      <c r="E675" s="8" t="inlineStr">
        <is>
          <t>107380</t>
        </is>
      </c>
      <c r="F675" s="8" t="inlineStr">
        <is>
          <t>GRAVAMEN LEY 25413 S/DEB</t>
        </is>
      </c>
      <c r="G675" s="8" t="inlineStr">
        <is>
          <t>Anticipo Ganancias Ley 25.413 débitos</t>
        </is>
      </c>
      <c r="H675" s="8" t="inlineStr">
        <is>
          <t>Anticipo Impuesto a las Ganancias</t>
        </is>
      </c>
      <c r="I675" s="9" t="n">
        <v>1.6</v>
      </c>
      <c r="J675" s="9" t="inlineStr"/>
      <c r="K675" s="8" t="inlineStr">
        <is>
          <t>Copiar en Flexxus: Tipo=MB-EXT | Movimiento=GRAVAMEN LEY 25.413 S/DEB | Monto=1,60 | Fecha: 20/04/2026</t>
        </is>
      </c>
    </row>
    <row r="676">
      <c r="A676" s="8" t="inlineStr">
        <is>
          <t>PEND-9837FD9F0AB3-A001</t>
        </is>
      </c>
      <c r="B676" s="8" t="inlineStr">
        <is>
          <t>ABIERTO_NUEVO</t>
        </is>
      </c>
      <c r="C676" s="8" t="inlineStr">
        <is>
          <t>Banco egreso no Flexxus</t>
        </is>
      </c>
      <c r="D676" s="8" t="inlineStr">
        <is>
          <t>20/04/2026</t>
        </is>
      </c>
      <c r="E676" s="8" t="inlineStr">
        <is>
          <t>107379</t>
        </is>
      </c>
      <c r="F676" s="8" t="inlineStr">
        <is>
          <t>GRAVAMEN LEY 25413 S/DEB</t>
        </is>
      </c>
      <c r="G676" s="8" t="inlineStr">
        <is>
          <t>Anticipo Ganancias Ley 25.413 débitos</t>
        </is>
      </c>
      <c r="H676" s="8" t="inlineStr">
        <is>
          <t>Anticipo Impuesto a las Ganancias</t>
        </is>
      </c>
      <c r="I676" s="9" t="n">
        <v>0.68</v>
      </c>
      <c r="J676" s="9" t="inlineStr"/>
      <c r="K676" s="8" t="inlineStr">
        <is>
          <t>Copiar en Flexxus: Tipo=MB-EXT | Movimiento=GRAVAMEN LEY 25.413 S/DEB | Monto=0,68 | Fecha: 20/04/2026</t>
        </is>
      </c>
    </row>
    <row r="677">
      <c r="A677" s="8" t="inlineStr">
        <is>
          <t>PEND-12B5CF50198F-A001</t>
        </is>
      </c>
      <c r="B677" s="8" t="inlineStr">
        <is>
          <t>ABIERTO_NUEVO</t>
        </is>
      </c>
      <c r="C677" s="8" t="inlineStr">
        <is>
          <t>Banco egreso no Flexxus</t>
        </is>
      </c>
      <c r="D677" s="8" t="inlineStr">
        <is>
          <t>20/04/2026</t>
        </is>
      </c>
      <c r="E677" s="8" t="inlineStr">
        <is>
          <t>107378</t>
        </is>
      </c>
      <c r="F677" s="8" t="inlineStr">
        <is>
          <t>GRAVAMEN LEY 25413 S/DEB</t>
        </is>
      </c>
      <c r="G677" s="8" t="inlineStr">
        <is>
          <t>Anticipo Ganancias Ley 25.413 débitos</t>
        </is>
      </c>
      <c r="H677" s="8" t="inlineStr">
        <is>
          <t>Anticipo Impuesto a las Ganancias</t>
        </is>
      </c>
      <c r="I677" s="9" t="n">
        <v>1.58</v>
      </c>
      <c r="J677" s="9" t="inlineStr"/>
      <c r="K677" s="8" t="inlineStr">
        <is>
          <t>Copiar en Flexxus: Tipo=MB-EXT | Movimiento=GRAVAMEN LEY 25.413 S/DEB | Monto=1,58 | Fecha: 20/04/2026</t>
        </is>
      </c>
    </row>
    <row r="678">
      <c r="A678" s="8" t="inlineStr">
        <is>
          <t>PEND-7F0A248BA48E-A001</t>
        </is>
      </c>
      <c r="B678" s="8" t="inlineStr">
        <is>
          <t>ABIERTO_NUEVO</t>
        </is>
      </c>
      <c r="C678" s="8" t="inlineStr">
        <is>
          <t>Banco egreso no Flexxus</t>
        </is>
      </c>
      <c r="D678" s="8" t="inlineStr">
        <is>
          <t>20/04/2026</t>
        </is>
      </c>
      <c r="E678" s="8" t="inlineStr">
        <is>
          <t>107377</t>
        </is>
      </c>
      <c r="F678" s="8" t="inlineStr">
        <is>
          <t>GRAVAMEN LEY 25413 S/DEB</t>
        </is>
      </c>
      <c r="G678" s="8" t="inlineStr">
        <is>
          <t>Anticipo Ganancias Ley 25.413 débitos</t>
        </is>
      </c>
      <c r="H678" s="8" t="inlineStr">
        <is>
          <t>Anticipo Impuesto a las Ganancias</t>
        </is>
      </c>
      <c r="I678" s="9" t="n">
        <v>1.6</v>
      </c>
      <c r="J678" s="9" t="inlineStr"/>
      <c r="K678" s="8" t="inlineStr">
        <is>
          <t>Copiar en Flexxus: Tipo=MB-EXT | Movimiento=GRAVAMEN LEY 25.413 S/DEB | Monto=1,60 | Fecha: 20/04/2026</t>
        </is>
      </c>
    </row>
    <row r="679">
      <c r="A679" s="8" t="inlineStr">
        <is>
          <t>PEND-A1B02652A436-A001</t>
        </is>
      </c>
      <c r="B679" s="8" t="inlineStr">
        <is>
          <t>ABIERTO_NUEVO</t>
        </is>
      </c>
      <c r="C679" s="8" t="inlineStr">
        <is>
          <t>Banco egreso no Flexxus</t>
        </is>
      </c>
      <c r="D679" s="8" t="inlineStr">
        <is>
          <t>20/04/2026</t>
        </is>
      </c>
      <c r="E679" s="8" t="inlineStr">
        <is>
          <t>107376</t>
        </is>
      </c>
      <c r="F679" s="8" t="inlineStr">
        <is>
          <t>GRAVAMEN LEY 25413 S/DEB</t>
        </is>
      </c>
      <c r="G679" s="8" t="inlineStr">
        <is>
          <t>Anticipo Ganancias Ley 25.413 débitos</t>
        </is>
      </c>
      <c r="H679" s="8" t="inlineStr">
        <is>
          <t>Anticipo Impuesto a las Ganancias</t>
        </is>
      </c>
      <c r="I679" s="9" t="n">
        <v>4.18</v>
      </c>
      <c r="J679" s="9" t="inlineStr"/>
      <c r="K679" s="8" t="inlineStr">
        <is>
          <t>Copiar en Flexxus: Tipo=MB-EXT | Movimiento=GRAVAMEN LEY 25.413 S/DEB | Monto=4,18 | Fecha: 20/04/2026</t>
        </is>
      </c>
    </row>
    <row r="680">
      <c r="A680" s="8" t="inlineStr">
        <is>
          <t>PEND-C15F8E7C01A5-A001</t>
        </is>
      </c>
      <c r="B680" s="8" t="inlineStr">
        <is>
          <t>ABIERTO_NUEVO</t>
        </is>
      </c>
      <c r="C680" s="8" t="inlineStr">
        <is>
          <t>Banco egreso no Flexxus</t>
        </is>
      </c>
      <c r="D680" s="8" t="inlineStr">
        <is>
          <t>20/04/2026</t>
        </is>
      </c>
      <c r="E680" s="8" t="inlineStr">
        <is>
          <t>107375</t>
        </is>
      </c>
      <c r="F680" s="8" t="inlineStr">
        <is>
          <t>GRAVAMEN LEY 25413 S/DEB</t>
        </is>
      </c>
      <c r="G680" s="8" t="inlineStr">
        <is>
          <t>Anticipo Ganancias Ley 25.413 débitos</t>
        </is>
      </c>
      <c r="H680" s="8" t="inlineStr">
        <is>
          <t>Anticipo Impuesto a las Ganancias</t>
        </is>
      </c>
      <c r="I680" s="9" t="n">
        <v>1.93</v>
      </c>
      <c r="J680" s="9" t="inlineStr"/>
      <c r="K680" s="8" t="inlineStr">
        <is>
          <t>Copiar en Flexxus: Tipo=MB-EXT | Movimiento=GRAVAMEN LEY 25.413 S/DEB | Monto=1,93 | Fecha: 20/04/2026</t>
        </is>
      </c>
    </row>
    <row r="681">
      <c r="A681" s="8" t="inlineStr">
        <is>
          <t>PEND-E13E730029D7-A001</t>
        </is>
      </c>
      <c r="B681" s="8" t="inlineStr">
        <is>
          <t>ABIERTO_NUEVO</t>
        </is>
      </c>
      <c r="C681" s="8" t="inlineStr">
        <is>
          <t>Banco egreso no Flexxus</t>
        </is>
      </c>
      <c r="D681" s="8" t="inlineStr">
        <is>
          <t>20/04/2026</t>
        </is>
      </c>
      <c r="E681" s="8" t="inlineStr">
        <is>
          <t>107374</t>
        </is>
      </c>
      <c r="F681" s="8" t="inlineStr">
        <is>
          <t>GRAVAMEN LEY 25413 S/DEB</t>
        </is>
      </c>
      <c r="G681" s="8" t="inlineStr">
        <is>
          <t>Anticipo Ganancias Ley 25.413 débitos</t>
        </is>
      </c>
      <c r="H681" s="8" t="inlineStr">
        <is>
          <t>Anticipo Impuesto a las Ganancias</t>
        </is>
      </c>
      <c r="I681" s="9" t="n">
        <v>0.68</v>
      </c>
      <c r="J681" s="9" t="inlineStr"/>
      <c r="K681" s="8" t="inlineStr">
        <is>
          <t>Copiar en Flexxus: Tipo=MB-EXT | Movimiento=GRAVAMEN LEY 25.413 S/DEB | Monto=0,68 | Fecha: 20/04/2026</t>
        </is>
      </c>
    </row>
    <row r="682">
      <c r="A682" s="8" t="inlineStr">
        <is>
          <t>PEND-5BC355694917-A001</t>
        </is>
      </c>
      <c r="B682" s="8" t="inlineStr">
        <is>
          <t>ABIERTO_NUEVO</t>
        </is>
      </c>
      <c r="C682" s="8" t="inlineStr">
        <is>
          <t>Banco egreso no Flexxus</t>
        </is>
      </c>
      <c r="D682" s="8" t="inlineStr">
        <is>
          <t>20/04/2026</t>
        </is>
      </c>
      <c r="E682" s="8" t="inlineStr">
        <is>
          <t>107373</t>
        </is>
      </c>
      <c r="F682" s="8" t="inlineStr">
        <is>
          <t>GRAVAMEN LEY 25413 S/DEB</t>
        </is>
      </c>
      <c r="G682" s="8" t="inlineStr">
        <is>
          <t>Anticipo Ganancias Ley 25.413 débitos</t>
        </is>
      </c>
      <c r="H682" s="8" t="inlineStr">
        <is>
          <t>Anticipo Impuesto a las Ganancias</t>
        </is>
      </c>
      <c r="I682" s="9" t="n">
        <v>3.62</v>
      </c>
      <c r="J682" s="9" t="inlineStr"/>
      <c r="K682" s="8" t="inlineStr">
        <is>
          <t>Copiar en Flexxus: Tipo=MB-EXT | Movimiento=GRAVAMEN LEY 25.413 S/DEB | Monto=3,62 | Fecha: 20/04/2026</t>
        </is>
      </c>
    </row>
    <row r="683">
      <c r="A683" s="8" t="inlineStr">
        <is>
          <t>PEND-35849163CE64-A001</t>
        </is>
      </c>
      <c r="B683" s="8" t="inlineStr">
        <is>
          <t>ABIERTO_NUEVO</t>
        </is>
      </c>
      <c r="C683" s="8" t="inlineStr">
        <is>
          <t>Banco egreso no Flexxus</t>
        </is>
      </c>
      <c r="D683" s="8" t="inlineStr">
        <is>
          <t>20/04/2026</t>
        </is>
      </c>
      <c r="E683" s="8" t="inlineStr">
        <is>
          <t>107372</t>
        </is>
      </c>
      <c r="F683" s="8" t="inlineStr">
        <is>
          <t>GRAVAMEN LEY 25413 S/DEB</t>
        </is>
      </c>
      <c r="G683" s="8" t="inlineStr">
        <is>
          <t>Anticipo Ganancias Ley 25.413 débitos</t>
        </is>
      </c>
      <c r="H683" s="8" t="inlineStr">
        <is>
          <t>Anticipo Impuesto a las Ganancias</t>
        </is>
      </c>
      <c r="I683" s="9" t="n">
        <v>1.98</v>
      </c>
      <c r="J683" s="9" t="inlineStr"/>
      <c r="K683" s="8" t="inlineStr">
        <is>
          <t>Copiar en Flexxus: Tipo=MB-EXT | Movimiento=GRAVAMEN LEY 25.413 S/DEB | Monto=1,98 | Fecha: 20/04/2026</t>
        </is>
      </c>
    </row>
    <row r="684">
      <c r="A684" s="8" t="inlineStr">
        <is>
          <t>PEND-C7634D1DB61F-A001</t>
        </is>
      </c>
      <c r="B684" s="8" t="inlineStr">
        <is>
          <t>ABIERTO_NUEVO</t>
        </is>
      </c>
      <c r="C684" s="8" t="inlineStr">
        <is>
          <t>Banco egreso no Flexxus</t>
        </is>
      </c>
      <c r="D684" s="8" t="inlineStr">
        <is>
          <t>20/04/2026</t>
        </is>
      </c>
      <c r="E684" s="8" t="inlineStr">
        <is>
          <t>107371</t>
        </is>
      </c>
      <c r="F684" s="8" t="inlineStr">
        <is>
          <t>GRAVAMEN LEY 25413 S/DEB</t>
        </is>
      </c>
      <c r="G684" s="8" t="inlineStr">
        <is>
          <t>Anticipo Ganancias Ley 25.413 débitos</t>
        </is>
      </c>
      <c r="H684" s="8" t="inlineStr">
        <is>
          <t>Anticipo Impuesto a las Ganancias</t>
        </is>
      </c>
      <c r="I684" s="9" t="n">
        <v>0.96</v>
      </c>
      <c r="J684" s="9" t="inlineStr"/>
      <c r="K684" s="8" t="inlineStr">
        <is>
          <t>Copiar en Flexxus: Tipo=MB-EXT | Movimiento=GRAVAMEN LEY 25.413 S/DEB | Monto=0,96 | Fecha: 20/04/2026</t>
        </is>
      </c>
    </row>
    <row r="685">
      <c r="A685" s="8" t="inlineStr">
        <is>
          <t>PEND-DA04A2E646E2-A001</t>
        </is>
      </c>
      <c r="B685" s="8" t="inlineStr">
        <is>
          <t>ABIERTO_NUEVO</t>
        </is>
      </c>
      <c r="C685" s="8" t="inlineStr">
        <is>
          <t>Banco egreso no Flexxus</t>
        </is>
      </c>
      <c r="D685" s="8" t="inlineStr">
        <is>
          <t>20/04/2026</t>
        </is>
      </c>
      <c r="E685" s="8" t="inlineStr">
        <is>
          <t>107370</t>
        </is>
      </c>
      <c r="F685" s="8" t="inlineStr">
        <is>
          <t>GRAVAMEN LEY 25413 S/DEB</t>
        </is>
      </c>
      <c r="G685" s="8" t="inlineStr">
        <is>
          <t>Anticipo Ganancias Ley 25.413 débitos</t>
        </is>
      </c>
      <c r="H685" s="8" t="inlineStr">
        <is>
          <t>Anticipo Impuesto a las Ganancias</t>
        </is>
      </c>
      <c r="I685" s="9" t="n">
        <v>0.46</v>
      </c>
      <c r="J685" s="9" t="inlineStr"/>
      <c r="K685" s="8" t="inlineStr">
        <is>
          <t>Copiar en Flexxus: Tipo=MB-EXT | Movimiento=GRAVAMEN LEY 25.413 S/DEB | Monto=0,46 | Fecha: 20/04/2026</t>
        </is>
      </c>
    </row>
    <row r="686">
      <c r="A686" s="8" t="inlineStr">
        <is>
          <t>PEND-C60FC6EC0216-A001</t>
        </is>
      </c>
      <c r="B686" s="8" t="inlineStr">
        <is>
          <t>ABIERTO_NUEVO</t>
        </is>
      </c>
      <c r="C686" s="8" t="inlineStr">
        <is>
          <t>Banco egreso no Flexxus</t>
        </is>
      </c>
      <c r="D686" s="8" t="inlineStr">
        <is>
          <t>20/04/2026</t>
        </is>
      </c>
      <c r="E686" s="8" t="inlineStr">
        <is>
          <t>107369</t>
        </is>
      </c>
      <c r="F686" s="8" t="inlineStr">
        <is>
          <t>GRAVAMEN LEY 25413 S/DEB</t>
        </is>
      </c>
      <c r="G686" s="8" t="inlineStr">
        <is>
          <t>Anticipo Ganancias Ley 25.413 débitos</t>
        </is>
      </c>
      <c r="H686" s="8" t="inlineStr">
        <is>
          <t>Anticipo Impuesto a las Ganancias</t>
        </is>
      </c>
      <c r="I686" s="9" t="n">
        <v>1.4</v>
      </c>
      <c r="J686" s="9" t="inlineStr"/>
      <c r="K686" s="8" t="inlineStr">
        <is>
          <t>Copiar en Flexxus: Tipo=MB-EXT | Movimiento=GRAVAMEN LEY 25.413 S/DEB | Monto=1,40 | Fecha: 20/04/2026</t>
        </is>
      </c>
    </row>
    <row r="687">
      <c r="A687" s="8" t="inlineStr">
        <is>
          <t>PEND-0FE5AFF2ACF5-A001</t>
        </is>
      </c>
      <c r="B687" s="8" t="inlineStr">
        <is>
          <t>ABIERTO_NUEVO</t>
        </is>
      </c>
      <c r="C687" s="8" t="inlineStr">
        <is>
          <t>Banco egreso no Flexxus</t>
        </is>
      </c>
      <c r="D687" s="8" t="inlineStr">
        <is>
          <t>20/04/2026</t>
        </is>
      </c>
      <c r="E687" s="8" t="inlineStr">
        <is>
          <t>107368</t>
        </is>
      </c>
      <c r="F687" s="8" t="inlineStr">
        <is>
          <t>GRAVAMEN LEY 25413 S/DEB</t>
        </is>
      </c>
      <c r="G687" s="8" t="inlineStr">
        <is>
          <t>Anticipo Ganancias Ley 25.413 débitos</t>
        </is>
      </c>
      <c r="H687" s="8" t="inlineStr">
        <is>
          <t>Anticipo Impuesto a las Ganancias</t>
        </is>
      </c>
      <c r="I687" s="9" t="n">
        <v>1.64</v>
      </c>
      <c r="J687" s="9" t="inlineStr"/>
      <c r="K687" s="8" t="inlineStr">
        <is>
          <t>Copiar en Flexxus: Tipo=MB-EXT | Movimiento=GRAVAMEN LEY 25.413 S/DEB | Monto=1,64 | Fecha: 20/04/2026</t>
        </is>
      </c>
    </row>
    <row r="688">
      <c r="A688" s="8" t="inlineStr">
        <is>
          <t>PEND-6A553E95F7CC-A001</t>
        </is>
      </c>
      <c r="B688" s="8" t="inlineStr">
        <is>
          <t>ABIERTO_NUEVO</t>
        </is>
      </c>
      <c r="C688" s="8" t="inlineStr">
        <is>
          <t>Banco egreso no Flexxus</t>
        </is>
      </c>
      <c r="D688" s="8" t="inlineStr">
        <is>
          <t>20/04/2026</t>
        </is>
      </c>
      <c r="E688" s="8" t="inlineStr">
        <is>
          <t>107367</t>
        </is>
      </c>
      <c r="F688" s="8" t="inlineStr">
        <is>
          <t>GRAVAMEN LEY 25413 S/DEB</t>
        </is>
      </c>
      <c r="G688" s="8" t="inlineStr">
        <is>
          <t>Anticipo Ganancias Ley 25.413 débitos</t>
        </is>
      </c>
      <c r="H688" s="8" t="inlineStr">
        <is>
          <t>Anticipo Impuesto a las Ganancias</t>
        </is>
      </c>
      <c r="I688" s="9" t="n">
        <v>2.89</v>
      </c>
      <c r="J688" s="9" t="inlineStr"/>
      <c r="K688" s="8" t="inlineStr">
        <is>
          <t>Copiar en Flexxus: Tipo=MB-EXT | Movimiento=GRAVAMEN LEY 25.413 S/DEB | Monto=2,89 | Fecha: 20/04/2026</t>
        </is>
      </c>
    </row>
    <row r="689">
      <c r="A689" s="8" t="inlineStr">
        <is>
          <t>PEND-BE5DCD700A65-A001</t>
        </is>
      </c>
      <c r="B689" s="8" t="inlineStr">
        <is>
          <t>ABIERTO_NUEVO</t>
        </is>
      </c>
      <c r="C689" s="8" t="inlineStr">
        <is>
          <t>Banco egreso no Flexxus</t>
        </is>
      </c>
      <c r="D689" s="8" t="inlineStr">
        <is>
          <t>20/04/2026</t>
        </is>
      </c>
      <c r="E689" s="8" t="inlineStr">
        <is>
          <t>107366</t>
        </is>
      </c>
      <c r="F689" s="8" t="inlineStr">
        <is>
          <t>GRAVAMEN LEY 25413 S/DEB</t>
        </is>
      </c>
      <c r="G689" s="8" t="inlineStr">
        <is>
          <t>Anticipo Ganancias Ley 25.413 débitos</t>
        </is>
      </c>
      <c r="H689" s="8" t="inlineStr">
        <is>
          <t>Anticipo Impuesto a las Ganancias</t>
        </is>
      </c>
      <c r="I689" s="9" t="n">
        <v>0.68</v>
      </c>
      <c r="J689" s="9" t="inlineStr"/>
      <c r="K689" s="8" t="inlineStr">
        <is>
          <t>Copiar en Flexxus: Tipo=MB-EXT | Movimiento=GRAVAMEN LEY 25.413 S/DEB | Monto=0,68 | Fecha: 20/04/2026</t>
        </is>
      </c>
    </row>
    <row r="690">
      <c r="A690" s="8" t="inlineStr">
        <is>
          <t>PEND-0EA7E2C1077F-A001</t>
        </is>
      </c>
      <c r="B690" s="8" t="inlineStr">
        <is>
          <t>ABIERTO_NUEVO</t>
        </is>
      </c>
      <c r="C690" s="8" t="inlineStr">
        <is>
          <t>Banco egreso no Flexxus</t>
        </is>
      </c>
      <c r="D690" s="8" t="inlineStr">
        <is>
          <t>20/04/2026</t>
        </is>
      </c>
      <c r="E690" s="8" t="inlineStr">
        <is>
          <t>107365</t>
        </is>
      </c>
      <c r="F690" s="8" t="inlineStr">
        <is>
          <t>GRAVAMEN LEY 25413 S/DEB</t>
        </is>
      </c>
      <c r="G690" s="8" t="inlineStr">
        <is>
          <t>Anticipo Ganancias Ley 25.413 débitos</t>
        </is>
      </c>
      <c r="H690" s="8" t="inlineStr">
        <is>
          <t>Anticipo Impuesto a las Ganancias</t>
        </is>
      </c>
      <c r="I690" s="9" t="n">
        <v>2.44</v>
      </c>
      <c r="J690" s="9" t="inlineStr"/>
      <c r="K690" s="8" t="inlineStr">
        <is>
          <t>Copiar en Flexxus: Tipo=MB-EXT | Movimiento=GRAVAMEN LEY 25.413 S/DEB | Monto=2,44 | Fecha: 20/04/2026</t>
        </is>
      </c>
    </row>
    <row r="691">
      <c r="A691" s="8" t="inlineStr">
        <is>
          <t>PEND-54C58EE2F35E-A001</t>
        </is>
      </c>
      <c r="B691" s="8" t="inlineStr">
        <is>
          <t>ABIERTO_NUEVO</t>
        </is>
      </c>
      <c r="C691" s="8" t="inlineStr">
        <is>
          <t>Banco egreso no Flexxus</t>
        </is>
      </c>
      <c r="D691" s="8" t="inlineStr">
        <is>
          <t>20/04/2026</t>
        </is>
      </c>
      <c r="E691" s="8" t="inlineStr">
        <is>
          <t>107364</t>
        </is>
      </c>
      <c r="F691" s="8" t="inlineStr">
        <is>
          <t>GRAVAMEN LEY 25413 S/DEB</t>
        </is>
      </c>
      <c r="G691" s="8" t="inlineStr">
        <is>
          <t>Anticipo Ganancias Ley 25.413 débitos</t>
        </is>
      </c>
      <c r="H691" s="8" t="inlineStr">
        <is>
          <t>Anticipo Impuesto a las Ganancias</t>
        </is>
      </c>
      <c r="I691" s="9" t="n">
        <v>2.05</v>
      </c>
      <c r="J691" s="9" t="inlineStr"/>
      <c r="K691" s="8" t="inlineStr">
        <is>
          <t>Copiar en Flexxus: Tipo=MB-EXT | Movimiento=GRAVAMEN LEY 25.413 S/DEB | Monto=2,05 | Fecha: 20/04/2026</t>
        </is>
      </c>
    </row>
    <row r="692">
      <c r="A692" s="8" t="inlineStr">
        <is>
          <t>PEND-CC6163ED264B-A001</t>
        </is>
      </c>
      <c r="B692" s="8" t="inlineStr">
        <is>
          <t>ABIERTO_NUEVO</t>
        </is>
      </c>
      <c r="C692" s="8" t="inlineStr">
        <is>
          <t>Banco egreso no Flexxus</t>
        </is>
      </c>
      <c r="D692" s="8" t="inlineStr">
        <is>
          <t>20/04/2026</t>
        </is>
      </c>
      <c r="E692" s="8" t="inlineStr">
        <is>
          <t>107363</t>
        </is>
      </c>
      <c r="F692" s="8" t="inlineStr">
        <is>
          <t>GRAVAMEN LEY 25413 S/DEB</t>
        </is>
      </c>
      <c r="G692" s="8" t="inlineStr">
        <is>
          <t>Anticipo Ganancias Ley 25.413 débitos</t>
        </is>
      </c>
      <c r="H692" s="8" t="inlineStr">
        <is>
          <t>Anticipo Impuesto a las Ganancias</t>
        </is>
      </c>
      <c r="I692" s="9" t="n">
        <v>3.65</v>
      </c>
      <c r="J692" s="9" t="inlineStr"/>
      <c r="K692" s="8" t="inlineStr">
        <is>
          <t>Copiar en Flexxus: Tipo=MB-EXT | Movimiento=GRAVAMEN LEY 25.413 S/DEB | Monto=3,65 | Fecha: 20/04/2026</t>
        </is>
      </c>
    </row>
    <row r="693">
      <c r="A693" s="8" t="inlineStr">
        <is>
          <t>PEND-A5743E944DD5-A001</t>
        </is>
      </c>
      <c r="B693" s="8" t="inlineStr">
        <is>
          <t>ABIERTO_NUEVO</t>
        </is>
      </c>
      <c r="C693" s="8" t="inlineStr">
        <is>
          <t>Banco egreso no Flexxus</t>
        </is>
      </c>
      <c r="D693" s="8" t="inlineStr">
        <is>
          <t>20/04/2026</t>
        </is>
      </c>
      <c r="E693" s="8" t="inlineStr">
        <is>
          <t>107362</t>
        </is>
      </c>
      <c r="F693" s="8" t="inlineStr">
        <is>
          <t>GRAVAMEN LEY 25413 S/DEB</t>
        </is>
      </c>
      <c r="G693" s="8" t="inlineStr">
        <is>
          <t>Anticipo Ganancias Ley 25.413 débitos</t>
        </is>
      </c>
      <c r="H693" s="8" t="inlineStr">
        <is>
          <t>Anticipo Impuesto a las Ganancias</t>
        </is>
      </c>
      <c r="I693" s="9" t="n">
        <v>1.19</v>
      </c>
      <c r="J693" s="9" t="inlineStr"/>
      <c r="K693" s="8" t="inlineStr">
        <is>
          <t>Copiar en Flexxus: Tipo=MB-EXT | Movimiento=GRAVAMEN LEY 25.413 S/DEB | Monto=1,19 | Fecha: 20/04/2026</t>
        </is>
      </c>
    </row>
    <row r="694">
      <c r="A694" s="8" t="inlineStr">
        <is>
          <t>PEND-2A711174E0E7-A001</t>
        </is>
      </c>
      <c r="B694" s="8" t="inlineStr">
        <is>
          <t>ABIERTO_NUEVO</t>
        </is>
      </c>
      <c r="C694" s="8" t="inlineStr">
        <is>
          <t>Banco egreso no Flexxus</t>
        </is>
      </c>
      <c r="D694" s="8" t="inlineStr">
        <is>
          <t>20/04/2026</t>
        </is>
      </c>
      <c r="E694" s="8" t="inlineStr">
        <is>
          <t>107361</t>
        </is>
      </c>
      <c r="F694" s="8" t="inlineStr">
        <is>
          <t>GRAVAMEN LEY 25413 S/DEB</t>
        </is>
      </c>
      <c r="G694" s="8" t="inlineStr">
        <is>
          <t>Anticipo Ganancias Ley 25.413 débitos</t>
        </is>
      </c>
      <c r="H694" s="8" t="inlineStr">
        <is>
          <t>Anticipo Impuesto a las Ganancias</t>
        </is>
      </c>
      <c r="I694" s="9" t="n">
        <v>5.85</v>
      </c>
      <c r="J694" s="9" t="inlineStr"/>
      <c r="K694" s="8" t="inlineStr">
        <is>
          <t>Copiar en Flexxus: Tipo=MB-EXT | Movimiento=GRAVAMEN LEY 25.413 S/DEB | Monto=5,85 | Fecha: 20/04/2026</t>
        </is>
      </c>
    </row>
    <row r="695">
      <c r="A695" s="8" t="inlineStr">
        <is>
          <t>PEND-907C8877A4E7-A001</t>
        </is>
      </c>
      <c r="B695" s="8" t="inlineStr">
        <is>
          <t>ABIERTO_NUEVO</t>
        </is>
      </c>
      <c r="C695" s="8" t="inlineStr">
        <is>
          <t>Banco egreso no Flexxus</t>
        </is>
      </c>
      <c r="D695" s="8" t="inlineStr">
        <is>
          <t>20/04/2026</t>
        </is>
      </c>
      <c r="E695" s="8" t="inlineStr">
        <is>
          <t>107360</t>
        </is>
      </c>
      <c r="F695" s="8" t="inlineStr">
        <is>
          <t>GRAVAMEN LEY 25413 S/DEB</t>
        </is>
      </c>
      <c r="G695" s="8" t="inlineStr">
        <is>
          <t>Anticipo Ganancias Ley 25.413 débitos</t>
        </is>
      </c>
      <c r="H695" s="8" t="inlineStr">
        <is>
          <t>Anticipo Impuesto a las Ganancias</t>
        </is>
      </c>
      <c r="I695" s="9" t="n">
        <v>4.07</v>
      </c>
      <c r="J695" s="9" t="inlineStr"/>
      <c r="K695" s="8" t="inlineStr">
        <is>
          <t>Copiar en Flexxus: Tipo=MB-EXT | Movimiento=GRAVAMEN LEY 25.413 S/DEB | Monto=4,07 | Fecha: 20/04/2026</t>
        </is>
      </c>
    </row>
    <row r="696">
      <c r="A696" s="8" t="inlineStr">
        <is>
          <t>PEND-7B3EE43F22AC-A001</t>
        </is>
      </c>
      <c r="B696" s="8" t="inlineStr">
        <is>
          <t>ABIERTO_NUEVO</t>
        </is>
      </c>
      <c r="C696" s="8" t="inlineStr">
        <is>
          <t>Banco egreso no Flexxus</t>
        </is>
      </c>
      <c r="D696" s="8" t="inlineStr">
        <is>
          <t>20/04/2026</t>
        </is>
      </c>
      <c r="E696" s="8" t="inlineStr">
        <is>
          <t>107359</t>
        </is>
      </c>
      <c r="F696" s="8" t="inlineStr">
        <is>
          <t>GRAVAMEN LEY 25413 S/DEB</t>
        </is>
      </c>
      <c r="G696" s="8" t="inlineStr">
        <is>
          <t>Anticipo Ganancias Ley 25.413 débitos</t>
        </is>
      </c>
      <c r="H696" s="8" t="inlineStr">
        <is>
          <t>Anticipo Impuesto a las Ganancias</t>
        </is>
      </c>
      <c r="I696" s="9" t="n">
        <v>1.96</v>
      </c>
      <c r="J696" s="9" t="inlineStr"/>
      <c r="K696" s="8" t="inlineStr">
        <is>
          <t>Copiar en Flexxus: Tipo=MB-EXT | Movimiento=GRAVAMEN LEY 25.413 S/DEB | Monto=1,96 | Fecha: 20/04/2026</t>
        </is>
      </c>
    </row>
    <row r="697">
      <c r="A697" s="8" t="inlineStr">
        <is>
          <t>PEND-97FC97A12C33-A001</t>
        </is>
      </c>
      <c r="B697" s="8" t="inlineStr">
        <is>
          <t>ABIERTO_NUEVO</t>
        </is>
      </c>
      <c r="C697" s="8" t="inlineStr">
        <is>
          <t>Banco egreso no Flexxus</t>
        </is>
      </c>
      <c r="D697" s="8" t="inlineStr">
        <is>
          <t>20/04/2026</t>
        </is>
      </c>
      <c r="E697" s="8" t="inlineStr">
        <is>
          <t>107358</t>
        </is>
      </c>
      <c r="F697" s="8" t="inlineStr">
        <is>
          <t>GRAVAMEN LEY 25413 S/DEB</t>
        </is>
      </c>
      <c r="G697" s="8" t="inlineStr">
        <is>
          <t>Anticipo Ganancias Ley 25.413 débitos</t>
        </is>
      </c>
      <c r="H697" s="8" t="inlineStr">
        <is>
          <t>Anticipo Impuesto a las Ganancias</t>
        </is>
      </c>
      <c r="I697" s="9" t="n">
        <v>1.85</v>
      </c>
      <c r="J697" s="9" t="inlineStr"/>
      <c r="K697" s="8" t="inlineStr">
        <is>
          <t>Copiar en Flexxus: Tipo=MB-EXT | Movimiento=GRAVAMEN LEY 25.413 S/DEB | Monto=1,85 | Fecha: 20/04/2026</t>
        </is>
      </c>
    </row>
    <row r="698">
      <c r="A698" s="8" t="inlineStr">
        <is>
          <t>PEND-0D3179AAE82B-A001</t>
        </is>
      </c>
      <c r="B698" s="8" t="inlineStr">
        <is>
          <t>ABIERTO_NUEVO</t>
        </is>
      </c>
      <c r="C698" s="8" t="inlineStr">
        <is>
          <t>Banco egreso no Flexxus</t>
        </is>
      </c>
      <c r="D698" s="8" t="inlineStr">
        <is>
          <t>20/04/2026</t>
        </is>
      </c>
      <c r="E698" s="8" t="inlineStr">
        <is>
          <t>107357</t>
        </is>
      </c>
      <c r="F698" s="8" t="inlineStr">
        <is>
          <t>GRAVAMEN LEY 25413 S/DEB</t>
        </is>
      </c>
      <c r="G698" s="8" t="inlineStr">
        <is>
          <t>Anticipo Ganancias Ley 25.413 débitos</t>
        </is>
      </c>
      <c r="H698" s="8" t="inlineStr">
        <is>
          <t>Anticipo Impuesto a las Ganancias</t>
        </is>
      </c>
      <c r="I698" s="9" t="n">
        <v>1.77</v>
      </c>
      <c r="J698" s="9" t="inlineStr"/>
      <c r="K698" s="8" t="inlineStr">
        <is>
          <t>Copiar en Flexxus: Tipo=MB-EXT | Movimiento=GRAVAMEN LEY 25.413 S/DEB | Monto=1,77 | Fecha: 20/04/2026</t>
        </is>
      </c>
    </row>
    <row r="699">
      <c r="A699" s="8" t="inlineStr">
        <is>
          <t>PEND-6918347F5B6E-A001</t>
        </is>
      </c>
      <c r="B699" s="8" t="inlineStr">
        <is>
          <t>ABIERTO_NUEVO</t>
        </is>
      </c>
      <c r="C699" s="8" t="inlineStr">
        <is>
          <t>Banco egreso no Flexxus</t>
        </is>
      </c>
      <c r="D699" s="8" t="inlineStr">
        <is>
          <t>20/04/2026</t>
        </is>
      </c>
      <c r="E699" s="8" t="inlineStr">
        <is>
          <t>107356</t>
        </is>
      </c>
      <c r="F699" s="8" t="inlineStr">
        <is>
          <t>GRAVAMEN LEY 25413 S/DEB</t>
        </is>
      </c>
      <c r="G699" s="8" t="inlineStr">
        <is>
          <t>Anticipo Ganancias Ley 25.413 débitos</t>
        </is>
      </c>
      <c r="H699" s="8" t="inlineStr">
        <is>
          <t>Anticipo Impuesto a las Ganancias</t>
        </is>
      </c>
      <c r="I699" s="9" t="n">
        <v>2.08</v>
      </c>
      <c r="J699" s="9" t="inlineStr"/>
      <c r="K699" s="8" t="inlineStr">
        <is>
          <t>Copiar en Flexxus: Tipo=MB-EXT | Movimiento=GRAVAMEN LEY 25.413 S/DEB | Monto=2,08 | Fecha: 20/04/2026</t>
        </is>
      </c>
    </row>
    <row r="700">
      <c r="A700" s="8" t="inlineStr">
        <is>
          <t>PEND-AB2831DC8CBA-A001</t>
        </is>
      </c>
      <c r="B700" s="8" t="inlineStr">
        <is>
          <t>ABIERTO_NUEVO</t>
        </is>
      </c>
      <c r="C700" s="8" t="inlineStr">
        <is>
          <t>Banco egreso no Flexxus</t>
        </is>
      </c>
      <c r="D700" s="8" t="inlineStr">
        <is>
          <t>20/04/2026</t>
        </is>
      </c>
      <c r="E700" s="8" t="inlineStr">
        <is>
          <t>107355</t>
        </is>
      </c>
      <c r="F700" s="8" t="inlineStr">
        <is>
          <t>GRAVAMEN LEY 25413 S/DEB</t>
        </is>
      </c>
      <c r="G700" s="8" t="inlineStr">
        <is>
          <t>Anticipo Ganancias Ley 25.413 débitos</t>
        </is>
      </c>
      <c r="H700" s="8" t="inlineStr">
        <is>
          <t>Anticipo Impuesto a las Ganancias</t>
        </is>
      </c>
      <c r="I700" s="9" t="n">
        <v>4.32</v>
      </c>
      <c r="J700" s="9" t="inlineStr"/>
      <c r="K700" s="8" t="inlineStr">
        <is>
          <t>Copiar en Flexxus: Tipo=MB-EXT | Movimiento=GRAVAMEN LEY 25.413 S/DEB | Monto=4,32 | Fecha: 20/04/2026</t>
        </is>
      </c>
    </row>
    <row r="701">
      <c r="A701" s="8" t="inlineStr">
        <is>
          <t>PEND-BDD7E480EC72-A001</t>
        </is>
      </c>
      <c r="B701" s="8" t="inlineStr">
        <is>
          <t>ABIERTO_NUEVO</t>
        </is>
      </c>
      <c r="C701" s="8" t="inlineStr">
        <is>
          <t>Banco egreso no Flexxus</t>
        </is>
      </c>
      <c r="D701" s="8" t="inlineStr">
        <is>
          <t>20/04/2026</t>
        </is>
      </c>
      <c r="E701" s="8" t="inlineStr">
        <is>
          <t>107354</t>
        </is>
      </c>
      <c r="F701" s="8" t="inlineStr">
        <is>
          <t>GRAVAMEN LEY 25413 S/DEB</t>
        </is>
      </c>
      <c r="G701" s="8" t="inlineStr">
        <is>
          <t>Anticipo Ganancias Ley 25.413 débitos</t>
        </is>
      </c>
      <c r="H701" s="8" t="inlineStr">
        <is>
          <t>Anticipo Impuesto a las Ganancias</t>
        </is>
      </c>
      <c r="I701" s="9" t="n">
        <v>1.81</v>
      </c>
      <c r="J701" s="9" t="inlineStr"/>
      <c r="K701" s="8" t="inlineStr">
        <is>
          <t>Copiar en Flexxus: Tipo=MB-EXT | Movimiento=GRAVAMEN LEY 25.413 S/DEB | Monto=1,81 | Fecha: 20/04/2026</t>
        </is>
      </c>
    </row>
    <row r="702">
      <c r="A702" s="8" t="inlineStr">
        <is>
          <t>PEND-52DA77AB8528-A001</t>
        </is>
      </c>
      <c r="B702" s="8" t="inlineStr">
        <is>
          <t>ABIERTO_NUEVO</t>
        </is>
      </c>
      <c r="C702" s="8" t="inlineStr">
        <is>
          <t>Banco egreso no Flexxus</t>
        </is>
      </c>
      <c r="D702" s="8" t="inlineStr">
        <is>
          <t>20/04/2026</t>
        </is>
      </c>
      <c r="E702" s="8" t="inlineStr">
        <is>
          <t>107353</t>
        </is>
      </c>
      <c r="F702" s="8" t="inlineStr">
        <is>
          <t>GRAVAMEN LEY 25413 S/DEB</t>
        </is>
      </c>
      <c r="G702" s="8" t="inlineStr">
        <is>
          <t>Anticipo Ganancias Ley 25.413 débitos</t>
        </is>
      </c>
      <c r="H702" s="8" t="inlineStr">
        <is>
          <t>Anticipo Impuesto a las Ganancias</t>
        </is>
      </c>
      <c r="I702" s="9" t="n">
        <v>1.56</v>
      </c>
      <c r="J702" s="9" t="inlineStr"/>
      <c r="K702" s="8" t="inlineStr">
        <is>
          <t>Copiar en Flexxus: Tipo=MB-EXT | Movimiento=GRAVAMEN LEY 25.413 S/DEB | Monto=1,56 | Fecha: 20/04/2026</t>
        </is>
      </c>
    </row>
    <row r="703">
      <c r="A703" s="8" t="inlineStr">
        <is>
          <t>PEND-2EA41766245B-A001</t>
        </is>
      </c>
      <c r="B703" s="8" t="inlineStr">
        <is>
          <t>ABIERTO_NUEVO</t>
        </is>
      </c>
      <c r="C703" s="8" t="inlineStr">
        <is>
          <t>Banco egreso no Flexxus</t>
        </is>
      </c>
      <c r="D703" s="8" t="inlineStr">
        <is>
          <t>20/04/2026</t>
        </is>
      </c>
      <c r="E703" s="8" t="inlineStr">
        <is>
          <t>107352</t>
        </is>
      </c>
      <c r="F703" s="8" t="inlineStr">
        <is>
          <t>GRAVAMEN LEY 25413 S/DEB</t>
        </is>
      </c>
      <c r="G703" s="8" t="inlineStr">
        <is>
          <t>Anticipo Ganancias Ley 25.413 débitos</t>
        </is>
      </c>
      <c r="H703" s="8" t="inlineStr">
        <is>
          <t>Anticipo Impuesto a las Ganancias</t>
        </is>
      </c>
      <c r="I703" s="9" t="n">
        <v>3.89</v>
      </c>
      <c r="J703" s="9" t="inlineStr"/>
      <c r="K703" s="8" t="inlineStr">
        <is>
          <t>Copiar en Flexxus: Tipo=MB-EXT | Movimiento=GRAVAMEN LEY 25.413 S/DEB | Monto=3,89 | Fecha: 20/04/2026</t>
        </is>
      </c>
    </row>
    <row r="704">
      <c r="A704" s="8" t="inlineStr">
        <is>
          <t>PEND-0E6D17841D6E-A001</t>
        </is>
      </c>
      <c r="B704" s="8" t="inlineStr">
        <is>
          <t>ABIERTO_NUEVO</t>
        </is>
      </c>
      <c r="C704" s="8" t="inlineStr">
        <is>
          <t>Banco egreso no Flexxus</t>
        </is>
      </c>
      <c r="D704" s="8" t="inlineStr">
        <is>
          <t>20/04/2026</t>
        </is>
      </c>
      <c r="E704" s="8" t="inlineStr">
        <is>
          <t>107351</t>
        </is>
      </c>
      <c r="F704" s="8" t="inlineStr">
        <is>
          <t>GRAVAMEN LEY 25413 S/DEB</t>
        </is>
      </c>
      <c r="G704" s="8" t="inlineStr">
        <is>
          <t>Anticipo Ganancias Ley 25.413 débitos</t>
        </is>
      </c>
      <c r="H704" s="8" t="inlineStr">
        <is>
          <t>Anticipo Impuesto a las Ganancias</t>
        </is>
      </c>
      <c r="I704" s="9" t="n">
        <v>0.87</v>
      </c>
      <c r="J704" s="9" t="inlineStr"/>
      <c r="K704" s="8" t="inlineStr">
        <is>
          <t>Copiar en Flexxus: Tipo=MB-EXT | Movimiento=GRAVAMEN LEY 25.413 S/DEB | Monto=0,87 | Fecha: 20/04/2026</t>
        </is>
      </c>
    </row>
    <row r="705">
      <c r="A705" s="8" t="inlineStr">
        <is>
          <t>PEND-013E0AC6C5B0-A001</t>
        </is>
      </c>
      <c r="B705" s="8" t="inlineStr">
        <is>
          <t>ABIERTO_NUEVO</t>
        </is>
      </c>
      <c r="C705" s="8" t="inlineStr">
        <is>
          <t>Banco egreso no Flexxus</t>
        </is>
      </c>
      <c r="D705" s="8" t="inlineStr">
        <is>
          <t>20/04/2026</t>
        </is>
      </c>
      <c r="E705" s="8" t="inlineStr">
        <is>
          <t>107350</t>
        </is>
      </c>
      <c r="F705" s="8" t="inlineStr">
        <is>
          <t>GRAVAMEN LEY 25413 S/DEB</t>
        </is>
      </c>
      <c r="G705" s="8" t="inlineStr">
        <is>
          <t>Anticipo Ganancias Ley 25.413 débitos</t>
        </is>
      </c>
      <c r="H705" s="8" t="inlineStr">
        <is>
          <t>Anticipo Impuesto a las Ganancias</t>
        </is>
      </c>
      <c r="I705" s="9" t="n">
        <v>2.1</v>
      </c>
      <c r="J705" s="9" t="inlineStr"/>
      <c r="K705" s="8" t="inlineStr">
        <is>
          <t>Copiar en Flexxus: Tipo=MB-EXT | Movimiento=GRAVAMEN LEY 25.413 S/DEB | Monto=2,10 | Fecha: 20/04/2026</t>
        </is>
      </c>
    </row>
    <row r="706">
      <c r="A706" s="8" t="inlineStr">
        <is>
          <t>PEND-CC51FF7B3EAE-A001</t>
        </is>
      </c>
      <c r="B706" s="8" t="inlineStr">
        <is>
          <t>ABIERTO_NUEVO</t>
        </is>
      </c>
      <c r="C706" s="8" t="inlineStr">
        <is>
          <t>Banco egreso no Flexxus</t>
        </is>
      </c>
      <c r="D706" s="8" t="inlineStr">
        <is>
          <t>20/04/2026</t>
        </is>
      </c>
      <c r="E706" s="8" t="inlineStr">
        <is>
          <t>107349</t>
        </is>
      </c>
      <c r="F706" s="8" t="inlineStr">
        <is>
          <t>GRAVAMEN LEY 25413 S/DEB</t>
        </is>
      </c>
      <c r="G706" s="8" t="inlineStr">
        <is>
          <t>Anticipo Ganancias Ley 25.413 débitos</t>
        </is>
      </c>
      <c r="H706" s="8" t="inlineStr">
        <is>
          <t>Anticipo Impuesto a las Ganancias</t>
        </is>
      </c>
      <c r="I706" s="9" t="n">
        <v>0.68</v>
      </c>
      <c r="J706" s="9" t="inlineStr"/>
      <c r="K706" s="8" t="inlineStr">
        <is>
          <t>Copiar en Flexxus: Tipo=MB-EXT | Movimiento=GRAVAMEN LEY 25.413 S/DEB | Monto=0,68 | Fecha: 20/04/2026</t>
        </is>
      </c>
    </row>
    <row r="707">
      <c r="A707" s="8" t="inlineStr">
        <is>
          <t>PEND-B52E222FD3C5-A001</t>
        </is>
      </c>
      <c r="B707" s="8" t="inlineStr">
        <is>
          <t>ABIERTO_NUEVO</t>
        </is>
      </c>
      <c r="C707" s="8" t="inlineStr">
        <is>
          <t>Banco egreso no Flexxus</t>
        </is>
      </c>
      <c r="D707" s="8" t="inlineStr">
        <is>
          <t>20/04/2026</t>
        </is>
      </c>
      <c r="E707" s="8" t="inlineStr">
        <is>
          <t>107348</t>
        </is>
      </c>
      <c r="F707" s="8" t="inlineStr">
        <is>
          <t>GRAVAMEN LEY 25413 S/DEB</t>
        </is>
      </c>
      <c r="G707" s="8" t="inlineStr">
        <is>
          <t>Anticipo Ganancias Ley 25.413 débitos</t>
        </is>
      </c>
      <c r="H707" s="8" t="inlineStr">
        <is>
          <t>Anticipo Impuesto a las Ganancias</t>
        </is>
      </c>
      <c r="I707" s="9" t="n">
        <v>0.8</v>
      </c>
      <c r="J707" s="9" t="inlineStr"/>
      <c r="K707" s="8" t="inlineStr">
        <is>
          <t>Copiar en Flexxus: Tipo=MB-EXT | Movimiento=GRAVAMEN LEY 25.413 S/DEB | Monto=0,80 | Fecha: 20/04/2026</t>
        </is>
      </c>
    </row>
    <row r="708">
      <c r="A708" s="8" t="inlineStr">
        <is>
          <t>PEND-3BC16EE872AB-A001</t>
        </is>
      </c>
      <c r="B708" s="8" t="inlineStr">
        <is>
          <t>ABIERTO_NUEVO</t>
        </is>
      </c>
      <c r="C708" s="8" t="inlineStr">
        <is>
          <t>Banco egreso no Flexxus</t>
        </is>
      </c>
      <c r="D708" s="8" t="inlineStr">
        <is>
          <t>20/04/2026</t>
        </is>
      </c>
      <c r="E708" s="8" t="inlineStr">
        <is>
          <t>107347</t>
        </is>
      </c>
      <c r="F708" s="8" t="inlineStr">
        <is>
          <t>GRAVAMEN LEY 25413 S/DEB</t>
        </is>
      </c>
      <c r="G708" s="8" t="inlineStr">
        <is>
          <t>Anticipo Ganancias Ley 25.413 débitos</t>
        </is>
      </c>
      <c r="H708" s="8" t="inlineStr">
        <is>
          <t>Anticipo Impuesto a las Ganancias</t>
        </is>
      </c>
      <c r="I708" s="9" t="n">
        <v>2.17</v>
      </c>
      <c r="J708" s="9" t="inlineStr"/>
      <c r="K708" s="8" t="inlineStr">
        <is>
          <t>Copiar en Flexxus: Tipo=MB-EXT | Movimiento=GRAVAMEN LEY 25.413 S/DEB | Monto=2,17 | Fecha: 20/04/2026</t>
        </is>
      </c>
    </row>
    <row r="709">
      <c r="A709" s="8" t="inlineStr">
        <is>
          <t>PEND-F62BE4305934-A001</t>
        </is>
      </c>
      <c r="B709" s="8" t="inlineStr">
        <is>
          <t>ABIERTO_NUEVO</t>
        </is>
      </c>
      <c r="C709" s="8" t="inlineStr">
        <is>
          <t>Banco egreso no Flexxus</t>
        </is>
      </c>
      <c r="D709" s="8" t="inlineStr">
        <is>
          <t>20/04/2026</t>
        </is>
      </c>
      <c r="E709" s="8" t="inlineStr">
        <is>
          <t>107346</t>
        </is>
      </c>
      <c r="F709" s="8" t="inlineStr">
        <is>
          <t>GRAVAMEN LEY 25413 S/DEB</t>
        </is>
      </c>
      <c r="G709" s="8" t="inlineStr">
        <is>
          <t>Anticipo Ganancias Ley 25.413 débitos</t>
        </is>
      </c>
      <c r="H709" s="8" t="inlineStr">
        <is>
          <t>Anticipo Impuesto a las Ganancias</t>
        </is>
      </c>
      <c r="I709" s="9" t="n">
        <v>2.51</v>
      </c>
      <c r="J709" s="9" t="inlineStr"/>
      <c r="K709" s="8" t="inlineStr">
        <is>
          <t>Copiar en Flexxus: Tipo=MB-EXT | Movimiento=GRAVAMEN LEY 25.413 S/DEB | Monto=2,51 | Fecha: 20/04/2026</t>
        </is>
      </c>
    </row>
    <row r="710">
      <c r="A710" s="8" t="inlineStr">
        <is>
          <t>PEND-97C73B956FDB-A001</t>
        </is>
      </c>
      <c r="B710" s="8" t="inlineStr">
        <is>
          <t>ABIERTO_NUEVO</t>
        </is>
      </c>
      <c r="C710" s="8" t="inlineStr">
        <is>
          <t>Banco egreso no Flexxus</t>
        </is>
      </c>
      <c r="D710" s="8" t="inlineStr">
        <is>
          <t>20/04/2026</t>
        </is>
      </c>
      <c r="E710" s="8" t="inlineStr">
        <is>
          <t>107345</t>
        </is>
      </c>
      <c r="F710" s="8" t="inlineStr">
        <is>
          <t>GRAVAMEN LEY 25413 S/DEB</t>
        </is>
      </c>
      <c r="G710" s="8" t="inlineStr">
        <is>
          <t>Anticipo Ganancias Ley 25.413 débitos</t>
        </is>
      </c>
      <c r="H710" s="8" t="inlineStr">
        <is>
          <t>Anticipo Impuesto a las Ganancias</t>
        </is>
      </c>
      <c r="I710" s="9" t="n">
        <v>1.93</v>
      </c>
      <c r="J710" s="9" t="inlineStr"/>
      <c r="K710" s="8" t="inlineStr">
        <is>
          <t>Copiar en Flexxus: Tipo=MB-EXT | Movimiento=GRAVAMEN LEY 25.413 S/DEB | Monto=1,93 | Fecha: 20/04/2026</t>
        </is>
      </c>
    </row>
    <row r="711">
      <c r="A711" s="8" t="inlineStr">
        <is>
          <t>PEND-5E2CBE48A899-A001</t>
        </is>
      </c>
      <c r="B711" s="8" t="inlineStr">
        <is>
          <t>ABIERTO_NUEVO</t>
        </is>
      </c>
      <c r="C711" s="8" t="inlineStr">
        <is>
          <t>Banco egreso no Flexxus</t>
        </is>
      </c>
      <c r="D711" s="8" t="inlineStr">
        <is>
          <t>20/04/2026</t>
        </is>
      </c>
      <c r="E711" s="8" t="inlineStr">
        <is>
          <t>107344</t>
        </is>
      </c>
      <c r="F711" s="8" t="inlineStr">
        <is>
          <t>GRAVAMEN LEY 25413 S/DEB</t>
        </is>
      </c>
      <c r="G711" s="8" t="inlineStr">
        <is>
          <t>Anticipo Ganancias Ley 25.413 débitos</t>
        </is>
      </c>
      <c r="H711" s="8" t="inlineStr">
        <is>
          <t>Anticipo Impuesto a las Ganancias</t>
        </is>
      </c>
      <c r="I711" s="9" t="n">
        <v>0.36</v>
      </c>
      <c r="J711" s="9" t="inlineStr"/>
      <c r="K711" s="8" t="inlineStr">
        <is>
          <t>Copiar en Flexxus: Tipo=MB-EXT | Movimiento=GRAVAMEN LEY 25.413 S/DEB | Monto=0,36 | Fecha: 20/04/2026</t>
        </is>
      </c>
    </row>
    <row r="712">
      <c r="A712" s="8" t="inlineStr">
        <is>
          <t>PEND-3B0ADB5401E1-A001</t>
        </is>
      </c>
      <c r="B712" s="8" t="inlineStr">
        <is>
          <t>ABIERTO_NUEVO</t>
        </is>
      </c>
      <c r="C712" s="8" t="inlineStr">
        <is>
          <t>Banco egreso no Flexxus</t>
        </is>
      </c>
      <c r="D712" s="8" t="inlineStr">
        <is>
          <t>20/04/2026</t>
        </is>
      </c>
      <c r="E712" s="8" t="inlineStr">
        <is>
          <t>107343</t>
        </is>
      </c>
      <c r="F712" s="8" t="inlineStr">
        <is>
          <t>GRAVAMEN LEY 25413 S/DEB</t>
        </is>
      </c>
      <c r="G712" s="8" t="inlineStr">
        <is>
          <t>Anticipo Ganancias Ley 25.413 débitos</t>
        </is>
      </c>
      <c r="H712" s="8" t="inlineStr">
        <is>
          <t>Anticipo Impuesto a las Ganancias</t>
        </is>
      </c>
      <c r="I712" s="9" t="n">
        <v>1.04</v>
      </c>
      <c r="J712" s="9" t="inlineStr"/>
      <c r="K712" s="8" t="inlineStr">
        <is>
          <t>Copiar en Flexxus: Tipo=MB-EXT | Movimiento=GRAVAMEN LEY 25.413 S/DEB | Monto=1,04 | Fecha: 20/04/2026</t>
        </is>
      </c>
    </row>
    <row r="713">
      <c r="A713" s="8" t="inlineStr">
        <is>
          <t>PEND-85CD8E81234E-A001</t>
        </is>
      </c>
      <c r="B713" s="8" t="inlineStr">
        <is>
          <t>ABIERTO_NUEVO</t>
        </is>
      </c>
      <c r="C713" s="8" t="inlineStr">
        <is>
          <t>Banco egreso no Flexxus</t>
        </is>
      </c>
      <c r="D713" s="8" t="inlineStr">
        <is>
          <t>20/04/2026</t>
        </is>
      </c>
      <c r="E713" s="8" t="inlineStr">
        <is>
          <t>107342</t>
        </is>
      </c>
      <c r="F713" s="8" t="inlineStr">
        <is>
          <t>GRAVAMEN LEY 25413 S/DEB</t>
        </is>
      </c>
      <c r="G713" s="8" t="inlineStr">
        <is>
          <t>Anticipo Ganancias Ley 25.413 débitos</t>
        </is>
      </c>
      <c r="H713" s="8" t="inlineStr">
        <is>
          <t>Anticipo Impuesto a las Ganancias</t>
        </is>
      </c>
      <c r="I713" s="9" t="n">
        <v>0.68</v>
      </c>
      <c r="J713" s="9" t="inlineStr"/>
      <c r="K713" s="8" t="inlineStr">
        <is>
          <t>Copiar en Flexxus: Tipo=MB-EXT | Movimiento=GRAVAMEN LEY 25.413 S/DEB | Monto=0,68 | Fecha: 20/04/2026</t>
        </is>
      </c>
    </row>
    <row r="714">
      <c r="A714" s="8" t="inlineStr">
        <is>
          <t>PEND-EB7E2176412C-A001</t>
        </is>
      </c>
      <c r="B714" s="8" t="inlineStr">
        <is>
          <t>ABIERTO_NUEVO</t>
        </is>
      </c>
      <c r="C714" s="8" t="inlineStr">
        <is>
          <t>Banco egreso no Flexxus</t>
        </is>
      </c>
      <c r="D714" s="8" t="inlineStr">
        <is>
          <t>20/04/2026</t>
        </is>
      </c>
      <c r="E714" s="8" t="inlineStr">
        <is>
          <t>107341</t>
        </is>
      </c>
      <c r="F714" s="8" t="inlineStr">
        <is>
          <t>GRAVAMEN LEY 25413 S/DEB</t>
        </is>
      </c>
      <c r="G714" s="8" t="inlineStr">
        <is>
          <t>Anticipo Ganancias Ley 25.413 débitos</t>
        </is>
      </c>
      <c r="H714" s="8" t="inlineStr">
        <is>
          <t>Anticipo Impuesto a las Ganancias</t>
        </is>
      </c>
      <c r="I714" s="9" t="n">
        <v>0.73</v>
      </c>
      <c r="J714" s="9" t="inlineStr"/>
      <c r="K714" s="8" t="inlineStr">
        <is>
          <t>Copiar en Flexxus: Tipo=MB-EXT | Movimiento=GRAVAMEN LEY 25.413 S/DEB | Monto=0,73 | Fecha: 20/04/2026</t>
        </is>
      </c>
    </row>
    <row r="715">
      <c r="A715" s="8" t="inlineStr">
        <is>
          <t>PEND-667902F0B825-A001</t>
        </is>
      </c>
      <c r="B715" s="8" t="inlineStr">
        <is>
          <t>ABIERTO_NUEVO</t>
        </is>
      </c>
      <c r="C715" s="8" t="inlineStr">
        <is>
          <t>Banco egreso no Flexxus</t>
        </is>
      </c>
      <c r="D715" s="8" t="inlineStr">
        <is>
          <t>20/04/2026</t>
        </is>
      </c>
      <c r="E715" s="8" t="inlineStr">
        <is>
          <t>107340</t>
        </is>
      </c>
      <c r="F715" s="8" t="inlineStr">
        <is>
          <t>GRAVAMEN LEY 25413 S/DEB</t>
        </is>
      </c>
      <c r="G715" s="8" t="inlineStr">
        <is>
          <t>Anticipo Ganancias Ley 25.413 débitos</t>
        </is>
      </c>
      <c r="H715" s="8" t="inlineStr">
        <is>
          <t>Anticipo Impuesto a las Ganancias</t>
        </is>
      </c>
      <c r="I715" s="9" t="n">
        <v>0.8</v>
      </c>
      <c r="J715" s="9" t="inlineStr"/>
      <c r="K715" s="8" t="inlineStr">
        <is>
          <t>Copiar en Flexxus: Tipo=MB-EXT | Movimiento=GRAVAMEN LEY 25.413 S/DEB | Monto=0,80 | Fecha: 20/04/2026</t>
        </is>
      </c>
    </row>
    <row r="716">
      <c r="A716" s="8" t="inlineStr">
        <is>
          <t>PEND-C411B371BC08-A001</t>
        </is>
      </c>
      <c r="B716" s="8" t="inlineStr">
        <is>
          <t>ABIERTO_NUEVO</t>
        </is>
      </c>
      <c r="C716" s="8" t="inlineStr">
        <is>
          <t>Banco egreso no Flexxus</t>
        </is>
      </c>
      <c r="D716" s="8" t="inlineStr">
        <is>
          <t>20/04/2026</t>
        </is>
      </c>
      <c r="E716" s="8" t="inlineStr">
        <is>
          <t>107339</t>
        </is>
      </c>
      <c r="F716" s="8" t="inlineStr">
        <is>
          <t>GRAVAMEN LEY 25413 S/DEB</t>
        </is>
      </c>
      <c r="G716" s="8" t="inlineStr">
        <is>
          <t>Anticipo Ganancias Ley 25.413 débitos</t>
        </is>
      </c>
      <c r="H716" s="8" t="inlineStr">
        <is>
          <t>Anticipo Impuesto a las Ganancias</t>
        </is>
      </c>
      <c r="I716" s="9" t="n">
        <v>0.71</v>
      </c>
      <c r="J716" s="9" t="inlineStr"/>
      <c r="K716" s="8" t="inlineStr">
        <is>
          <t>Copiar en Flexxus: Tipo=MB-EXT | Movimiento=GRAVAMEN LEY 25.413 S/DEB | Monto=0,71 | Fecha: 20/04/2026</t>
        </is>
      </c>
    </row>
    <row r="717">
      <c r="A717" s="8" t="inlineStr">
        <is>
          <t>PEND-C6DF24C3042B-A001</t>
        </is>
      </c>
      <c r="B717" s="8" t="inlineStr">
        <is>
          <t>ABIERTO_NUEVO</t>
        </is>
      </c>
      <c r="C717" s="8" t="inlineStr">
        <is>
          <t>Banco egreso no Flexxus</t>
        </is>
      </c>
      <c r="D717" s="8" t="inlineStr">
        <is>
          <t>20/04/2026</t>
        </is>
      </c>
      <c r="E717" s="8" t="inlineStr">
        <is>
          <t>107337</t>
        </is>
      </c>
      <c r="F717" s="8" t="inlineStr">
        <is>
          <t>GRAVAMEN LEY 25413 S/DEB</t>
        </is>
      </c>
      <c r="G717" s="8" t="inlineStr">
        <is>
          <t>Anticipo Ganancias Ley 25.413 débitos</t>
        </is>
      </c>
      <c r="H717" s="8" t="inlineStr">
        <is>
          <t>Anticipo Impuesto a las Ganancias</t>
        </is>
      </c>
      <c r="I717" s="9" t="n">
        <v>3.27</v>
      </c>
      <c r="J717" s="9" t="inlineStr"/>
      <c r="K717" s="8" t="inlineStr">
        <is>
          <t>Copiar en Flexxus: Tipo=MB-EXT | Movimiento=GRAVAMEN LEY 25.413 S/DEB | Monto=3,27 | Fecha: 20/04/2026</t>
        </is>
      </c>
    </row>
    <row r="718">
      <c r="A718" s="8" t="inlineStr">
        <is>
          <t>PEND-17391D5CEFE0-A001</t>
        </is>
      </c>
      <c r="B718" s="8" t="inlineStr">
        <is>
          <t>ABIERTO_NUEVO</t>
        </is>
      </c>
      <c r="C718" s="8" t="inlineStr">
        <is>
          <t>Banco egreso no Flexxus</t>
        </is>
      </c>
      <c r="D718" s="8" t="inlineStr">
        <is>
          <t>20/04/2026</t>
        </is>
      </c>
      <c r="E718" s="8" t="inlineStr">
        <is>
          <t>107336</t>
        </is>
      </c>
      <c r="F718" s="8" t="inlineStr">
        <is>
          <t>GRAVAMEN LEY 25413 S/DEB</t>
        </is>
      </c>
      <c r="G718" s="8" t="inlineStr">
        <is>
          <t>Anticipo Ganancias Ley 25.413 débitos</t>
        </is>
      </c>
      <c r="H718" s="8" t="inlineStr">
        <is>
          <t>Anticipo Impuesto a las Ganancias</t>
        </is>
      </c>
      <c r="I718" s="9" t="n">
        <v>0.51</v>
      </c>
      <c r="J718" s="9" t="inlineStr"/>
      <c r="K718" s="8" t="inlineStr">
        <is>
          <t>Copiar en Flexxus: Tipo=MB-EXT | Movimiento=GRAVAMEN LEY 25.413 S/DEB | Monto=0,51 | Fecha: 20/04/2026</t>
        </is>
      </c>
    </row>
    <row r="719">
      <c r="A719" s="8" t="inlineStr">
        <is>
          <t>PEND-FAFAEB8383D3-A001</t>
        </is>
      </c>
      <c r="B719" s="8" t="inlineStr">
        <is>
          <t>ABIERTO_NUEVO</t>
        </is>
      </c>
      <c r="C719" s="8" t="inlineStr">
        <is>
          <t>Banco egreso no Flexxus</t>
        </is>
      </c>
      <c r="D719" s="8" t="inlineStr">
        <is>
          <t>20/04/2026</t>
        </is>
      </c>
      <c r="E719" s="8" t="inlineStr">
        <is>
          <t>107335</t>
        </is>
      </c>
      <c r="F719" s="8" t="inlineStr">
        <is>
          <t>GRAVAMEN LEY 25413 S/DEB</t>
        </is>
      </c>
      <c r="G719" s="8" t="inlineStr">
        <is>
          <t>Anticipo Ganancias Ley 25.413 débitos</t>
        </is>
      </c>
      <c r="H719" s="8" t="inlineStr">
        <is>
          <t>Anticipo Impuesto a las Ganancias</t>
        </is>
      </c>
      <c r="I719" s="9" t="n">
        <v>4.05</v>
      </c>
      <c r="J719" s="9" t="inlineStr"/>
      <c r="K719" s="8" t="inlineStr">
        <is>
          <t>Copiar en Flexxus: Tipo=MB-EXT | Movimiento=GRAVAMEN LEY 25.413 S/DEB | Monto=4,05 | Fecha: 20/04/2026</t>
        </is>
      </c>
    </row>
    <row r="720">
      <c r="A720" s="8" t="inlineStr">
        <is>
          <t>PEND-F4AF679AAEA7-A001</t>
        </is>
      </c>
      <c r="B720" s="8" t="inlineStr">
        <is>
          <t>ABIERTO_NUEVO</t>
        </is>
      </c>
      <c r="C720" s="8" t="inlineStr">
        <is>
          <t>Banco egreso no Flexxus</t>
        </is>
      </c>
      <c r="D720" s="8" t="inlineStr">
        <is>
          <t>20/04/2026</t>
        </is>
      </c>
      <c r="E720" s="8" t="inlineStr">
        <is>
          <t>107334</t>
        </is>
      </c>
      <c r="F720" s="8" t="inlineStr">
        <is>
          <t>GRAVAMEN LEY 25413 S/DEB</t>
        </is>
      </c>
      <c r="G720" s="8" t="inlineStr">
        <is>
          <t>Anticipo Ganancias Ley 25.413 débitos</t>
        </is>
      </c>
      <c r="H720" s="8" t="inlineStr">
        <is>
          <t>Anticipo Impuesto a las Ganancias</t>
        </is>
      </c>
      <c r="I720" s="9" t="n">
        <v>5.51</v>
      </c>
      <c r="J720" s="9" t="inlineStr"/>
      <c r="K720" s="8" t="inlineStr">
        <is>
          <t>Copiar en Flexxus: Tipo=MB-EXT | Movimiento=GRAVAMEN LEY 25.413 S/DEB | Monto=5,51 | Fecha: 20/04/2026</t>
        </is>
      </c>
    </row>
    <row r="721">
      <c r="A721" s="8" t="inlineStr">
        <is>
          <t>PEND-68745F6F4620-A001</t>
        </is>
      </c>
      <c r="B721" s="8" t="inlineStr">
        <is>
          <t>ABIERTO_NUEVO</t>
        </is>
      </c>
      <c r="C721" s="8" t="inlineStr">
        <is>
          <t>Banco egreso no Flexxus</t>
        </is>
      </c>
      <c r="D721" s="8" t="inlineStr">
        <is>
          <t>20/04/2026</t>
        </is>
      </c>
      <c r="E721" s="8" t="inlineStr">
        <is>
          <t>107333</t>
        </is>
      </c>
      <c r="F721" s="8" t="inlineStr">
        <is>
          <t>GRAVAMEN LEY 25413 S/DEB</t>
        </is>
      </c>
      <c r="G721" s="8" t="inlineStr">
        <is>
          <t>Anticipo Ganancias Ley 25.413 débitos</t>
        </is>
      </c>
      <c r="H721" s="8" t="inlineStr">
        <is>
          <t>Anticipo Impuesto a las Ganancias</t>
        </is>
      </c>
      <c r="I721" s="9" t="n">
        <v>2.08</v>
      </c>
      <c r="J721" s="9" t="inlineStr"/>
      <c r="K721" s="8" t="inlineStr">
        <is>
          <t>Copiar en Flexxus: Tipo=MB-EXT | Movimiento=GRAVAMEN LEY 25.413 S/DEB | Monto=2,08 | Fecha: 20/04/2026</t>
        </is>
      </c>
    </row>
    <row r="722">
      <c r="A722" s="8" t="inlineStr">
        <is>
          <t>PEND-EC58A38A7BFD-A001</t>
        </is>
      </c>
      <c r="B722" s="8" t="inlineStr">
        <is>
          <t>ABIERTO_NUEVO</t>
        </is>
      </c>
      <c r="C722" s="8" t="inlineStr">
        <is>
          <t>Banco egreso no Flexxus</t>
        </is>
      </c>
      <c r="D722" s="8" t="inlineStr">
        <is>
          <t>20/04/2026</t>
        </is>
      </c>
      <c r="E722" s="8" t="inlineStr">
        <is>
          <t>107332</t>
        </is>
      </c>
      <c r="F722" s="8" t="inlineStr">
        <is>
          <t>GRAVAMEN LEY 25413 S/DEB</t>
        </is>
      </c>
      <c r="G722" s="8" t="inlineStr">
        <is>
          <t>Anticipo Ganancias Ley 25.413 débitos</t>
        </is>
      </c>
      <c r="H722" s="8" t="inlineStr">
        <is>
          <t>Anticipo Impuesto a las Ganancias</t>
        </is>
      </c>
      <c r="I722" s="9" t="n">
        <v>4.4</v>
      </c>
      <c r="J722" s="9" t="inlineStr"/>
      <c r="K722" s="8" t="inlineStr">
        <is>
          <t>Copiar en Flexxus: Tipo=MB-EXT | Movimiento=GRAVAMEN LEY 25.413 S/DEB | Monto=4,40 | Fecha: 20/04/2026</t>
        </is>
      </c>
    </row>
    <row r="723">
      <c r="A723" s="8" t="inlineStr">
        <is>
          <t>PEND-A416162BDCEA-A001</t>
        </is>
      </c>
      <c r="B723" s="8" t="inlineStr">
        <is>
          <t>ABIERTO_NUEVO</t>
        </is>
      </c>
      <c r="C723" s="8" t="inlineStr">
        <is>
          <t>Banco egreso no Flexxus</t>
        </is>
      </c>
      <c r="D723" s="8" t="inlineStr">
        <is>
          <t>20/04/2026</t>
        </is>
      </c>
      <c r="E723" s="8" t="inlineStr">
        <is>
          <t>107331</t>
        </is>
      </c>
      <c r="F723" s="8" t="inlineStr">
        <is>
          <t>GRAVAMEN LEY 25413 S/DEB</t>
        </is>
      </c>
      <c r="G723" s="8" t="inlineStr">
        <is>
          <t>Anticipo Ganancias Ley 25.413 débitos</t>
        </is>
      </c>
      <c r="H723" s="8" t="inlineStr">
        <is>
          <t>Anticipo Impuesto a las Ganancias</t>
        </is>
      </c>
      <c r="I723" s="9" t="n">
        <v>3.5</v>
      </c>
      <c r="J723" s="9" t="inlineStr"/>
      <c r="K723" s="8" t="inlineStr">
        <is>
          <t>Copiar en Flexxus: Tipo=MB-EXT | Movimiento=GRAVAMEN LEY 25.413 S/DEB | Monto=3,50 | Fecha: 20/04/2026</t>
        </is>
      </c>
    </row>
    <row r="724">
      <c r="A724" s="8" t="inlineStr">
        <is>
          <t>PEND-429130BF04E8-A001</t>
        </is>
      </c>
      <c r="B724" s="8" t="inlineStr">
        <is>
          <t>ABIERTO_NUEVO</t>
        </is>
      </c>
      <c r="C724" s="8" t="inlineStr">
        <is>
          <t>Banco egreso no Flexxus</t>
        </is>
      </c>
      <c r="D724" s="8" t="inlineStr">
        <is>
          <t>20/04/2026</t>
        </is>
      </c>
      <c r="E724" s="8" t="inlineStr">
        <is>
          <t>107330</t>
        </is>
      </c>
      <c r="F724" s="8" t="inlineStr">
        <is>
          <t>GRAVAMEN LEY 25413 S/DEB</t>
        </is>
      </c>
      <c r="G724" s="8" t="inlineStr">
        <is>
          <t>Anticipo Ganancias Ley 25.413 débitos</t>
        </is>
      </c>
      <c r="H724" s="8" t="inlineStr">
        <is>
          <t>Anticipo Impuesto a las Ganancias</t>
        </is>
      </c>
      <c r="I724" s="9" t="n">
        <v>4</v>
      </c>
      <c r="J724" s="9" t="inlineStr"/>
      <c r="K724" s="8" t="inlineStr">
        <is>
          <t>Copiar en Flexxus: Tipo=MB-EXT | Movimiento=GRAVAMEN LEY 25.413 S/DEB | Monto=4,00 | Fecha: 20/04/2026</t>
        </is>
      </c>
    </row>
    <row r="725">
      <c r="A725" s="8" t="inlineStr">
        <is>
          <t>PEND-70E7F87A436A-A001</t>
        </is>
      </c>
      <c r="B725" s="8" t="inlineStr">
        <is>
          <t>ABIERTO_NUEVO</t>
        </is>
      </c>
      <c r="C725" s="8" t="inlineStr">
        <is>
          <t>Banco egreso no Flexxus</t>
        </is>
      </c>
      <c r="D725" s="8" t="inlineStr">
        <is>
          <t>20/04/2026</t>
        </is>
      </c>
      <c r="E725" s="8" t="inlineStr">
        <is>
          <t>107506</t>
        </is>
      </c>
      <c r="F725" s="8" t="inlineStr">
        <is>
          <t>GRAVAMEN LEY 25413 S/DEB</t>
        </is>
      </c>
      <c r="G725" s="8" t="inlineStr">
        <is>
          <t>Anticipo Ganancias Ley 25.413 débitos</t>
        </is>
      </c>
      <c r="H725" s="8" t="inlineStr">
        <is>
          <t>Anticipo Impuesto a las Ganancias</t>
        </is>
      </c>
      <c r="I725" s="9" t="n">
        <v>1.2</v>
      </c>
      <c r="J725" s="9" t="inlineStr"/>
      <c r="K725" s="8" t="inlineStr">
        <is>
          <t>Copiar en Flexxus: Tipo=MB-EXT | Movimiento=GRAVAMEN LEY 25.413 S/DEB | Monto=1,20 | Fecha: 20/04/2026</t>
        </is>
      </c>
    </row>
    <row r="726">
      <c r="A726" s="8" t="inlineStr">
        <is>
          <t>PEND-CAA8BE1803A2-A001</t>
        </is>
      </c>
      <c r="B726" s="8" t="inlineStr">
        <is>
          <t>ABIERTO_NUEVO</t>
        </is>
      </c>
      <c r="C726" s="8" t="inlineStr">
        <is>
          <t>Banco egreso no Flexxus</t>
        </is>
      </c>
      <c r="D726" s="8" t="inlineStr">
        <is>
          <t>20/04/2026</t>
        </is>
      </c>
      <c r="E726" s="8" t="inlineStr">
        <is>
          <t>107505</t>
        </is>
      </c>
      <c r="F726" s="8" t="inlineStr">
        <is>
          <t>GRAVAMEN LEY 25413 S/DEB</t>
        </is>
      </c>
      <c r="G726" s="8" t="inlineStr">
        <is>
          <t>Anticipo Ganancias Ley 25.413 débitos</t>
        </is>
      </c>
      <c r="H726" s="8" t="inlineStr">
        <is>
          <t>Anticipo Impuesto a las Ganancias</t>
        </is>
      </c>
      <c r="I726" s="9" t="n">
        <v>5.74</v>
      </c>
      <c r="J726" s="9" t="inlineStr"/>
      <c r="K726" s="8" t="inlineStr">
        <is>
          <t>Copiar en Flexxus: Tipo=MB-EXT | Movimiento=GRAVAMEN LEY 25.413 S/DEB | Monto=5,74 | Fecha: 20/04/2026</t>
        </is>
      </c>
    </row>
    <row r="727">
      <c r="A727" s="8" t="inlineStr">
        <is>
          <t>PEND-3DB7F1BA3EB0-A001</t>
        </is>
      </c>
      <c r="B727" s="8" t="inlineStr">
        <is>
          <t>ABIERTO_NUEVO</t>
        </is>
      </c>
      <c r="C727" s="8" t="inlineStr">
        <is>
          <t>Banco egreso no Flexxus</t>
        </is>
      </c>
      <c r="D727" s="8" t="inlineStr">
        <is>
          <t>20/04/2026</t>
        </is>
      </c>
      <c r="E727" s="8" t="inlineStr">
        <is>
          <t>107504</t>
        </is>
      </c>
      <c r="F727" s="8" t="inlineStr">
        <is>
          <t>INGRESOS BRUTOS MENDOZA</t>
        </is>
      </c>
      <c r="G727" s="8" t="inlineStr">
        <is>
          <t>Retención Ingresos Brutos Mendoza</t>
        </is>
      </c>
      <c r="H727" s="8" t="inlineStr">
        <is>
          <t>Retención de Ingresos Brutos</t>
        </is>
      </c>
      <c r="I727" s="9" t="n">
        <v>113.89</v>
      </c>
      <c r="J727" s="9" t="inlineStr"/>
      <c r="K727" s="8" t="inlineStr">
        <is>
          <t>Copiar en Flexxus: Tipo=MB-EXT | Movimiento=INGRESOS BRUTOS MENDOZA | Monto=113,89 | Fecha: 20/04/2026</t>
        </is>
      </c>
    </row>
    <row r="728">
      <c r="A728" s="8" t="inlineStr">
        <is>
          <t>PEND-A31E9457696E-A001</t>
        </is>
      </c>
      <c r="B728" s="8" t="inlineStr">
        <is>
          <t>ABIERTO_NUEVO</t>
        </is>
      </c>
      <c r="C728" s="8" t="inlineStr">
        <is>
          <t>Banco egreso no Flexxus</t>
        </is>
      </c>
      <c r="D728" s="8" t="inlineStr">
        <is>
          <t>20/04/2026</t>
        </is>
      </c>
      <c r="E728" s="8" t="inlineStr">
        <is>
          <t>107504</t>
        </is>
      </c>
      <c r="F728" s="8" t="inlineStr">
        <is>
          <t>GRAVAMEN LEY 25413 S/CRED</t>
        </is>
      </c>
      <c r="G728" s="8" t="inlineStr">
        <is>
          <t>Anticipo Ganancias Ley 25.413 créditos</t>
        </is>
      </c>
      <c r="H728" s="8" t="inlineStr">
        <is>
          <t>Anticipo Impuesto a las Ganancias</t>
        </is>
      </c>
      <c r="I728" s="9" t="n">
        <v>68.33</v>
      </c>
      <c r="J728" s="9" t="inlineStr"/>
      <c r="K728" s="8" t="inlineStr">
        <is>
          <t>Copiar en Flexxus: Tipo=MB-EXT | Movimiento=GRAVAMEN LEY 25.413 S/CRED | Monto=68,33 | Fecha: 20/04/2026</t>
        </is>
      </c>
    </row>
    <row r="729">
      <c r="A729" s="8" t="inlineStr">
        <is>
          <t>PEND-6B228223CB3C-A001</t>
        </is>
      </c>
      <c r="B729" s="8" t="inlineStr">
        <is>
          <t>ABIERTO_NUEVO</t>
        </is>
      </c>
      <c r="C729" s="8" t="inlineStr">
        <is>
          <t>Banco egreso no Flexxus</t>
        </is>
      </c>
      <c r="D729" s="8" t="inlineStr">
        <is>
          <t>20/04/2026</t>
        </is>
      </c>
      <c r="E729" s="8" t="inlineStr">
        <is>
          <t>107503</t>
        </is>
      </c>
      <c r="F729" s="8" t="inlineStr">
        <is>
          <t>INGRESOS BRUTOS MENDOZA</t>
        </is>
      </c>
      <c r="G729" s="8" t="inlineStr">
        <is>
          <t>Retención Ingresos Brutos Mendoza</t>
        </is>
      </c>
      <c r="H729" s="8" t="inlineStr">
        <is>
          <t>Retención de Ingresos Brutos</t>
        </is>
      </c>
      <c r="I729" s="9" t="n">
        <v>361.47</v>
      </c>
      <c r="J729" s="9" t="inlineStr"/>
      <c r="K729" s="8" t="inlineStr">
        <is>
          <t>Copiar en Flexxus: Tipo=MB-EXT | Movimiento=INGRESOS BRUTOS MENDOZA | Monto=361,47 | Fecha: 20/04/2026</t>
        </is>
      </c>
    </row>
    <row r="730">
      <c r="A730" s="8" t="inlineStr">
        <is>
          <t>PEND-96217172FAB1-A001</t>
        </is>
      </c>
      <c r="B730" s="8" t="inlineStr">
        <is>
          <t>ABIERTO_NUEVO</t>
        </is>
      </c>
      <c r="C730" s="8" t="inlineStr">
        <is>
          <t>Banco egreso no Flexxus</t>
        </is>
      </c>
      <c r="D730" s="8" t="inlineStr">
        <is>
          <t>20/04/2026</t>
        </is>
      </c>
      <c r="E730" s="8" t="inlineStr">
        <is>
          <t>107503</t>
        </is>
      </c>
      <c r="F730" s="8" t="inlineStr">
        <is>
          <t>GRAVAMEN LEY 25413 S/CRED</t>
        </is>
      </c>
      <c r="G730" s="8" t="inlineStr">
        <is>
          <t>Anticipo Ganancias Ley 25.413 créditos</t>
        </is>
      </c>
      <c r="H730" s="8" t="inlineStr">
        <is>
          <t>Anticipo Impuesto a las Ganancias</t>
        </is>
      </c>
      <c r="I730" s="9" t="n">
        <v>216.88</v>
      </c>
      <c r="J730" s="9" t="inlineStr"/>
      <c r="K730" s="8" t="inlineStr">
        <is>
          <t>Copiar en Flexxus: Tipo=MB-EXT | Movimiento=GRAVAMEN LEY 25.413 S/CRED | Monto=216,88 | Fecha: 20/04/2026</t>
        </is>
      </c>
    </row>
    <row r="731">
      <c r="A731" s="8" t="inlineStr">
        <is>
          <t>PEND-3557A487DE5B-A001</t>
        </is>
      </c>
      <c r="B731" s="8" t="inlineStr">
        <is>
          <t>ABIERTO_NUEVO</t>
        </is>
      </c>
      <c r="C731" s="8" t="inlineStr">
        <is>
          <t>Banco egreso no Flexxus</t>
        </is>
      </c>
      <c r="D731" s="8" t="inlineStr">
        <is>
          <t>20/04/2026</t>
        </is>
      </c>
      <c r="E731" s="8" t="inlineStr">
        <is>
          <t>107502</t>
        </is>
      </c>
      <c r="F731" s="8" t="inlineStr">
        <is>
          <t>INGRESOS BRUTOS MENDOZA</t>
        </is>
      </c>
      <c r="G731" s="8" t="inlineStr">
        <is>
          <t>Retención Ingresos Brutos Mendoza</t>
        </is>
      </c>
      <c r="H731" s="8" t="inlineStr">
        <is>
          <t>Retención de Ingresos Brutos</t>
        </is>
      </c>
      <c r="I731" s="9" t="n">
        <v>210.94</v>
      </c>
      <c r="J731" s="9" t="inlineStr"/>
      <c r="K731" s="8" t="inlineStr">
        <is>
          <t>Copiar en Flexxus: Tipo=MB-EXT | Movimiento=INGRESOS BRUTOS MENDOZA | Monto=210,94 | Fecha: 20/04/2026</t>
        </is>
      </c>
    </row>
    <row r="732">
      <c r="A732" s="8" t="inlineStr">
        <is>
          <t>PEND-A1DC91A27434-A001</t>
        </is>
      </c>
      <c r="B732" s="8" t="inlineStr">
        <is>
          <t>ABIERTO_NUEVO</t>
        </is>
      </c>
      <c r="C732" s="8" t="inlineStr">
        <is>
          <t>Banco egreso no Flexxus</t>
        </is>
      </c>
      <c r="D732" s="8" t="inlineStr">
        <is>
          <t>20/04/2026</t>
        </is>
      </c>
      <c r="E732" s="8" t="inlineStr">
        <is>
          <t>107502</t>
        </is>
      </c>
      <c r="F732" s="8" t="inlineStr">
        <is>
          <t>GRAVAMEN LEY 25413 S/CRED</t>
        </is>
      </c>
      <c r="G732" s="8" t="inlineStr">
        <is>
          <t>Anticipo Ganancias Ley 25.413 créditos</t>
        </is>
      </c>
      <c r="H732" s="8" t="inlineStr">
        <is>
          <t>Anticipo Impuesto a las Ganancias</t>
        </is>
      </c>
      <c r="I732" s="9" t="n">
        <v>126.56</v>
      </c>
      <c r="J732" s="9" t="inlineStr"/>
      <c r="K732" s="8" t="inlineStr">
        <is>
          <t>Copiar en Flexxus: Tipo=MB-EXT | Movimiento=GRAVAMEN LEY 25.413 S/CRED | Monto=126,56 | Fecha: 20/04/2026</t>
        </is>
      </c>
    </row>
    <row r="733">
      <c r="A733" s="8" t="inlineStr">
        <is>
          <t>PEND-FD54AF57C59E-A001</t>
        </is>
      </c>
      <c r="B733" s="8" t="inlineStr">
        <is>
          <t>ABIERTO_NUEVO</t>
        </is>
      </c>
      <c r="C733" s="8" t="inlineStr">
        <is>
          <t>Banco egreso no Flexxus</t>
        </is>
      </c>
      <c r="D733" s="8" t="inlineStr">
        <is>
          <t>20/04/2026</t>
        </is>
      </c>
      <c r="E733" s="8" t="inlineStr">
        <is>
          <t>32032899</t>
        </is>
      </c>
      <c r="F733" s="8" t="inlineStr">
        <is>
          <t>INGRESOS BRUTOS MENDOZA</t>
        </is>
      </c>
      <c r="G733" s="8" t="inlineStr">
        <is>
          <t>Retención Ingresos Brutos Mendoza</t>
        </is>
      </c>
      <c r="H733" s="8" t="inlineStr">
        <is>
          <t>Retención de Ingresos Brutos</t>
        </is>
      </c>
      <c r="I733" s="9" t="n">
        <v>1553.97</v>
      </c>
      <c r="J733" s="9" t="inlineStr"/>
      <c r="K733" s="8" t="inlineStr">
        <is>
          <t>Copiar en Flexxus: Tipo=MB-EXT | Movimiento=INGRESOS BRUTOS MENDOZA | Monto=1.553,97 | Fecha: 20/04/2026</t>
        </is>
      </c>
    </row>
    <row r="734">
      <c r="A734" s="8" t="inlineStr">
        <is>
          <t>PEND-611AA5A14C49-A001</t>
        </is>
      </c>
      <c r="B734" s="8" t="inlineStr">
        <is>
          <t>ABIERTO_NUEVO</t>
        </is>
      </c>
      <c r="C734" s="8" t="inlineStr">
        <is>
          <t>Banco egreso no Flexxus</t>
        </is>
      </c>
      <c r="D734" s="8" t="inlineStr">
        <is>
          <t>20/04/2026</t>
        </is>
      </c>
      <c r="E734" s="8" t="inlineStr">
        <is>
          <t>32032899</t>
        </is>
      </c>
      <c r="F734" s="8" t="inlineStr">
        <is>
          <t>GRAVAMEN LEY 25413 S/CRED</t>
        </is>
      </c>
      <c r="G734" s="8" t="inlineStr">
        <is>
          <t>Anticipo Ganancias Ley 25.413 créditos</t>
        </is>
      </c>
      <c r="H734" s="8" t="inlineStr">
        <is>
          <t>Anticipo Impuesto a las Ganancias</t>
        </is>
      </c>
      <c r="I734" s="9" t="n">
        <v>932.38</v>
      </c>
      <c r="J734" s="9" t="inlineStr"/>
      <c r="K734" s="8" t="inlineStr">
        <is>
          <t>Copiar en Flexxus: Tipo=MB-EXT | Movimiento=GRAVAMEN LEY 25.413 S/CRED | Monto=932,38 | Fecha: 20/04/2026</t>
        </is>
      </c>
    </row>
    <row r="735">
      <c r="A735" s="8" t="inlineStr">
        <is>
          <t>PEND-CAA1252985E6-A001</t>
        </is>
      </c>
      <c r="B735" s="8" t="inlineStr">
        <is>
          <t>ABIERTO_NUEVO</t>
        </is>
      </c>
      <c r="C735" s="8" t="inlineStr">
        <is>
          <t>Banco egreso no Flexxus</t>
        </is>
      </c>
      <c r="D735" s="8" t="inlineStr">
        <is>
          <t>20/04/2026</t>
        </is>
      </c>
      <c r="E735" s="8" t="inlineStr">
        <is>
          <t>31995644</t>
        </is>
      </c>
      <c r="F735" s="8" t="inlineStr">
        <is>
          <t>INGRESOS BRUTOS MENDOZA</t>
        </is>
      </c>
      <c r="G735" s="8" t="inlineStr">
        <is>
          <t>Retención Ingresos Brutos Mendoza</t>
        </is>
      </c>
      <c r="H735" s="8" t="inlineStr">
        <is>
          <t>Retención de Ingresos Brutos</t>
        </is>
      </c>
      <c r="I735" s="9" t="n">
        <v>5934.49</v>
      </c>
      <c r="J735" s="9" t="inlineStr"/>
      <c r="K735" s="8" t="inlineStr">
        <is>
          <t>Copiar en Flexxus: Tipo=MB-EXT | Movimiento=INGRESOS BRUTOS MENDOZA | Monto=5.934,49 | Fecha: 20/04/2026</t>
        </is>
      </c>
    </row>
    <row r="736">
      <c r="A736" s="8" t="inlineStr">
        <is>
          <t>PEND-77FC0B083927-A001</t>
        </is>
      </c>
      <c r="B736" s="8" t="inlineStr">
        <is>
          <t>ABIERTO_NUEVO</t>
        </is>
      </c>
      <c r="C736" s="8" t="inlineStr">
        <is>
          <t>Banco egreso no Flexxus</t>
        </is>
      </c>
      <c r="D736" s="8" t="inlineStr">
        <is>
          <t>20/04/2026</t>
        </is>
      </c>
      <c r="E736" s="8" t="inlineStr">
        <is>
          <t>31995644</t>
        </is>
      </c>
      <c r="F736" s="8" t="inlineStr">
        <is>
          <t>GRAVAMEN LEY 25413 S/CRED</t>
        </is>
      </c>
      <c r="G736" s="8" t="inlineStr">
        <is>
          <t>Anticipo Ganancias Ley 25.413 créditos</t>
        </is>
      </c>
      <c r="H736" s="8" t="inlineStr">
        <is>
          <t>Anticipo Impuesto a las Ganancias</t>
        </is>
      </c>
      <c r="I736" s="9" t="n">
        <v>3560.69</v>
      </c>
      <c r="J736" s="9" t="inlineStr"/>
      <c r="K736" s="8" t="inlineStr">
        <is>
          <t>Copiar en Flexxus: Tipo=MB-EXT | Movimiento=GRAVAMEN LEY 25.413 S/CRED | Monto=3.560,69 | Fecha: 20/04/2026</t>
        </is>
      </c>
    </row>
    <row r="737">
      <c r="A737" s="8" t="inlineStr">
        <is>
          <t>PEND-857B5C80374E-A001</t>
        </is>
      </c>
      <c r="B737" s="8" t="inlineStr">
        <is>
          <t>ABIERTO_NUEVO</t>
        </is>
      </c>
      <c r="C737" s="8" t="inlineStr">
        <is>
          <t>Banco egreso no Flexxus</t>
        </is>
      </c>
      <c r="D737" s="8" t="inlineStr">
        <is>
          <t>20/04/2026</t>
        </is>
      </c>
      <c r="E737" s="8" t="inlineStr">
        <is>
          <t>29841705</t>
        </is>
      </c>
      <c r="F737" s="8" t="inlineStr">
        <is>
          <t>INGRESOS BRUTOS MENDOZA</t>
        </is>
      </c>
      <c r="G737" s="8" t="inlineStr">
        <is>
          <t>Retención Ingresos Brutos Mendoza</t>
        </is>
      </c>
      <c r="H737" s="8" t="inlineStr">
        <is>
          <t>Retención de Ingresos Brutos</t>
        </is>
      </c>
      <c r="I737" s="9" t="n">
        <v>1037.3</v>
      </c>
      <c r="J737" s="9" t="inlineStr"/>
      <c r="K737" s="8" t="inlineStr">
        <is>
          <t>Copiar en Flexxus: Tipo=MB-EXT | Movimiento=INGRESOS BRUTOS MENDOZA | Monto=1.037,30 | Fecha: 20/04/2026</t>
        </is>
      </c>
    </row>
    <row r="738">
      <c r="A738" s="8" t="inlineStr">
        <is>
          <t>PEND-6923684E7971-A001</t>
        </is>
      </c>
      <c r="B738" s="8" t="inlineStr">
        <is>
          <t>ABIERTO_NUEVO</t>
        </is>
      </c>
      <c r="C738" s="8" t="inlineStr">
        <is>
          <t>Banco egreso no Flexxus</t>
        </is>
      </c>
      <c r="D738" s="8" t="inlineStr">
        <is>
          <t>20/04/2026</t>
        </is>
      </c>
      <c r="E738" s="8" t="inlineStr">
        <is>
          <t>29841705</t>
        </is>
      </c>
      <c r="F738" s="8" t="inlineStr">
        <is>
          <t>GRAVAMEN LEY 25413 S/CRED</t>
        </is>
      </c>
      <c r="G738" s="8" t="inlineStr">
        <is>
          <t>Anticipo Ganancias Ley 25.413 créditos</t>
        </is>
      </c>
      <c r="H738" s="8" t="inlineStr">
        <is>
          <t>Anticipo Impuesto a las Ganancias</t>
        </is>
      </c>
      <c r="I738" s="9" t="n">
        <v>622.38</v>
      </c>
      <c r="J738" s="9" t="inlineStr"/>
      <c r="K738" s="8" t="inlineStr">
        <is>
          <t>Copiar en Flexxus: Tipo=MB-EXT | Movimiento=GRAVAMEN LEY 25.413 S/CRED | Monto=622,38 | Fecha: 20/04/2026</t>
        </is>
      </c>
    </row>
    <row r="739">
      <c r="A739" s="8" t="inlineStr">
        <is>
          <t>PEND-5AD5BD731C48-A001</t>
        </is>
      </c>
      <c r="B739" s="8" t="inlineStr">
        <is>
          <t>ABIERTO_NUEVO</t>
        </is>
      </c>
      <c r="C739" s="8" t="inlineStr">
        <is>
          <t>Banco egreso no Flexxus</t>
        </is>
      </c>
      <c r="D739" s="8" t="inlineStr">
        <is>
          <t>20/04/2026</t>
        </is>
      </c>
      <c r="E739" s="8" t="inlineStr">
        <is>
          <t>29841683</t>
        </is>
      </c>
      <c r="F739" s="8" t="inlineStr">
        <is>
          <t>INGRESOS BRUTOS MENDOZA</t>
        </is>
      </c>
      <c r="G739" s="8" t="inlineStr">
        <is>
          <t>Retención Ingresos Brutos Mendoza</t>
        </is>
      </c>
      <c r="H739" s="8" t="inlineStr">
        <is>
          <t>Retención de Ingresos Brutos</t>
        </is>
      </c>
      <c r="I739" s="9" t="n">
        <v>3012.18</v>
      </c>
      <c r="J739" s="9" t="inlineStr"/>
      <c r="K739" s="8" t="inlineStr">
        <is>
          <t>Copiar en Flexxus: Tipo=MB-EXT | Movimiento=INGRESOS BRUTOS MENDOZA | Monto=3.012,18 | Fecha: 20/04/2026</t>
        </is>
      </c>
    </row>
    <row r="740">
      <c r="A740" s="8" t="inlineStr">
        <is>
          <t>PEND-BEAD0BA0A05F-A001</t>
        </is>
      </c>
      <c r="B740" s="8" t="inlineStr">
        <is>
          <t>ABIERTO_NUEVO</t>
        </is>
      </c>
      <c r="C740" s="8" t="inlineStr">
        <is>
          <t>Banco egreso no Flexxus</t>
        </is>
      </c>
      <c r="D740" s="8" t="inlineStr">
        <is>
          <t>20/04/2026</t>
        </is>
      </c>
      <c r="E740" s="8" t="inlineStr">
        <is>
          <t>29841683</t>
        </is>
      </c>
      <c r="F740" s="8" t="inlineStr">
        <is>
          <t>GRAVAMEN LEY 25413 S/CRED</t>
        </is>
      </c>
      <c r="G740" s="8" t="inlineStr">
        <is>
          <t>Anticipo Ganancias Ley 25.413 créditos</t>
        </is>
      </c>
      <c r="H740" s="8" t="inlineStr">
        <is>
          <t>Anticipo Impuesto a las Ganancias</t>
        </is>
      </c>
      <c r="I740" s="9" t="n">
        <v>1807.31</v>
      </c>
      <c r="J740" s="9" t="inlineStr"/>
      <c r="K740" s="8" t="inlineStr">
        <is>
          <t>Copiar en Flexxus: Tipo=MB-EXT | Movimiento=GRAVAMEN LEY 25.413 S/CRED | Monto=1.807,31 | Fecha: 20/04/2026</t>
        </is>
      </c>
    </row>
    <row r="741">
      <c r="A741" s="8" t="inlineStr">
        <is>
          <t>PEND-CE6EE1CCB899-A001</t>
        </is>
      </c>
      <c r="B741" s="8" t="inlineStr">
        <is>
          <t>ABIERTO_NUEVO</t>
        </is>
      </c>
      <c r="C741" s="8" t="inlineStr">
        <is>
          <t>Banco egreso no Flexxus</t>
        </is>
      </c>
      <c r="D741" s="8" t="inlineStr">
        <is>
          <t>20/04/2026</t>
        </is>
      </c>
      <c r="E741" s="8" t="inlineStr">
        <is>
          <t>29841670</t>
        </is>
      </c>
      <c r="F741" s="8" t="inlineStr">
        <is>
          <t>INGRESOS BRUTOS MENDOZA</t>
        </is>
      </c>
      <c r="G741" s="8" t="inlineStr">
        <is>
          <t>Retención Ingresos Brutos Mendoza</t>
        </is>
      </c>
      <c r="H741" s="8" t="inlineStr">
        <is>
          <t>Retención de Ingresos Brutos</t>
        </is>
      </c>
      <c r="I741" s="9" t="n">
        <v>987.9</v>
      </c>
      <c r="J741" s="9" t="inlineStr"/>
      <c r="K741" s="8" t="inlineStr">
        <is>
          <t>Copiar en Flexxus: Tipo=MB-EXT | Movimiento=INGRESOS BRUTOS MENDOZA | Monto=987,90 | Fecha: 20/04/2026</t>
        </is>
      </c>
    </row>
    <row r="742">
      <c r="A742" s="8" t="inlineStr">
        <is>
          <t>PEND-DACF558AC138-A001</t>
        </is>
      </c>
      <c r="B742" s="8" t="inlineStr">
        <is>
          <t>ABIERTO_NUEVO</t>
        </is>
      </c>
      <c r="C742" s="8" t="inlineStr">
        <is>
          <t>Banco egreso no Flexxus</t>
        </is>
      </c>
      <c r="D742" s="8" t="inlineStr">
        <is>
          <t>20/04/2026</t>
        </is>
      </c>
      <c r="E742" s="8" t="inlineStr">
        <is>
          <t>29841670</t>
        </is>
      </c>
      <c r="F742" s="8" t="inlineStr">
        <is>
          <t>GRAVAMEN LEY 25413 S/CRED</t>
        </is>
      </c>
      <c r="G742" s="8" t="inlineStr">
        <is>
          <t>Anticipo Ganancias Ley 25.413 créditos</t>
        </is>
      </c>
      <c r="H742" s="8" t="inlineStr">
        <is>
          <t>Anticipo Impuesto a las Ganancias</t>
        </is>
      </c>
      <c r="I742" s="9" t="n">
        <v>592.74</v>
      </c>
      <c r="J742" s="9" t="inlineStr"/>
      <c r="K742" s="8" t="inlineStr">
        <is>
          <t>Copiar en Flexxus: Tipo=MB-EXT | Movimiento=GRAVAMEN LEY 25.413 S/CRED | Monto=592,74 | Fecha: 20/04/2026</t>
        </is>
      </c>
    </row>
    <row r="743">
      <c r="A743" s="8" t="inlineStr">
        <is>
          <t>PEND-0305B74DADF5-A001</t>
        </is>
      </c>
      <c r="B743" s="8" t="inlineStr">
        <is>
          <t>ABIERTO_NUEVO</t>
        </is>
      </c>
      <c r="C743" s="8" t="inlineStr">
        <is>
          <t>Banco egreso no Flexxus</t>
        </is>
      </c>
      <c r="D743" s="8" t="inlineStr">
        <is>
          <t>20/04/2026</t>
        </is>
      </c>
      <c r="E743" s="8" t="inlineStr">
        <is>
          <t>29841642</t>
        </is>
      </c>
      <c r="F743" s="8" t="inlineStr">
        <is>
          <t>INGRESOS BRUTOS MENDOZA</t>
        </is>
      </c>
      <c r="G743" s="8" t="inlineStr">
        <is>
          <t>Retención Ingresos Brutos Mendoza</t>
        </is>
      </c>
      <c r="H743" s="8" t="inlineStr">
        <is>
          <t>Retención de Ingresos Brutos</t>
        </is>
      </c>
      <c r="I743" s="9" t="n">
        <v>496.81</v>
      </c>
      <c r="J743" s="9" t="inlineStr"/>
      <c r="K743" s="8" t="inlineStr">
        <is>
          <t>Copiar en Flexxus: Tipo=MB-EXT | Movimiento=INGRESOS BRUTOS MENDOZA | Monto=496,81 | Fecha: 20/04/2026</t>
        </is>
      </c>
    </row>
    <row r="744">
      <c r="A744" s="8" t="inlineStr">
        <is>
          <t>PEND-659E053A15F6-A001</t>
        </is>
      </c>
      <c r="B744" s="8" t="inlineStr">
        <is>
          <t>ABIERTO_NUEVO</t>
        </is>
      </c>
      <c r="C744" s="8" t="inlineStr">
        <is>
          <t>Banco egreso no Flexxus</t>
        </is>
      </c>
      <c r="D744" s="8" t="inlineStr">
        <is>
          <t>20/04/2026</t>
        </is>
      </c>
      <c r="E744" s="8" t="inlineStr">
        <is>
          <t>29841642</t>
        </is>
      </c>
      <c r="F744" s="8" t="inlineStr">
        <is>
          <t>GRAVAMEN LEY 25413 S/CRED</t>
        </is>
      </c>
      <c r="G744" s="8" t="inlineStr">
        <is>
          <t>Anticipo Ganancias Ley 25.413 créditos</t>
        </is>
      </c>
      <c r="H744" s="8" t="inlineStr">
        <is>
          <t>Anticipo Impuesto a las Ganancias</t>
        </is>
      </c>
      <c r="I744" s="9" t="n">
        <v>298.09</v>
      </c>
      <c r="J744" s="9" t="inlineStr"/>
      <c r="K744" s="8" t="inlineStr">
        <is>
          <t>Copiar en Flexxus: Tipo=MB-EXT | Movimiento=GRAVAMEN LEY 25.413 S/CRED | Monto=298,09 | Fecha: 20/04/2026</t>
        </is>
      </c>
    </row>
    <row r="745">
      <c r="A745" s="8" t="inlineStr">
        <is>
          <t>PEND-2CDC882207D5-A001</t>
        </is>
      </c>
      <c r="B745" s="8" t="inlineStr">
        <is>
          <t>ABIERTO_NUEVO</t>
        </is>
      </c>
      <c r="C745" s="8" t="inlineStr">
        <is>
          <t>Banco egreso no Flexxus</t>
        </is>
      </c>
      <c r="D745" s="8" t="inlineStr">
        <is>
          <t>20/04/2026</t>
        </is>
      </c>
      <c r="E745" s="8" t="inlineStr">
        <is>
          <t>29841627</t>
        </is>
      </c>
      <c r="F745" s="8" t="inlineStr">
        <is>
          <t>INGRESOS BRUTOS MENDOZA</t>
        </is>
      </c>
      <c r="G745" s="8" t="inlineStr">
        <is>
          <t>Retención Ingresos Brutos Mendoza</t>
        </is>
      </c>
      <c r="H745" s="8" t="inlineStr">
        <is>
          <t>Retención de Ingresos Brutos</t>
        </is>
      </c>
      <c r="I745" s="9" t="n">
        <v>113.61</v>
      </c>
      <c r="J745" s="9" t="inlineStr"/>
      <c r="K745" s="8" t="inlineStr">
        <is>
          <t>Copiar en Flexxus: Tipo=MB-EXT | Movimiento=INGRESOS BRUTOS MENDOZA | Monto=113,61 | Fecha: 20/04/2026</t>
        </is>
      </c>
    </row>
    <row r="746">
      <c r="A746" s="8" t="inlineStr">
        <is>
          <t>PEND-173D7F569377-A001</t>
        </is>
      </c>
      <c r="B746" s="8" t="inlineStr">
        <is>
          <t>ABIERTO_NUEVO</t>
        </is>
      </c>
      <c r="C746" s="8" t="inlineStr">
        <is>
          <t>Banco egreso no Flexxus</t>
        </is>
      </c>
      <c r="D746" s="8" t="inlineStr">
        <is>
          <t>20/04/2026</t>
        </is>
      </c>
      <c r="E746" s="8" t="inlineStr">
        <is>
          <t>29841627</t>
        </is>
      </c>
      <c r="F746" s="8" t="inlineStr">
        <is>
          <t>GRAVAMEN LEY 25413 S/CRED</t>
        </is>
      </c>
      <c r="G746" s="8" t="inlineStr">
        <is>
          <t>Anticipo Ganancias Ley 25.413 créditos</t>
        </is>
      </c>
      <c r="H746" s="8" t="inlineStr">
        <is>
          <t>Anticipo Impuesto a las Ganancias</t>
        </is>
      </c>
      <c r="I746" s="9" t="n">
        <v>68.17</v>
      </c>
      <c r="J746" s="9" t="inlineStr"/>
      <c r="K746" s="8" t="inlineStr">
        <is>
          <t>Copiar en Flexxus: Tipo=MB-EXT | Movimiento=GRAVAMEN LEY 25.413 S/CRED | Monto=68,17 | Fecha: 20/04/2026</t>
        </is>
      </c>
    </row>
    <row r="747">
      <c r="A747" s="8" t="inlineStr">
        <is>
          <t>PEND-E2E7355ACE3B-A001</t>
        </is>
      </c>
      <c r="B747" s="8" t="inlineStr">
        <is>
          <t>ABIERTO_NUEVO</t>
        </is>
      </c>
      <c r="C747" s="8" t="inlineStr">
        <is>
          <t>Banco egreso no Flexxus</t>
        </is>
      </c>
      <c r="D747" s="8" t="inlineStr">
        <is>
          <t>20/04/2026</t>
        </is>
      </c>
      <c r="E747" s="8" t="inlineStr">
        <is>
          <t>32032899</t>
        </is>
      </c>
      <c r="F747" s="8" t="inlineStr">
        <is>
          <t>INGRESOS BRUTOS MENDOZA</t>
        </is>
      </c>
      <c r="G747" s="8" t="inlineStr">
        <is>
          <t>Retención Ingresos Brutos Mendoza</t>
        </is>
      </c>
      <c r="H747" s="8" t="inlineStr">
        <is>
          <t>Retención de Ingresos Brutos</t>
        </is>
      </c>
      <c r="I747" s="9" t="n">
        <v>341.22</v>
      </c>
      <c r="J747" s="9" t="inlineStr"/>
      <c r="K747" s="8" t="inlineStr">
        <is>
          <t>Copiar en Flexxus: Tipo=MB-EXT | Movimiento=INGRESOS BRUTOS MENDOZA | Monto=341,22 | Fecha: 20/04/2026</t>
        </is>
      </c>
    </row>
    <row r="748">
      <c r="A748" s="8" t="inlineStr">
        <is>
          <t>PEND-1BFF0E81AF25-A001</t>
        </is>
      </c>
      <c r="B748" s="8" t="inlineStr">
        <is>
          <t>ABIERTO_NUEVO</t>
        </is>
      </c>
      <c r="C748" s="8" t="inlineStr">
        <is>
          <t>Banco egreso no Flexxus</t>
        </is>
      </c>
      <c r="D748" s="8" t="inlineStr">
        <is>
          <t>20/04/2026</t>
        </is>
      </c>
      <c r="E748" s="8" t="inlineStr">
        <is>
          <t>32032899</t>
        </is>
      </c>
      <c r="F748" s="8" t="inlineStr">
        <is>
          <t>GRAVAMEN LEY 25413 S/CRED</t>
        </is>
      </c>
      <c r="G748" s="8" t="inlineStr">
        <is>
          <t>Anticipo Ganancias Ley 25.413 créditos</t>
        </is>
      </c>
      <c r="H748" s="8" t="inlineStr">
        <is>
          <t>Anticipo Impuesto a las Ganancias</t>
        </is>
      </c>
      <c r="I748" s="9" t="n">
        <v>204.73</v>
      </c>
      <c r="J748" s="9" t="inlineStr"/>
      <c r="K748" s="8" t="inlineStr">
        <is>
          <t>Copiar en Flexxus: Tipo=MB-EXT | Movimiento=GRAVAMEN LEY 25.413 S/CRED | Monto=204,73 | Fecha: 20/04/2026</t>
        </is>
      </c>
    </row>
    <row r="749">
      <c r="A749" s="8" t="inlineStr">
        <is>
          <t>PEND-EE1BB02F7DED-A001</t>
        </is>
      </c>
      <c r="B749" s="8" t="inlineStr">
        <is>
          <t>ABIERTO_NUEVO</t>
        </is>
      </c>
      <c r="C749" s="8" t="inlineStr">
        <is>
          <t>Banco egreso no Flexxus</t>
        </is>
      </c>
      <c r="D749" s="8" t="inlineStr">
        <is>
          <t>20/04/2026</t>
        </is>
      </c>
      <c r="E749" s="8" t="inlineStr">
        <is>
          <t>31995644</t>
        </is>
      </c>
      <c r="F749" s="8" t="inlineStr">
        <is>
          <t>INGRESOS BRUTOS MENDOZA</t>
        </is>
      </c>
      <c r="G749" s="8" t="inlineStr">
        <is>
          <t>Retención Ingresos Brutos Mendoza</t>
        </is>
      </c>
      <c r="H749" s="8" t="inlineStr">
        <is>
          <t>Retención de Ingresos Brutos</t>
        </is>
      </c>
      <c r="I749" s="9" t="n">
        <v>4051.14</v>
      </c>
      <c r="J749" s="9" t="inlineStr"/>
      <c r="K749" s="8" t="inlineStr">
        <is>
          <t>Copiar en Flexxus: Tipo=MB-EXT | Movimiento=INGRESOS BRUTOS MENDOZA | Monto=4.051,14 | Fecha: 20/04/2026</t>
        </is>
      </c>
    </row>
    <row r="750">
      <c r="A750" s="8" t="inlineStr">
        <is>
          <t>PEND-603F4378E114-A001</t>
        </is>
      </c>
      <c r="B750" s="8" t="inlineStr">
        <is>
          <t>ABIERTO_NUEVO</t>
        </is>
      </c>
      <c r="C750" s="8" t="inlineStr">
        <is>
          <t>Banco egreso no Flexxus</t>
        </is>
      </c>
      <c r="D750" s="8" t="inlineStr">
        <is>
          <t>20/04/2026</t>
        </is>
      </c>
      <c r="E750" s="8" t="inlineStr">
        <is>
          <t>31995644</t>
        </is>
      </c>
      <c r="F750" s="8" t="inlineStr">
        <is>
          <t>GRAVAMEN LEY 25413 S/CRED</t>
        </is>
      </c>
      <c r="G750" s="8" t="inlineStr">
        <is>
          <t>Anticipo Ganancias Ley 25.413 créditos</t>
        </is>
      </c>
      <c r="H750" s="8" t="inlineStr">
        <is>
          <t>Anticipo Impuesto a las Ganancias</t>
        </is>
      </c>
      <c r="I750" s="9" t="n">
        <v>2430.68</v>
      </c>
      <c r="J750" s="9" t="inlineStr"/>
      <c r="K750" s="8" t="inlineStr">
        <is>
          <t>Copiar en Flexxus: Tipo=MB-EXT | Movimiento=GRAVAMEN LEY 25.413 S/CRED | Monto=2.430,68 | Fecha: 20/04/2026</t>
        </is>
      </c>
    </row>
    <row r="751">
      <c r="A751" s="8" t="inlineStr">
        <is>
          <t>PEND-5AF01D96B259-A001</t>
        </is>
      </c>
      <c r="B751" s="8" t="inlineStr">
        <is>
          <t>ABIERTO_NUEVO</t>
        </is>
      </c>
      <c r="C751" s="8" t="inlineStr">
        <is>
          <t>Banco egreso no Flexxus</t>
        </is>
      </c>
      <c r="D751" s="8" t="inlineStr">
        <is>
          <t>20/04/2026</t>
        </is>
      </c>
      <c r="E751" s="8" t="inlineStr">
        <is>
          <t>29841627</t>
        </is>
      </c>
      <c r="F751" s="8" t="inlineStr">
        <is>
          <t>INGRESOS BRUTOS MENDOZA</t>
        </is>
      </c>
      <c r="G751" s="8" t="inlineStr">
        <is>
          <t>Retención Ingresos Brutos Mendoza</t>
        </is>
      </c>
      <c r="H751" s="8" t="inlineStr">
        <is>
          <t>Retención de Ingresos Brutos</t>
        </is>
      </c>
      <c r="I751" s="9" t="n">
        <v>123.49</v>
      </c>
      <c r="J751" s="9" t="inlineStr"/>
      <c r="K751" s="8" t="inlineStr">
        <is>
          <t>Copiar en Flexxus: Tipo=MB-EXT | Movimiento=INGRESOS BRUTOS MENDOZA | Monto=123,49 | Fecha: 20/04/2026</t>
        </is>
      </c>
    </row>
    <row r="752">
      <c r="A752" s="8" t="inlineStr">
        <is>
          <t>PEND-A54D3F6DBE3B-A001</t>
        </is>
      </c>
      <c r="B752" s="8" t="inlineStr">
        <is>
          <t>ABIERTO_NUEVO</t>
        </is>
      </c>
      <c r="C752" s="8" t="inlineStr">
        <is>
          <t>Banco egreso no Flexxus</t>
        </is>
      </c>
      <c r="D752" s="8" t="inlineStr">
        <is>
          <t>20/04/2026</t>
        </is>
      </c>
      <c r="E752" s="8" t="inlineStr">
        <is>
          <t>29841627</t>
        </is>
      </c>
      <c r="F752" s="8" t="inlineStr">
        <is>
          <t>GRAVAMEN LEY 25413 S/CRED</t>
        </is>
      </c>
      <c r="G752" s="8" t="inlineStr">
        <is>
          <t>Anticipo Ganancias Ley 25.413 créditos</t>
        </is>
      </c>
      <c r="H752" s="8" t="inlineStr">
        <is>
          <t>Anticipo Impuesto a las Ganancias</t>
        </is>
      </c>
      <c r="I752" s="9" t="n">
        <v>74.09</v>
      </c>
      <c r="J752" s="9" t="inlineStr"/>
      <c r="K752" s="8" t="inlineStr">
        <is>
          <t>Copiar en Flexxus: Tipo=MB-EXT | Movimiento=GRAVAMEN LEY 25.413 S/CRED | Monto=74,09 | Fecha: 20/04/2026</t>
        </is>
      </c>
    </row>
    <row r="753">
      <c r="A753" s="8" t="inlineStr">
        <is>
          <t>PEND-0C7B68334FB5-A001</t>
        </is>
      </c>
      <c r="B753" s="8" t="inlineStr">
        <is>
          <t>ABIERTO_NUEVO</t>
        </is>
      </c>
      <c r="C753" s="8" t="inlineStr">
        <is>
          <t>Banco egreso no Flexxus</t>
        </is>
      </c>
      <c r="D753" s="8" t="inlineStr">
        <is>
          <t>20/04/2026</t>
        </is>
      </c>
      <c r="E753" s="8" t="inlineStr">
        <is>
          <t>32032899</t>
        </is>
      </c>
      <c r="F753" s="8" t="inlineStr">
        <is>
          <t>INGRESOS BRUTOS MENDOZA</t>
        </is>
      </c>
      <c r="G753" s="8" t="inlineStr">
        <is>
          <t>Retención Ingresos Brutos Mendoza</t>
        </is>
      </c>
      <c r="H753" s="8" t="inlineStr">
        <is>
          <t>Retención de Ingresos Brutos</t>
        </is>
      </c>
      <c r="I753" s="9" t="n">
        <v>358.03</v>
      </c>
      <c r="J753" s="9" t="inlineStr"/>
      <c r="K753" s="8" t="inlineStr">
        <is>
          <t>Copiar en Flexxus: Tipo=MB-EXT | Movimiento=INGRESOS BRUTOS MENDOZA | Monto=358,03 | Fecha: 20/04/2026</t>
        </is>
      </c>
    </row>
    <row r="754">
      <c r="A754" s="8" t="inlineStr">
        <is>
          <t>PEND-7A54CA64A1ED-A001</t>
        </is>
      </c>
      <c r="B754" s="8" t="inlineStr">
        <is>
          <t>ABIERTO_NUEVO</t>
        </is>
      </c>
      <c r="C754" s="8" t="inlineStr">
        <is>
          <t>Banco egreso no Flexxus</t>
        </is>
      </c>
      <c r="D754" s="8" t="inlineStr">
        <is>
          <t>20/04/2026</t>
        </is>
      </c>
      <c r="E754" s="8" t="inlineStr">
        <is>
          <t>32032899</t>
        </is>
      </c>
      <c r="F754" s="8" t="inlineStr">
        <is>
          <t>GRAVAMEN LEY 25413 S/CRED</t>
        </is>
      </c>
      <c r="G754" s="8" t="inlineStr">
        <is>
          <t>Anticipo Ganancias Ley 25.413 créditos</t>
        </is>
      </c>
      <c r="H754" s="8" t="inlineStr">
        <is>
          <t>Anticipo Impuesto a las Ganancias</t>
        </is>
      </c>
      <c r="I754" s="9" t="n">
        <v>214.82</v>
      </c>
      <c r="J754" s="9" t="inlineStr"/>
      <c r="K754" s="8" t="inlineStr">
        <is>
          <t>Copiar en Flexxus: Tipo=MB-EXT | Movimiento=GRAVAMEN LEY 25.413 S/CRED | Monto=214,82 | Fecha: 20/04/2026</t>
        </is>
      </c>
    </row>
    <row r="755">
      <c r="A755" s="8" t="inlineStr">
        <is>
          <t>PEND-A8CDF95AC27B-A001</t>
        </is>
      </c>
      <c r="B755" s="8" t="inlineStr">
        <is>
          <t>ABIERTO_NUEVO</t>
        </is>
      </c>
      <c r="C755" s="8" t="inlineStr">
        <is>
          <t>Banco egreso no Flexxus</t>
        </is>
      </c>
      <c r="D755" s="8" t="inlineStr">
        <is>
          <t>20/04/2026</t>
        </is>
      </c>
      <c r="E755" s="8" t="inlineStr">
        <is>
          <t>107488</t>
        </is>
      </c>
      <c r="F755" s="8" t="inlineStr">
        <is>
          <t>INGRESOS BRUTOS MENDOZA</t>
        </is>
      </c>
      <c r="G755" s="8" t="inlineStr">
        <is>
          <t>Retención Ingresos Brutos Mendoza</t>
        </is>
      </c>
      <c r="H755" s="8" t="inlineStr">
        <is>
          <t>Retención de Ingresos Brutos</t>
        </is>
      </c>
      <c r="I755" s="9" t="n">
        <v>247.58</v>
      </c>
      <c r="J755" s="9" t="inlineStr"/>
      <c r="K755" s="8" t="inlineStr">
        <is>
          <t>Copiar en Flexxus: Tipo=MB-EXT | Movimiento=INGRESOS BRUTOS MENDOZA | Monto=247,58 | Fecha: 20/04/2026</t>
        </is>
      </c>
    </row>
    <row r="756">
      <c r="A756" s="8" t="inlineStr">
        <is>
          <t>PEND-5FD9F06683F4-A001</t>
        </is>
      </c>
      <c r="B756" s="8" t="inlineStr">
        <is>
          <t>ABIERTO_NUEVO</t>
        </is>
      </c>
      <c r="C756" s="8" t="inlineStr">
        <is>
          <t>Banco egreso no Flexxus</t>
        </is>
      </c>
      <c r="D756" s="8" t="inlineStr">
        <is>
          <t>20/04/2026</t>
        </is>
      </c>
      <c r="E756" s="8" t="inlineStr">
        <is>
          <t>107488</t>
        </is>
      </c>
      <c r="F756" s="8" t="inlineStr">
        <is>
          <t>GRAVAMEN LEY 25413 S/CRED</t>
        </is>
      </c>
      <c r="G756" s="8" t="inlineStr">
        <is>
          <t>Anticipo Ganancias Ley 25.413 créditos</t>
        </is>
      </c>
      <c r="H756" s="8" t="inlineStr">
        <is>
          <t>Anticipo Impuesto a las Ganancias</t>
        </is>
      </c>
      <c r="I756" s="9" t="n">
        <v>148.55</v>
      </c>
      <c r="J756" s="9" t="inlineStr"/>
      <c r="K756" s="8" t="inlineStr">
        <is>
          <t>Copiar en Flexxus: Tipo=MB-EXT | Movimiento=GRAVAMEN LEY 25.413 S/CRED | Monto=148,55 | Fecha: 20/04/2026</t>
        </is>
      </c>
    </row>
    <row r="757">
      <c r="A757" s="8" t="inlineStr">
        <is>
          <t>PEND-E83DF9294074-A001</t>
        </is>
      </c>
      <c r="B757" s="8" t="inlineStr">
        <is>
          <t>ABIERTO_NUEVO</t>
        </is>
      </c>
      <c r="C757" s="8" t="inlineStr">
        <is>
          <t>Banco egreso no Flexxus</t>
        </is>
      </c>
      <c r="D757" s="8" t="inlineStr">
        <is>
          <t>20/04/2026</t>
        </is>
      </c>
      <c r="E757" s="8" t="inlineStr">
        <is>
          <t>31995644</t>
        </is>
      </c>
      <c r="F757" s="8" t="inlineStr">
        <is>
          <t>INGRESOS BRUTOS MENDOZA</t>
        </is>
      </c>
      <c r="G757" s="8" t="inlineStr">
        <is>
          <t>Retención Ingresos Brutos Mendoza</t>
        </is>
      </c>
      <c r="H757" s="8" t="inlineStr">
        <is>
          <t>Retención de Ingresos Brutos</t>
        </is>
      </c>
      <c r="I757" s="9" t="n">
        <v>6305.28</v>
      </c>
      <c r="J757" s="9" t="inlineStr"/>
      <c r="K757" s="8" t="inlineStr">
        <is>
          <t>Copiar en Flexxus: Tipo=MB-EXT | Movimiento=INGRESOS BRUTOS MENDOZA | Monto=6.305,28 | Fecha: 20/04/2026</t>
        </is>
      </c>
    </row>
    <row r="758">
      <c r="A758" s="8" t="inlineStr">
        <is>
          <t>PEND-5955AEF7874C-A001</t>
        </is>
      </c>
      <c r="B758" s="8" t="inlineStr">
        <is>
          <t>ABIERTO_NUEVO</t>
        </is>
      </c>
      <c r="C758" s="8" t="inlineStr">
        <is>
          <t>Banco egreso no Flexxus</t>
        </is>
      </c>
      <c r="D758" s="8" t="inlineStr">
        <is>
          <t>20/04/2026</t>
        </is>
      </c>
      <c r="E758" s="8" t="inlineStr">
        <is>
          <t>31995644</t>
        </is>
      </c>
      <c r="F758" s="8" t="inlineStr">
        <is>
          <t>GRAVAMEN LEY 25413 S/CRED</t>
        </is>
      </c>
      <c r="G758" s="8" t="inlineStr">
        <is>
          <t>Anticipo Ganancias Ley 25.413 créditos</t>
        </is>
      </c>
      <c r="H758" s="8" t="inlineStr">
        <is>
          <t>Anticipo Impuesto a las Ganancias</t>
        </is>
      </c>
      <c r="I758" s="9" t="n">
        <v>3783.17</v>
      </c>
      <c r="J758" s="9" t="inlineStr"/>
      <c r="K758" s="8" t="inlineStr">
        <is>
          <t>Copiar en Flexxus: Tipo=MB-EXT | Movimiento=GRAVAMEN LEY 25.413 S/CRED | Monto=3.783,17 | Fecha: 20/04/2026</t>
        </is>
      </c>
    </row>
    <row r="759">
      <c r="A759" s="8" t="inlineStr">
        <is>
          <t>PEND-92FC279EA4BC-A001</t>
        </is>
      </c>
      <c r="B759" s="8" t="inlineStr">
        <is>
          <t>ABIERTO_NUEVO</t>
        </is>
      </c>
      <c r="C759" s="8" t="inlineStr">
        <is>
          <t>Banco egreso no Flexxus</t>
        </is>
      </c>
      <c r="D759" s="8" t="inlineStr">
        <is>
          <t>20/04/2026</t>
        </is>
      </c>
      <c r="E759" s="8" t="inlineStr">
        <is>
          <t>32032899</t>
        </is>
      </c>
      <c r="F759" s="8" t="inlineStr">
        <is>
          <t>INGRESOS BRUTOS MENDOZA</t>
        </is>
      </c>
      <c r="G759" s="8" t="inlineStr">
        <is>
          <t>Retención Ingresos Brutos Mendoza</t>
        </is>
      </c>
      <c r="H759" s="8" t="inlineStr">
        <is>
          <t>Retención de Ingresos Brutos</t>
        </is>
      </c>
      <c r="I759" s="9" t="n">
        <v>1219.17</v>
      </c>
      <c r="J759" s="9" t="inlineStr"/>
      <c r="K759" s="8" t="inlineStr">
        <is>
          <t>Copiar en Flexxus: Tipo=MB-EXT | Movimiento=INGRESOS BRUTOS MENDOZA | Monto=1.219,17 | Fecha: 20/04/2026</t>
        </is>
      </c>
    </row>
    <row r="760">
      <c r="A760" s="8" t="inlineStr">
        <is>
          <t>PEND-3383C4B4DE84-A001</t>
        </is>
      </c>
      <c r="B760" s="8" t="inlineStr">
        <is>
          <t>ABIERTO_NUEVO</t>
        </is>
      </c>
      <c r="C760" s="8" t="inlineStr">
        <is>
          <t>Banco egreso no Flexxus</t>
        </is>
      </c>
      <c r="D760" s="8" t="inlineStr">
        <is>
          <t>20/04/2026</t>
        </is>
      </c>
      <c r="E760" s="8" t="inlineStr">
        <is>
          <t>32032899</t>
        </is>
      </c>
      <c r="F760" s="8" t="inlineStr">
        <is>
          <t>GRAVAMEN LEY 25413 S/CRED</t>
        </is>
      </c>
      <c r="G760" s="8" t="inlineStr">
        <is>
          <t>Anticipo Ganancias Ley 25.413 créditos</t>
        </is>
      </c>
      <c r="H760" s="8" t="inlineStr">
        <is>
          <t>Anticipo Impuesto a las Ganancias</t>
        </is>
      </c>
      <c r="I760" s="9" t="n">
        <v>731.5</v>
      </c>
      <c r="J760" s="9" t="inlineStr"/>
      <c r="K760" s="8" t="inlineStr">
        <is>
          <t>Copiar en Flexxus: Tipo=MB-EXT | Movimiento=GRAVAMEN LEY 25.413 S/CRED | Monto=731,50 | Fecha: 20/04/2026</t>
        </is>
      </c>
    </row>
    <row r="761">
      <c r="A761" s="8" t="inlineStr">
        <is>
          <t>PEND-7A8848EDA80D-A001</t>
        </is>
      </c>
      <c r="B761" s="8" t="inlineStr">
        <is>
          <t>ABIERTO_NUEVO</t>
        </is>
      </c>
      <c r="C761" s="8" t="inlineStr">
        <is>
          <t>Banco egreso no Flexxus</t>
        </is>
      </c>
      <c r="D761" s="8" t="inlineStr">
        <is>
          <t>20/04/2026</t>
        </is>
      </c>
      <c r="E761" s="8" t="inlineStr">
        <is>
          <t>32032899</t>
        </is>
      </c>
      <c r="F761" s="8" t="inlineStr">
        <is>
          <t>INGRESOS BRUTOS MENDOZA</t>
        </is>
      </c>
      <c r="G761" s="8" t="inlineStr">
        <is>
          <t>Retención Ingresos Brutos Mendoza</t>
        </is>
      </c>
      <c r="H761" s="8" t="inlineStr">
        <is>
          <t>Retención de Ingresos Brutos</t>
        </is>
      </c>
      <c r="I761" s="9" t="n">
        <v>313.03</v>
      </c>
      <c r="J761" s="9" t="inlineStr"/>
      <c r="K761" s="8" t="inlineStr">
        <is>
          <t>Copiar en Flexxus: Tipo=MB-EXT | Movimiento=INGRESOS BRUTOS MENDOZA | Monto=313,03 | Fecha: 20/04/2026</t>
        </is>
      </c>
    </row>
    <row r="762">
      <c r="A762" s="8" t="inlineStr">
        <is>
          <t>PEND-F299863F95A3-A001</t>
        </is>
      </c>
      <c r="B762" s="8" t="inlineStr">
        <is>
          <t>ABIERTO_NUEVO</t>
        </is>
      </c>
      <c r="C762" s="8" t="inlineStr">
        <is>
          <t>Banco egreso no Flexxus</t>
        </is>
      </c>
      <c r="D762" s="8" t="inlineStr">
        <is>
          <t>20/04/2026</t>
        </is>
      </c>
      <c r="E762" s="8" t="inlineStr">
        <is>
          <t>32032899</t>
        </is>
      </c>
      <c r="F762" s="8" t="inlineStr">
        <is>
          <t>GRAVAMEN LEY 25413 S/CRED</t>
        </is>
      </c>
      <c r="G762" s="8" t="inlineStr">
        <is>
          <t>Anticipo Ganancias Ley 25.413 créditos</t>
        </is>
      </c>
      <c r="H762" s="8" t="inlineStr">
        <is>
          <t>Anticipo Impuesto a las Ganancias</t>
        </is>
      </c>
      <c r="I762" s="9" t="n">
        <v>187.82</v>
      </c>
      <c r="J762" s="9" t="inlineStr"/>
      <c r="K762" s="8" t="inlineStr">
        <is>
          <t>Copiar en Flexxus: Tipo=MB-EXT | Movimiento=GRAVAMEN LEY 25.413 S/CRED | Monto=187,82 | Fecha: 20/04/2026</t>
        </is>
      </c>
    </row>
    <row r="763">
      <c r="A763" s="8" t="inlineStr">
        <is>
          <t>PEND-3020296860C1-A001</t>
        </is>
      </c>
      <c r="B763" s="8" t="inlineStr">
        <is>
          <t>ABIERTO_NUEVO</t>
        </is>
      </c>
      <c r="C763" s="8" t="inlineStr">
        <is>
          <t>Banco egreso no Flexxus</t>
        </is>
      </c>
      <c r="D763" s="8" t="inlineStr">
        <is>
          <t>20/04/2026</t>
        </is>
      </c>
      <c r="E763" s="8" t="inlineStr">
        <is>
          <t>31995644</t>
        </is>
      </c>
      <c r="F763" s="8" t="inlineStr">
        <is>
          <t>INGRESOS BRUTOS MENDOZA</t>
        </is>
      </c>
      <c r="G763" s="8" t="inlineStr">
        <is>
          <t>Retención Ingresos Brutos Mendoza</t>
        </is>
      </c>
      <c r="H763" s="8" t="inlineStr">
        <is>
          <t>Retención de Ingresos Brutos</t>
        </is>
      </c>
      <c r="I763" s="9" t="n">
        <v>521.85</v>
      </c>
      <c r="J763" s="9" t="inlineStr"/>
      <c r="K763" s="8" t="inlineStr">
        <is>
          <t>Copiar en Flexxus: Tipo=MB-EXT | Movimiento=INGRESOS BRUTOS MENDOZA | Monto=521,85 | Fecha: 20/04/2026</t>
        </is>
      </c>
    </row>
    <row r="764">
      <c r="A764" s="8" t="inlineStr">
        <is>
          <t>PEND-93E69363793C-A001</t>
        </is>
      </c>
      <c r="B764" s="8" t="inlineStr">
        <is>
          <t>ABIERTO_NUEVO</t>
        </is>
      </c>
      <c r="C764" s="8" t="inlineStr">
        <is>
          <t>Banco egreso no Flexxus</t>
        </is>
      </c>
      <c r="D764" s="8" t="inlineStr">
        <is>
          <t>20/04/2026</t>
        </is>
      </c>
      <c r="E764" s="8" t="inlineStr">
        <is>
          <t>31995644</t>
        </is>
      </c>
      <c r="F764" s="8" t="inlineStr">
        <is>
          <t>GRAVAMEN LEY 25413 S/CRED</t>
        </is>
      </c>
      <c r="G764" s="8" t="inlineStr">
        <is>
          <t>Anticipo Ganancias Ley 25.413 créditos</t>
        </is>
      </c>
      <c r="H764" s="8" t="inlineStr">
        <is>
          <t>Anticipo Impuesto a las Ganancias</t>
        </is>
      </c>
      <c r="I764" s="9" t="n">
        <v>313.11</v>
      </c>
      <c r="J764" s="9" t="inlineStr"/>
      <c r="K764" s="8" t="inlineStr">
        <is>
          <t>Copiar en Flexxus: Tipo=MB-EXT | Movimiento=GRAVAMEN LEY 25.413 S/CRED | Monto=313,11 | Fecha: 20/04/2026</t>
        </is>
      </c>
    </row>
    <row r="765">
      <c r="A765" s="8" t="inlineStr">
        <is>
          <t>PEND-2ACA4846F365-A001</t>
        </is>
      </c>
      <c r="B765" s="8" t="inlineStr">
        <is>
          <t>ABIERTO_NUEVO</t>
        </is>
      </c>
      <c r="C765" s="8" t="inlineStr">
        <is>
          <t>Banco egreso no Flexxus</t>
        </is>
      </c>
      <c r="D765" s="8" t="inlineStr">
        <is>
          <t>20/04/2026</t>
        </is>
      </c>
      <c r="E765" s="8" t="inlineStr">
        <is>
          <t>31995644</t>
        </is>
      </c>
      <c r="F765" s="8" t="inlineStr">
        <is>
          <t>INGRESOS BRUTOS MENDOZA</t>
        </is>
      </c>
      <c r="G765" s="8" t="inlineStr">
        <is>
          <t>Retención Ingresos Brutos Mendoza</t>
        </is>
      </c>
      <c r="H765" s="8" t="inlineStr">
        <is>
          <t>Retención de Ingresos Brutos</t>
        </is>
      </c>
      <c r="I765" s="9" t="n">
        <v>916.59</v>
      </c>
      <c r="J765" s="9" t="inlineStr"/>
      <c r="K765" s="8" t="inlineStr">
        <is>
          <t>Copiar en Flexxus: Tipo=MB-EXT | Movimiento=INGRESOS BRUTOS MENDOZA | Monto=916,59 | Fecha: 20/04/2026</t>
        </is>
      </c>
    </row>
    <row r="766">
      <c r="A766" s="8" t="inlineStr">
        <is>
          <t>PEND-293C1FD26C6D-A001</t>
        </is>
      </c>
      <c r="B766" s="8" t="inlineStr">
        <is>
          <t>ABIERTO_NUEVO</t>
        </is>
      </c>
      <c r="C766" s="8" t="inlineStr">
        <is>
          <t>Banco egreso no Flexxus</t>
        </is>
      </c>
      <c r="D766" s="8" t="inlineStr">
        <is>
          <t>20/04/2026</t>
        </is>
      </c>
      <c r="E766" s="8" t="inlineStr">
        <is>
          <t>31995644</t>
        </is>
      </c>
      <c r="F766" s="8" t="inlineStr">
        <is>
          <t>GRAVAMEN LEY 25413 S/CRED</t>
        </is>
      </c>
      <c r="G766" s="8" t="inlineStr">
        <is>
          <t>Anticipo Ganancias Ley 25.413 créditos</t>
        </is>
      </c>
      <c r="H766" s="8" t="inlineStr">
        <is>
          <t>Anticipo Impuesto a las Ganancias</t>
        </is>
      </c>
      <c r="I766" s="9" t="n">
        <v>549.96</v>
      </c>
      <c r="J766" s="9" t="inlineStr"/>
      <c r="K766" s="8" t="inlineStr">
        <is>
          <t>Copiar en Flexxus: Tipo=MB-EXT | Movimiento=GRAVAMEN LEY 25.413 S/CRED | Monto=549,96 | Fecha: 20/04/2026</t>
        </is>
      </c>
    </row>
    <row r="767">
      <c r="A767" s="8" t="inlineStr">
        <is>
          <t>PEND-B8877AA138BF-A001</t>
        </is>
      </c>
      <c r="B767" s="8" t="inlineStr">
        <is>
          <t>ABIERTO_NUEVO</t>
        </is>
      </c>
      <c r="C767" s="8" t="inlineStr">
        <is>
          <t>Banco egreso no Flexxus</t>
        </is>
      </c>
      <c r="D767" s="8" t="inlineStr">
        <is>
          <t>20/04/2026</t>
        </is>
      </c>
      <c r="E767" s="8" t="inlineStr">
        <is>
          <t>4018025</t>
        </is>
      </c>
      <c r="F767" s="8" t="inlineStr">
        <is>
          <t>INGRESOS BRUTOS MENDOZA</t>
        </is>
      </c>
      <c r="G767" s="8" t="inlineStr">
        <is>
          <t>Retención Ingresos Brutos Mendoza</t>
        </is>
      </c>
      <c r="H767" s="8" t="inlineStr">
        <is>
          <t>Retención de Ingresos Brutos</t>
        </is>
      </c>
      <c r="I767" s="9" t="n">
        <v>22532.11</v>
      </c>
      <c r="J767" s="9" t="inlineStr"/>
      <c r="K767" s="8" t="inlineStr">
        <is>
          <t>Copiar en Flexxus: Tipo=MB-EXT | Movimiento=INGRESOS BRUTOS MENDOZA | Monto=22.532,11 | Fecha: 20/04/2026</t>
        </is>
      </c>
    </row>
    <row r="768">
      <c r="A768" s="8" t="inlineStr">
        <is>
          <t>PEND-586F3258D7E2-A001</t>
        </is>
      </c>
      <c r="B768" s="8" t="inlineStr">
        <is>
          <t>ABIERTO_NUEVO</t>
        </is>
      </c>
      <c r="C768" s="8" t="inlineStr">
        <is>
          <t>Banco egreso no Flexxus</t>
        </is>
      </c>
      <c r="D768" s="8" t="inlineStr">
        <is>
          <t>20/04/2026</t>
        </is>
      </c>
      <c r="E768" s="8" t="inlineStr">
        <is>
          <t>4018025</t>
        </is>
      </c>
      <c r="F768" s="8" t="inlineStr">
        <is>
          <t>GRAVAMEN LEY 25413 S/CRED</t>
        </is>
      </c>
      <c r="G768" s="8" t="inlineStr">
        <is>
          <t>Anticipo Ganancias Ley 25.413 créditos</t>
        </is>
      </c>
      <c r="H768" s="8" t="inlineStr">
        <is>
          <t>Anticipo Impuesto a las Ganancias</t>
        </is>
      </c>
      <c r="I768" s="9" t="n">
        <v>13519.26</v>
      </c>
      <c r="J768" s="9" t="inlineStr"/>
      <c r="K768" s="8" t="inlineStr">
        <is>
          <t>Copiar en Flexxus: Tipo=MB-EXT | Movimiento=GRAVAMEN LEY 25.413 S/CRED | Monto=13.519,26 | Fecha: 20/04/2026</t>
        </is>
      </c>
    </row>
    <row r="769">
      <c r="A769" s="8" t="inlineStr">
        <is>
          <t>PEND-9E59CEF27F35-A001</t>
        </is>
      </c>
      <c r="B769" s="8" t="inlineStr">
        <is>
          <t>ABIERTO_NUEVO</t>
        </is>
      </c>
      <c r="C769" s="8" t="inlineStr">
        <is>
          <t>Banco egreso no Flexxus</t>
        </is>
      </c>
      <c r="D769" s="8" t="inlineStr">
        <is>
          <t>20/04/2026</t>
        </is>
      </c>
      <c r="E769" s="8" t="inlineStr">
        <is>
          <t>29841683</t>
        </is>
      </c>
      <c r="F769" s="8" t="inlineStr">
        <is>
          <t>INGRESOS BRUTOS MENDOZA</t>
        </is>
      </c>
      <c r="G769" s="8" t="inlineStr">
        <is>
          <t>Retención Ingresos Brutos Mendoza</t>
        </is>
      </c>
      <c r="H769" s="8" t="inlineStr">
        <is>
          <t>Retención de Ingresos Brutos</t>
        </is>
      </c>
      <c r="I769" s="9" t="n">
        <v>316.94</v>
      </c>
      <c r="J769" s="9" t="inlineStr"/>
      <c r="K769" s="8" t="inlineStr">
        <is>
          <t>Copiar en Flexxus: Tipo=MB-EXT | Movimiento=INGRESOS BRUTOS MENDOZA | Monto=316,94 | Fecha: 20/04/2026</t>
        </is>
      </c>
    </row>
    <row r="770">
      <c r="A770" s="8" t="inlineStr">
        <is>
          <t>PEND-7FE195FA13F2-A001</t>
        </is>
      </c>
      <c r="B770" s="8" t="inlineStr">
        <is>
          <t>ABIERTO_NUEVO</t>
        </is>
      </c>
      <c r="C770" s="8" t="inlineStr">
        <is>
          <t>Banco egreso no Flexxus</t>
        </is>
      </c>
      <c r="D770" s="8" t="inlineStr">
        <is>
          <t>20/04/2026</t>
        </is>
      </c>
      <c r="E770" s="8" t="inlineStr">
        <is>
          <t>29841683</t>
        </is>
      </c>
      <c r="F770" s="8" t="inlineStr">
        <is>
          <t>GRAVAMEN LEY 25413 S/CRED</t>
        </is>
      </c>
      <c r="G770" s="8" t="inlineStr">
        <is>
          <t>Anticipo Ganancias Ley 25.413 créditos</t>
        </is>
      </c>
      <c r="H770" s="8" t="inlineStr">
        <is>
          <t>Anticipo Impuesto a las Ganancias</t>
        </is>
      </c>
      <c r="I770" s="9" t="n">
        <v>190.17</v>
      </c>
      <c r="J770" s="9" t="inlineStr"/>
      <c r="K770" s="8" t="inlineStr">
        <is>
          <t>Copiar en Flexxus: Tipo=MB-EXT | Movimiento=GRAVAMEN LEY 25.413 S/CRED | Monto=190,17 | Fecha: 20/04/2026</t>
        </is>
      </c>
    </row>
    <row r="771">
      <c r="A771" s="8" t="inlineStr">
        <is>
          <t>PEND-160C2906465F-A001</t>
        </is>
      </c>
      <c r="B771" s="8" t="inlineStr">
        <is>
          <t>ABIERTO_NUEVO</t>
        </is>
      </c>
      <c r="C771" s="8" t="inlineStr">
        <is>
          <t>Banco egreso no Flexxus</t>
        </is>
      </c>
      <c r="D771" s="8" t="inlineStr">
        <is>
          <t>20/04/2026</t>
        </is>
      </c>
      <c r="E771" s="8" t="inlineStr">
        <is>
          <t>29841670</t>
        </is>
      </c>
      <c r="F771" s="8" t="inlineStr">
        <is>
          <t>INGRESOS BRUTOS MENDOZA</t>
        </is>
      </c>
      <c r="G771" s="8" t="inlineStr">
        <is>
          <t>Retención Ingresos Brutos Mendoza</t>
        </is>
      </c>
      <c r="H771" s="8" t="inlineStr">
        <is>
          <t>Retención de Ingresos Brutos</t>
        </is>
      </c>
      <c r="I771" s="9" t="n">
        <v>82.17</v>
      </c>
      <c r="J771" s="9" t="inlineStr"/>
      <c r="K771" s="8" t="inlineStr">
        <is>
          <t>Copiar en Flexxus: Tipo=MB-EXT | Movimiento=INGRESOS BRUTOS MENDOZA | Monto=82,17 | Fecha: 20/04/2026</t>
        </is>
      </c>
    </row>
    <row r="772">
      <c r="A772" s="8" t="inlineStr">
        <is>
          <t>PEND-43388214D7FF-A001</t>
        </is>
      </c>
      <c r="B772" s="8" t="inlineStr">
        <is>
          <t>ABIERTO_NUEVO</t>
        </is>
      </c>
      <c r="C772" s="8" t="inlineStr">
        <is>
          <t>Banco egreso no Flexxus</t>
        </is>
      </c>
      <c r="D772" s="8" t="inlineStr">
        <is>
          <t>20/04/2026</t>
        </is>
      </c>
      <c r="E772" s="8" t="inlineStr">
        <is>
          <t>29841670</t>
        </is>
      </c>
      <c r="F772" s="8" t="inlineStr">
        <is>
          <t>GRAVAMEN LEY 25413 S/CRED</t>
        </is>
      </c>
      <c r="G772" s="8" t="inlineStr">
        <is>
          <t>Anticipo Ganancias Ley 25.413 créditos</t>
        </is>
      </c>
      <c r="H772" s="8" t="inlineStr">
        <is>
          <t>Anticipo Impuesto a las Ganancias</t>
        </is>
      </c>
      <c r="I772" s="9" t="n">
        <v>49.3</v>
      </c>
      <c r="J772" s="9" t="inlineStr"/>
      <c r="K772" s="8" t="inlineStr">
        <is>
          <t>Copiar en Flexxus: Tipo=MB-EXT | Movimiento=GRAVAMEN LEY 25.413 S/CRED | Monto=49,30 | Fecha: 20/04/2026</t>
        </is>
      </c>
    </row>
    <row r="773">
      <c r="A773" s="8" t="inlineStr">
        <is>
          <t>PEND-D92E1DC860CD-A001</t>
        </is>
      </c>
      <c r="B773" s="8" t="inlineStr">
        <is>
          <t>ABIERTO_NUEVO</t>
        </is>
      </c>
      <c r="C773" s="8" t="inlineStr">
        <is>
          <t>Banco egreso no Flexxus</t>
        </is>
      </c>
      <c r="D773" s="8" t="inlineStr">
        <is>
          <t>20/04/2026</t>
        </is>
      </c>
      <c r="E773" s="8" t="inlineStr">
        <is>
          <t>29841642</t>
        </is>
      </c>
      <c r="F773" s="8" t="inlineStr">
        <is>
          <t>INGRESOS BRUTOS MENDOZA</t>
        </is>
      </c>
      <c r="G773" s="8" t="inlineStr">
        <is>
          <t>Retención Ingresos Brutos Mendoza</t>
        </is>
      </c>
      <c r="H773" s="8" t="inlineStr">
        <is>
          <t>Retención de Ingresos Brutos</t>
        </is>
      </c>
      <c r="I773" s="9" t="n">
        <v>141.84</v>
      </c>
      <c r="J773" s="9" t="inlineStr"/>
      <c r="K773" s="8" t="inlineStr">
        <is>
          <t>Copiar en Flexxus: Tipo=MB-EXT | Movimiento=INGRESOS BRUTOS MENDOZA | Monto=141,84 | Fecha: 20/04/2026</t>
        </is>
      </c>
    </row>
    <row r="774">
      <c r="A774" s="8" t="inlineStr">
        <is>
          <t>PEND-31C739936064-A001</t>
        </is>
      </c>
      <c r="B774" s="8" t="inlineStr">
        <is>
          <t>ABIERTO_NUEVO</t>
        </is>
      </c>
      <c r="C774" s="8" t="inlineStr">
        <is>
          <t>Banco egreso no Flexxus</t>
        </is>
      </c>
      <c r="D774" s="8" t="inlineStr">
        <is>
          <t>20/04/2026</t>
        </is>
      </c>
      <c r="E774" s="8" t="inlineStr">
        <is>
          <t>29841642</t>
        </is>
      </c>
      <c r="F774" s="8" t="inlineStr">
        <is>
          <t>GRAVAMEN LEY 25413 S/CRED</t>
        </is>
      </c>
      <c r="G774" s="8" t="inlineStr">
        <is>
          <t>Anticipo Ganancias Ley 25.413 créditos</t>
        </is>
      </c>
      <c r="H774" s="8" t="inlineStr">
        <is>
          <t>Anticipo Impuesto a las Ganancias</t>
        </is>
      </c>
      <c r="I774" s="9" t="n">
        <v>85.11</v>
      </c>
      <c r="J774" s="9" t="inlineStr"/>
      <c r="K774" s="8" t="inlineStr">
        <is>
          <t>Copiar en Flexxus: Tipo=MB-EXT | Movimiento=GRAVAMEN LEY 25.413 S/CRED | Monto=85,11 | Fecha: 20/04/2026</t>
        </is>
      </c>
    </row>
    <row r="775">
      <c r="A775" s="8" t="inlineStr">
        <is>
          <t>PEND-81900524A500-A001</t>
        </is>
      </c>
      <c r="B775" s="8" t="inlineStr">
        <is>
          <t>ABIERTO_NUEVO</t>
        </is>
      </c>
      <c r="C775" s="8" t="inlineStr">
        <is>
          <t>Banco egreso no Flexxus</t>
        </is>
      </c>
      <c r="D775" s="8" t="inlineStr">
        <is>
          <t>20/04/2026</t>
        </is>
      </c>
      <c r="E775" s="8" t="inlineStr">
        <is>
          <t>32032899</t>
        </is>
      </c>
      <c r="F775" s="8" t="inlineStr">
        <is>
          <t>INGRESOS BRUTOS MENDOZA</t>
        </is>
      </c>
      <c r="G775" s="8" t="inlineStr">
        <is>
          <t>Retención Ingresos Brutos Mendoza</t>
        </is>
      </c>
      <c r="H775" s="8" t="inlineStr">
        <is>
          <t>Retención de Ingresos Brutos</t>
        </is>
      </c>
      <c r="I775" s="9" t="n">
        <v>954.74</v>
      </c>
      <c r="J775" s="9" t="inlineStr"/>
      <c r="K775" s="8" t="inlineStr">
        <is>
          <t>Copiar en Flexxus: Tipo=MB-EXT | Movimiento=INGRESOS BRUTOS MENDOZA | Monto=954,74 | Fecha: 20/04/2026</t>
        </is>
      </c>
    </row>
    <row r="776">
      <c r="A776" s="8" t="inlineStr">
        <is>
          <t>PEND-16C1D1121BF0-A001</t>
        </is>
      </c>
      <c r="B776" s="8" t="inlineStr">
        <is>
          <t>ABIERTO_NUEVO</t>
        </is>
      </c>
      <c r="C776" s="8" t="inlineStr">
        <is>
          <t>Banco egreso no Flexxus</t>
        </is>
      </c>
      <c r="D776" s="8" t="inlineStr">
        <is>
          <t>20/04/2026</t>
        </is>
      </c>
      <c r="E776" s="8" t="inlineStr">
        <is>
          <t>32032899</t>
        </is>
      </c>
      <c r="F776" s="8" t="inlineStr">
        <is>
          <t>GRAVAMEN LEY 25413 S/CRED</t>
        </is>
      </c>
      <c r="G776" s="8" t="inlineStr">
        <is>
          <t>Anticipo Ganancias Ley 25.413 créditos</t>
        </is>
      </c>
      <c r="H776" s="8" t="inlineStr">
        <is>
          <t>Anticipo Impuesto a las Ganancias</t>
        </is>
      </c>
      <c r="I776" s="9" t="n">
        <v>572.85</v>
      </c>
      <c r="J776" s="9" t="inlineStr"/>
      <c r="K776" s="8" t="inlineStr">
        <is>
          <t>Copiar en Flexxus: Tipo=MB-EXT | Movimiento=GRAVAMEN LEY 25.413 S/CRED | Monto=572,85 | Fecha: 20/04/2026</t>
        </is>
      </c>
    </row>
    <row r="777">
      <c r="A777" s="8" t="inlineStr">
        <is>
          <t>PEND-3020296860C1-B002</t>
        </is>
      </c>
      <c r="B777" s="8" t="inlineStr">
        <is>
          <t>ABIERTO_NUEVO</t>
        </is>
      </c>
      <c r="C777" s="8" t="inlineStr">
        <is>
          <t>Banco egreso no Flexxus</t>
        </is>
      </c>
      <c r="D777" s="8" t="inlineStr">
        <is>
          <t>20/04/2026</t>
        </is>
      </c>
      <c r="E777" s="8" t="inlineStr">
        <is>
          <t>31995644</t>
        </is>
      </c>
      <c r="F777" s="8" t="inlineStr">
        <is>
          <t>INGRESOS BRUTOS MENDOZA</t>
        </is>
      </c>
      <c r="G777" s="8" t="inlineStr">
        <is>
          <t>Retención Ingresos Brutos Mendoza</t>
        </is>
      </c>
      <c r="H777" s="8" t="inlineStr">
        <is>
          <t>Retención de Ingresos Brutos</t>
        </is>
      </c>
      <c r="I777" s="9" t="n">
        <v>521.85</v>
      </c>
      <c r="J777" s="9" t="inlineStr"/>
      <c r="K777" s="8" t="inlineStr">
        <is>
          <t>Copiar en Flexxus: Tipo=MB-EXT | Movimiento=INGRESOS BRUTOS MENDOZA | Monto=521,85 | Fecha: 20/04/2026</t>
        </is>
      </c>
    </row>
    <row r="778">
      <c r="A778" s="8" t="inlineStr">
        <is>
          <t>PEND-93E69363793C-B002</t>
        </is>
      </c>
      <c r="B778" s="8" t="inlineStr">
        <is>
          <t>ABIERTO_NUEVO</t>
        </is>
      </c>
      <c r="C778" s="8" t="inlineStr">
        <is>
          <t>Banco egreso no Flexxus</t>
        </is>
      </c>
      <c r="D778" s="8" t="inlineStr">
        <is>
          <t>20/04/2026</t>
        </is>
      </c>
      <c r="E778" s="8" t="inlineStr">
        <is>
          <t>31995644</t>
        </is>
      </c>
      <c r="F778" s="8" t="inlineStr">
        <is>
          <t>GRAVAMEN LEY 25413 S/CRED</t>
        </is>
      </c>
      <c r="G778" s="8" t="inlineStr">
        <is>
          <t>Anticipo Ganancias Ley 25.413 créditos</t>
        </is>
      </c>
      <c r="H778" s="8" t="inlineStr">
        <is>
          <t>Anticipo Impuesto a las Ganancias</t>
        </is>
      </c>
      <c r="I778" s="9" t="n">
        <v>313.11</v>
      </c>
      <c r="J778" s="9" t="inlineStr"/>
      <c r="K778" s="8" t="inlineStr">
        <is>
          <t>Copiar en Flexxus: Tipo=MB-EXT | Movimiento=GRAVAMEN LEY 25.413 S/CRED | Monto=313,11 | Fecha: 20/04/2026</t>
        </is>
      </c>
    </row>
    <row r="779">
      <c r="A779" s="8" t="inlineStr">
        <is>
          <t>PEND-77C4F24CBC54-A001</t>
        </is>
      </c>
      <c r="B779" s="8" t="inlineStr">
        <is>
          <t>ABIERTO_NUEVO</t>
        </is>
      </c>
      <c r="C779" s="8" t="inlineStr">
        <is>
          <t>Banco egreso no Flexxus</t>
        </is>
      </c>
      <c r="D779" s="8" t="inlineStr">
        <is>
          <t>20/04/2026</t>
        </is>
      </c>
      <c r="E779" s="8" t="inlineStr">
        <is>
          <t>31995644</t>
        </is>
      </c>
      <c r="F779" s="8" t="inlineStr">
        <is>
          <t>INGRESOS BRUTOS MENDOZA</t>
        </is>
      </c>
      <c r="G779" s="8" t="inlineStr">
        <is>
          <t>Retención Ingresos Brutos Mendoza</t>
        </is>
      </c>
      <c r="H779" s="8" t="inlineStr">
        <is>
          <t>Retención de Ingresos Brutos</t>
        </is>
      </c>
      <c r="I779" s="9" t="n">
        <v>3161.82</v>
      </c>
      <c r="J779" s="9" t="inlineStr"/>
      <c r="K779" s="8" t="inlineStr">
        <is>
          <t>Copiar en Flexxus: Tipo=MB-EXT | Movimiento=INGRESOS BRUTOS MENDOZA | Monto=3.161,82 | Fecha: 20/04/2026</t>
        </is>
      </c>
    </row>
    <row r="780">
      <c r="A780" s="8" t="inlineStr">
        <is>
          <t>PEND-41FDF61E5688-A001</t>
        </is>
      </c>
      <c r="B780" s="8" t="inlineStr">
        <is>
          <t>ABIERTO_NUEVO</t>
        </is>
      </c>
      <c r="C780" s="8" t="inlineStr">
        <is>
          <t>Banco egreso no Flexxus</t>
        </is>
      </c>
      <c r="D780" s="8" t="inlineStr">
        <is>
          <t>20/04/2026</t>
        </is>
      </c>
      <c r="E780" s="8" t="inlineStr">
        <is>
          <t>31995644</t>
        </is>
      </c>
      <c r="F780" s="8" t="inlineStr">
        <is>
          <t>GRAVAMEN LEY 25413 S/CRED</t>
        </is>
      </c>
      <c r="G780" s="8" t="inlineStr">
        <is>
          <t>Anticipo Ganancias Ley 25.413 créditos</t>
        </is>
      </c>
      <c r="H780" s="8" t="inlineStr">
        <is>
          <t>Anticipo Impuesto a las Ganancias</t>
        </is>
      </c>
      <c r="I780" s="9" t="n">
        <v>1897.09</v>
      </c>
      <c r="J780" s="9" t="inlineStr"/>
      <c r="K780" s="8" t="inlineStr">
        <is>
          <t>Copiar en Flexxus: Tipo=MB-EXT | Movimiento=GRAVAMEN LEY 25.413 S/CRED | Monto=1.897,09 | Fecha: 20/04/2026</t>
        </is>
      </c>
    </row>
    <row r="781">
      <c r="A781" s="8" t="inlineStr">
        <is>
          <t>PEND-31C2624A73D1-A001</t>
        </is>
      </c>
      <c r="B781" s="8" t="inlineStr">
        <is>
          <t>ABIERTO_NUEVO</t>
        </is>
      </c>
      <c r="C781" s="8" t="inlineStr">
        <is>
          <t>Banco egreso no Flexxus</t>
        </is>
      </c>
      <c r="D781" s="8" t="inlineStr">
        <is>
          <t>20/04/2026</t>
        </is>
      </c>
      <c r="E781" s="8" t="inlineStr">
        <is>
          <t>29841705</t>
        </is>
      </c>
      <c r="F781" s="8" t="inlineStr">
        <is>
          <t>INGRESOS BRUTOS MENDOZA</t>
        </is>
      </c>
      <c r="G781" s="8" t="inlineStr">
        <is>
          <t>Retención Ingresos Brutos Mendoza</t>
        </is>
      </c>
      <c r="H781" s="8" t="inlineStr">
        <is>
          <t>Retención de Ingresos Brutos</t>
        </is>
      </c>
      <c r="I781" s="9" t="n">
        <v>352.16</v>
      </c>
      <c r="J781" s="9" t="inlineStr"/>
      <c r="K781" s="8" t="inlineStr">
        <is>
          <t>Copiar en Flexxus: Tipo=MB-EXT | Movimiento=INGRESOS BRUTOS MENDOZA | Monto=352,16 | Fecha: 20/04/2026</t>
        </is>
      </c>
    </row>
    <row r="782">
      <c r="A782" s="8" t="inlineStr">
        <is>
          <t>PEND-38769EE04806-A001</t>
        </is>
      </c>
      <c r="B782" s="8" t="inlineStr">
        <is>
          <t>ABIERTO_NUEVO</t>
        </is>
      </c>
      <c r="C782" s="8" t="inlineStr">
        <is>
          <t>Banco egreso no Flexxus</t>
        </is>
      </c>
      <c r="D782" s="8" t="inlineStr">
        <is>
          <t>20/04/2026</t>
        </is>
      </c>
      <c r="E782" s="8" t="inlineStr">
        <is>
          <t>29841705</t>
        </is>
      </c>
      <c r="F782" s="8" t="inlineStr">
        <is>
          <t>GRAVAMEN LEY 25413 S/CRED</t>
        </is>
      </c>
      <c r="G782" s="8" t="inlineStr">
        <is>
          <t>Anticipo Ganancias Ley 25.413 créditos</t>
        </is>
      </c>
      <c r="H782" s="8" t="inlineStr">
        <is>
          <t>Anticipo Impuesto a las Ganancias</t>
        </is>
      </c>
      <c r="I782" s="9" t="n">
        <v>211.3</v>
      </c>
      <c r="J782" s="9" t="inlineStr"/>
      <c r="K782" s="8" t="inlineStr">
        <is>
          <t>Copiar en Flexxus: Tipo=MB-EXT | Movimiento=GRAVAMEN LEY 25.413 S/CRED | Monto=211,30 | Fecha: 20/04/2026</t>
        </is>
      </c>
    </row>
    <row r="783">
      <c r="A783" s="8" t="inlineStr">
        <is>
          <t>PEND-388E66354707-A001</t>
        </is>
      </c>
      <c r="B783" s="8" t="inlineStr">
        <is>
          <t>ABIERTO_NUEVO</t>
        </is>
      </c>
      <c r="C783" s="8" t="inlineStr">
        <is>
          <t>Banco egreso no Flexxus</t>
        </is>
      </c>
      <c r="D783" s="8" t="inlineStr">
        <is>
          <t>20/04/2026</t>
        </is>
      </c>
      <c r="E783" s="8" t="inlineStr">
        <is>
          <t>29841683</t>
        </is>
      </c>
      <c r="F783" s="8" t="inlineStr">
        <is>
          <t>INGRESOS BRUTOS MENDOZA</t>
        </is>
      </c>
      <c r="G783" s="8" t="inlineStr">
        <is>
          <t>Retención Ingresos Brutos Mendoza</t>
        </is>
      </c>
      <c r="H783" s="8" t="inlineStr">
        <is>
          <t>Retención de Ingresos Brutos</t>
        </is>
      </c>
      <c r="I783" s="9" t="n">
        <v>328.68</v>
      </c>
      <c r="J783" s="9" t="inlineStr"/>
      <c r="K783" s="8" t="inlineStr">
        <is>
          <t>Copiar en Flexxus: Tipo=MB-EXT | Movimiento=INGRESOS BRUTOS MENDOZA | Monto=328,68 | Fecha: 20/04/2026</t>
        </is>
      </c>
    </row>
    <row r="784">
      <c r="A784" s="8" t="inlineStr">
        <is>
          <t>PEND-32245EE13C30-A001</t>
        </is>
      </c>
      <c r="B784" s="8" t="inlineStr">
        <is>
          <t>ABIERTO_NUEVO</t>
        </is>
      </c>
      <c r="C784" s="8" t="inlineStr">
        <is>
          <t>Banco egreso no Flexxus</t>
        </is>
      </c>
      <c r="D784" s="8" t="inlineStr">
        <is>
          <t>20/04/2026</t>
        </is>
      </c>
      <c r="E784" s="8" t="inlineStr">
        <is>
          <t>29841683</t>
        </is>
      </c>
      <c r="F784" s="8" t="inlineStr">
        <is>
          <t>GRAVAMEN LEY 25413 S/CRED</t>
        </is>
      </c>
      <c r="G784" s="8" t="inlineStr">
        <is>
          <t>Anticipo Ganancias Ley 25.413 créditos</t>
        </is>
      </c>
      <c r="H784" s="8" t="inlineStr">
        <is>
          <t>Anticipo Impuesto a las Ganancias</t>
        </is>
      </c>
      <c r="I784" s="9" t="n">
        <v>197.21</v>
      </c>
      <c r="J784" s="9" t="inlineStr"/>
      <c r="K784" s="8" t="inlineStr">
        <is>
          <t>Copiar en Flexxus: Tipo=MB-EXT | Movimiento=GRAVAMEN LEY 25.413 S/CRED | Monto=197,21 | Fecha: 20/04/2026</t>
        </is>
      </c>
    </row>
    <row r="785">
      <c r="A785" s="8" t="inlineStr">
        <is>
          <t>PEND-57731A846A06-A001</t>
        </is>
      </c>
      <c r="B785" s="8" t="inlineStr">
        <is>
          <t>ABIERTO_NUEVO</t>
        </is>
      </c>
      <c r="C785" s="8" t="inlineStr">
        <is>
          <t>Banco egreso no Flexxus</t>
        </is>
      </c>
      <c r="D785" s="8" t="inlineStr">
        <is>
          <t>20/04/2026</t>
        </is>
      </c>
      <c r="E785" s="8" t="inlineStr">
        <is>
          <t>107473</t>
        </is>
      </c>
      <c r="F785" s="8" t="inlineStr">
        <is>
          <t>INGRESOS BRUTOS MENDOZA</t>
        </is>
      </c>
      <c r="G785" s="8" t="inlineStr">
        <is>
          <t>Retención Ingresos Brutos Mendoza</t>
        </is>
      </c>
      <c r="H785" s="8" t="inlineStr">
        <is>
          <t>Retención de Ingresos Brutos</t>
        </is>
      </c>
      <c r="I785" s="9" t="n">
        <v>249.56</v>
      </c>
      <c r="J785" s="9" t="inlineStr"/>
      <c r="K785" s="8" t="inlineStr">
        <is>
          <t>Copiar en Flexxus: Tipo=MB-EXT | Movimiento=INGRESOS BRUTOS MENDOZA | Monto=249,56 | Fecha: 20/04/2026</t>
        </is>
      </c>
    </row>
    <row r="786">
      <c r="A786" s="8" t="inlineStr">
        <is>
          <t>PEND-9FE65B632FB7-A001</t>
        </is>
      </c>
      <c r="B786" s="8" t="inlineStr">
        <is>
          <t>ABIERTO_NUEVO</t>
        </is>
      </c>
      <c r="C786" s="8" t="inlineStr">
        <is>
          <t>Banco egreso no Flexxus</t>
        </is>
      </c>
      <c r="D786" s="8" t="inlineStr">
        <is>
          <t>20/04/2026</t>
        </is>
      </c>
      <c r="E786" s="8" t="inlineStr">
        <is>
          <t>107473</t>
        </is>
      </c>
      <c r="F786" s="8" t="inlineStr">
        <is>
          <t>GRAVAMEN LEY 25413 S/CRED</t>
        </is>
      </c>
      <c r="G786" s="8" t="inlineStr">
        <is>
          <t>Anticipo Ganancias Ley 25.413 créditos</t>
        </is>
      </c>
      <c r="H786" s="8" t="inlineStr">
        <is>
          <t>Anticipo Impuesto a las Ganancias</t>
        </is>
      </c>
      <c r="I786" s="9" t="n">
        <v>149.74</v>
      </c>
      <c r="J786" s="9" t="inlineStr"/>
      <c r="K786" s="8" t="inlineStr">
        <is>
          <t>Copiar en Flexxus: Tipo=MB-EXT | Movimiento=GRAVAMEN LEY 25.413 S/CRED | Monto=149,74 | Fecha: 20/04/2026</t>
        </is>
      </c>
    </row>
    <row r="787">
      <c r="A787" s="8" t="inlineStr">
        <is>
          <t>PEND-A35CD150AC2A-A001</t>
        </is>
      </c>
      <c r="B787" s="8" t="inlineStr">
        <is>
          <t>ABIERTO_NUEVO</t>
        </is>
      </c>
      <c r="C787" s="8" t="inlineStr">
        <is>
          <t>Banco egreso no Flexxus</t>
        </is>
      </c>
      <c r="D787" s="8" t="inlineStr">
        <is>
          <t>20/04/2026</t>
        </is>
      </c>
      <c r="E787" s="8" t="inlineStr">
        <is>
          <t>107472</t>
        </is>
      </c>
      <c r="F787" s="8" t="inlineStr">
        <is>
          <t>INGRESOS BRUTOS MENDOZA</t>
        </is>
      </c>
      <c r="G787" s="8" t="inlineStr">
        <is>
          <t>Retención Ingresos Brutos Mendoza</t>
        </is>
      </c>
      <c r="H787" s="8" t="inlineStr">
        <is>
          <t>Retención de Ingresos Brutos</t>
        </is>
      </c>
      <c r="I787" s="9" t="n">
        <v>265.41</v>
      </c>
      <c r="J787" s="9" t="inlineStr"/>
      <c r="K787" s="8" t="inlineStr">
        <is>
          <t>Copiar en Flexxus: Tipo=MB-EXT | Movimiento=INGRESOS BRUTOS MENDOZA | Monto=265,41 | Fecha: 20/04/2026</t>
        </is>
      </c>
    </row>
    <row r="788">
      <c r="A788" s="8" t="inlineStr">
        <is>
          <t>PEND-71FF32935B1A-A001</t>
        </is>
      </c>
      <c r="B788" s="8" t="inlineStr">
        <is>
          <t>ABIERTO_NUEVO</t>
        </is>
      </c>
      <c r="C788" s="8" t="inlineStr">
        <is>
          <t>Banco egreso no Flexxus</t>
        </is>
      </c>
      <c r="D788" s="8" t="inlineStr">
        <is>
          <t>20/04/2026</t>
        </is>
      </c>
      <c r="E788" s="8" t="inlineStr">
        <is>
          <t>107472</t>
        </is>
      </c>
      <c r="F788" s="8" t="inlineStr">
        <is>
          <t>GRAVAMEN LEY 25413 S/CRED</t>
        </is>
      </c>
      <c r="G788" s="8" t="inlineStr">
        <is>
          <t>Anticipo Ganancias Ley 25.413 créditos</t>
        </is>
      </c>
      <c r="H788" s="8" t="inlineStr">
        <is>
          <t>Anticipo Impuesto a las Ganancias</t>
        </is>
      </c>
      <c r="I788" s="9" t="n">
        <v>159.24</v>
      </c>
      <c r="J788" s="9" t="inlineStr"/>
      <c r="K788" s="8" t="inlineStr">
        <is>
          <t>Copiar en Flexxus: Tipo=MB-EXT | Movimiento=GRAVAMEN LEY 25.413 S/CRED | Monto=159,24 | Fecha: 20/04/2026</t>
        </is>
      </c>
    </row>
    <row r="789">
      <c r="A789" s="8" t="inlineStr">
        <is>
          <t>PEND-35953911E9E1-A001</t>
        </is>
      </c>
      <c r="B789" s="8" t="inlineStr">
        <is>
          <t>ABIERTO_NUEVO</t>
        </is>
      </c>
      <c r="C789" s="8" t="inlineStr">
        <is>
          <t>Banco egreso no Flexxus</t>
        </is>
      </c>
      <c r="D789" s="8" t="inlineStr">
        <is>
          <t>20/04/2026</t>
        </is>
      </c>
      <c r="E789" s="8" t="inlineStr">
        <is>
          <t>107471</t>
        </is>
      </c>
      <c r="F789" s="8" t="inlineStr">
        <is>
          <t>INGRESOS BRUTOS MENDOZA</t>
        </is>
      </c>
      <c r="G789" s="8" t="inlineStr">
        <is>
          <t>Retención Ingresos Brutos Mendoza</t>
        </is>
      </c>
      <c r="H789" s="8" t="inlineStr">
        <is>
          <t>Retención de Ingresos Brutos</t>
        </is>
      </c>
      <c r="I789" s="9" t="n">
        <v>227.77</v>
      </c>
      <c r="J789" s="9" t="inlineStr"/>
      <c r="K789" s="8" t="inlineStr">
        <is>
          <t>Copiar en Flexxus: Tipo=MB-EXT | Movimiento=INGRESOS BRUTOS MENDOZA | Monto=227,77 | Fecha: 20/04/2026</t>
        </is>
      </c>
    </row>
    <row r="790">
      <c r="A790" s="8" t="inlineStr">
        <is>
          <t>PEND-64963E15F91F-A001</t>
        </is>
      </c>
      <c r="B790" s="8" t="inlineStr">
        <is>
          <t>ABIERTO_NUEVO</t>
        </is>
      </c>
      <c r="C790" s="8" t="inlineStr">
        <is>
          <t>Banco egreso no Flexxus</t>
        </is>
      </c>
      <c r="D790" s="8" t="inlineStr">
        <is>
          <t>20/04/2026</t>
        </is>
      </c>
      <c r="E790" s="8" t="inlineStr">
        <is>
          <t>107471</t>
        </is>
      </c>
      <c r="F790" s="8" t="inlineStr">
        <is>
          <t>GRAVAMEN LEY 25413 S/CRED</t>
        </is>
      </c>
      <c r="G790" s="8" t="inlineStr">
        <is>
          <t>Anticipo Ganancias Ley 25.413 créditos</t>
        </is>
      </c>
      <c r="H790" s="8" t="inlineStr">
        <is>
          <t>Anticipo Impuesto a las Ganancias</t>
        </is>
      </c>
      <c r="I790" s="9" t="n">
        <v>136.66</v>
      </c>
      <c r="J790" s="9" t="inlineStr"/>
      <c r="K790" s="8" t="inlineStr">
        <is>
          <t>Copiar en Flexxus: Tipo=MB-EXT | Movimiento=GRAVAMEN LEY 25.413 S/CRED | Monto=136,66 | Fecha: 20/04/2026</t>
        </is>
      </c>
    </row>
    <row r="791">
      <c r="A791" s="8" t="inlineStr">
        <is>
          <t>PEND-7DD45CC8BCDD-A001</t>
        </is>
      </c>
      <c r="B791" s="8" t="inlineStr">
        <is>
          <t>ABIERTO_NUEVO</t>
        </is>
      </c>
      <c r="C791" s="8" t="inlineStr">
        <is>
          <t>Banco egreso no Flexxus</t>
        </is>
      </c>
      <c r="D791" s="8" t="inlineStr">
        <is>
          <t>20/04/2026</t>
        </is>
      </c>
      <c r="E791" s="8" t="inlineStr">
        <is>
          <t>107470</t>
        </is>
      </c>
      <c r="F791" s="8" t="inlineStr">
        <is>
          <t>INGRESOS BRUTOS MENDOZA</t>
        </is>
      </c>
      <c r="G791" s="8" t="inlineStr">
        <is>
          <t>Retención Ingresos Brutos Mendoza</t>
        </is>
      </c>
      <c r="H791" s="8" t="inlineStr">
        <is>
          <t>Retención de Ingresos Brutos</t>
        </is>
      </c>
      <c r="I791" s="9" t="n">
        <v>113.89</v>
      </c>
      <c r="J791" s="9" t="inlineStr"/>
      <c r="K791" s="8" t="inlineStr">
        <is>
          <t>Copiar en Flexxus: Tipo=MB-EXT | Movimiento=INGRESOS BRUTOS MENDOZA | Monto=113,89 | Fecha: 20/04/2026</t>
        </is>
      </c>
    </row>
    <row r="792">
      <c r="A792" s="8" t="inlineStr">
        <is>
          <t>PEND-4289B2589C51-A001</t>
        </is>
      </c>
      <c r="B792" s="8" t="inlineStr">
        <is>
          <t>ABIERTO_NUEVO</t>
        </is>
      </c>
      <c r="C792" s="8" t="inlineStr">
        <is>
          <t>Banco egreso no Flexxus</t>
        </is>
      </c>
      <c r="D792" s="8" t="inlineStr">
        <is>
          <t>20/04/2026</t>
        </is>
      </c>
      <c r="E792" s="8" t="inlineStr">
        <is>
          <t>107470</t>
        </is>
      </c>
      <c r="F792" s="8" t="inlineStr">
        <is>
          <t>GRAVAMEN LEY 25413 S/CRED</t>
        </is>
      </c>
      <c r="G792" s="8" t="inlineStr">
        <is>
          <t>Anticipo Ganancias Ley 25.413 créditos</t>
        </is>
      </c>
      <c r="H792" s="8" t="inlineStr">
        <is>
          <t>Anticipo Impuesto a las Ganancias</t>
        </is>
      </c>
      <c r="I792" s="9" t="n">
        <v>68.33</v>
      </c>
      <c r="J792" s="9" t="inlineStr"/>
      <c r="K792" s="8" t="inlineStr">
        <is>
          <t>Copiar en Flexxus: Tipo=MB-EXT | Movimiento=GRAVAMEN LEY 25.413 S/CRED | Monto=68,33 | Fecha: 20/04/2026</t>
        </is>
      </c>
    </row>
    <row r="793">
      <c r="A793" s="8" t="inlineStr">
        <is>
          <t>PEND-B8DD7D4B856E-A001</t>
        </is>
      </c>
      <c r="B793" s="8" t="inlineStr">
        <is>
          <t>ABIERTO_NUEVO</t>
        </is>
      </c>
      <c r="C793" s="8" t="inlineStr">
        <is>
          <t>Banco egreso no Flexxus</t>
        </is>
      </c>
      <c r="D793" s="8" t="inlineStr">
        <is>
          <t>20/04/2026</t>
        </is>
      </c>
      <c r="E793" s="8" t="inlineStr">
        <is>
          <t>107469</t>
        </is>
      </c>
      <c r="F793" s="8" t="inlineStr">
        <is>
          <t>INGRESOS BRUTOS MENDOZA</t>
        </is>
      </c>
      <c r="G793" s="8" t="inlineStr">
        <is>
          <t>Retención Ingresos Brutos Mendoza</t>
        </is>
      </c>
      <c r="H793" s="8" t="inlineStr">
        <is>
          <t>Retención de Ingresos Brutos</t>
        </is>
      </c>
      <c r="I793" s="9" t="n">
        <v>179.25</v>
      </c>
      <c r="J793" s="9" t="inlineStr"/>
      <c r="K793" s="8" t="inlineStr">
        <is>
          <t>Copiar en Flexxus: Tipo=MB-EXT | Movimiento=INGRESOS BRUTOS MENDOZA | Monto=179,25 | Fecha: 20/04/2026</t>
        </is>
      </c>
    </row>
    <row r="794">
      <c r="A794" s="8" t="inlineStr">
        <is>
          <t>PEND-57171E6E8059-A001</t>
        </is>
      </c>
      <c r="B794" s="8" t="inlineStr">
        <is>
          <t>ABIERTO_NUEVO</t>
        </is>
      </c>
      <c r="C794" s="8" t="inlineStr">
        <is>
          <t>Banco egreso no Flexxus</t>
        </is>
      </c>
      <c r="D794" s="8" t="inlineStr">
        <is>
          <t>20/04/2026</t>
        </is>
      </c>
      <c r="E794" s="8" t="inlineStr">
        <is>
          <t>107469</t>
        </is>
      </c>
      <c r="F794" s="8" t="inlineStr">
        <is>
          <t>GRAVAMEN LEY 25413 S/CRED</t>
        </is>
      </c>
      <c r="G794" s="8" t="inlineStr">
        <is>
          <t>Anticipo Ganancias Ley 25.413 créditos</t>
        </is>
      </c>
      <c r="H794" s="8" t="inlineStr">
        <is>
          <t>Anticipo Impuesto a las Ganancias</t>
        </is>
      </c>
      <c r="I794" s="9" t="n">
        <v>107.55</v>
      </c>
      <c r="J794" s="9" t="inlineStr"/>
      <c r="K794" s="8" t="inlineStr">
        <is>
          <t>Copiar en Flexxus: Tipo=MB-EXT | Movimiento=GRAVAMEN LEY 25.413 S/CRED | Monto=107,55 | Fecha: 20/04/2026</t>
        </is>
      </c>
    </row>
    <row r="795">
      <c r="A795" s="8" t="inlineStr">
        <is>
          <t>PEND-5D05E67B16E6-A001</t>
        </is>
      </c>
      <c r="B795" s="8" t="inlineStr">
        <is>
          <t>ABIERTO_NUEVO</t>
        </is>
      </c>
      <c r="C795" s="8" t="inlineStr">
        <is>
          <t>Banco egreso no Flexxus</t>
        </is>
      </c>
      <c r="D795" s="8" t="inlineStr">
        <is>
          <t>20/04/2026</t>
        </is>
      </c>
      <c r="E795" s="8" t="inlineStr">
        <is>
          <t>107468</t>
        </is>
      </c>
      <c r="F795" s="8" t="inlineStr">
        <is>
          <t>INGRESOS BRUTOS MENDOZA</t>
        </is>
      </c>
      <c r="G795" s="8" t="inlineStr">
        <is>
          <t>Retención Ingresos Brutos Mendoza</t>
        </is>
      </c>
      <c r="H795" s="8" t="inlineStr">
        <is>
          <t>Retención de Ingresos Brutos</t>
        </is>
      </c>
      <c r="I795" s="9" t="n">
        <v>168.35</v>
      </c>
      <c r="J795" s="9" t="inlineStr"/>
      <c r="K795" s="8" t="inlineStr">
        <is>
          <t>Copiar en Flexxus: Tipo=MB-EXT | Movimiento=INGRESOS BRUTOS MENDOZA | Monto=168,35 | Fecha: 20/04/2026</t>
        </is>
      </c>
    </row>
    <row r="796">
      <c r="A796" s="8" t="inlineStr">
        <is>
          <t>PEND-80BB5732C530-A001</t>
        </is>
      </c>
      <c r="B796" s="8" t="inlineStr">
        <is>
          <t>ABIERTO_NUEVO</t>
        </is>
      </c>
      <c r="C796" s="8" t="inlineStr">
        <is>
          <t>Banco egreso no Flexxus</t>
        </is>
      </c>
      <c r="D796" s="8" t="inlineStr">
        <is>
          <t>20/04/2026</t>
        </is>
      </c>
      <c r="E796" s="8" t="inlineStr">
        <is>
          <t>107468</t>
        </is>
      </c>
      <c r="F796" s="8" t="inlineStr">
        <is>
          <t>GRAVAMEN LEY 25413 S/CRED</t>
        </is>
      </c>
      <c r="G796" s="8" t="inlineStr">
        <is>
          <t>Anticipo Ganancias Ley 25.413 créditos</t>
        </is>
      </c>
      <c r="H796" s="8" t="inlineStr">
        <is>
          <t>Anticipo Impuesto a las Ganancias</t>
        </is>
      </c>
      <c r="I796" s="9" t="n">
        <v>101.01</v>
      </c>
      <c r="J796" s="9" t="inlineStr"/>
      <c r="K796" s="8" t="inlineStr">
        <is>
          <t>Copiar en Flexxus: Tipo=MB-EXT | Movimiento=GRAVAMEN LEY 25.413 S/CRED | Monto=101,01 | Fecha: 20/04/2026</t>
        </is>
      </c>
    </row>
    <row r="797">
      <c r="A797" s="8" t="inlineStr">
        <is>
          <t>PEND-B470A8B5D6B3-A001</t>
        </is>
      </c>
      <c r="B797" s="8" t="inlineStr">
        <is>
          <t>ABIERTO_NUEVO</t>
        </is>
      </c>
      <c r="C797" s="8" t="inlineStr">
        <is>
          <t>Banco egreso no Flexxus</t>
        </is>
      </c>
      <c r="D797" s="8" t="inlineStr">
        <is>
          <t>20/04/2026</t>
        </is>
      </c>
      <c r="E797" s="8" t="inlineStr">
        <is>
          <t>107467</t>
        </is>
      </c>
      <c r="F797" s="8" t="inlineStr">
        <is>
          <t>GRAVAMEN LEY 25413 S/DEB</t>
        </is>
      </c>
      <c r="G797" s="8" t="inlineStr">
        <is>
          <t>Anticipo Ganancias Ley 25.413 débitos</t>
        </is>
      </c>
      <c r="H797" s="8" t="inlineStr">
        <is>
          <t>Anticipo Impuesto a las Ganancias</t>
        </is>
      </c>
      <c r="I797" s="9" t="n">
        <v>12000</v>
      </c>
      <c r="J797" s="9" t="inlineStr"/>
      <c r="K797" s="8" t="inlineStr">
        <is>
          <t>Copiar en Flexxus: Tipo=MB-EXT | Movimiento=GRAVAMEN LEY 25.413 S/DEB | Monto=12.000,00 | Fecha: 20/04/2026</t>
        </is>
      </c>
    </row>
    <row r="798">
      <c r="A798" s="8" t="inlineStr">
        <is>
          <t>PEND-279A56DAC9A0-A001</t>
        </is>
      </c>
      <c r="B798" s="8" t="inlineStr">
        <is>
          <t>ABIERTO_NUEVO</t>
        </is>
      </c>
      <c r="C798" s="8" t="inlineStr">
        <is>
          <t>Banco egreso no Flexxus</t>
        </is>
      </c>
      <c r="D798" s="8" t="inlineStr">
        <is>
          <t>20/04/2026</t>
        </is>
      </c>
      <c r="E798" s="8" t="inlineStr">
        <is>
          <t>107466</t>
        </is>
      </c>
      <c r="F798" s="8" t="inlineStr">
        <is>
          <t>GRAVAMEN LEY 25413 S/DEB</t>
        </is>
      </c>
      <c r="G798" s="8" t="inlineStr">
        <is>
          <t>Anticipo Ganancias Ley 25.413 débitos</t>
        </is>
      </c>
      <c r="H798" s="8" t="inlineStr">
        <is>
          <t>Anticipo Impuesto a las Ganancias</t>
        </is>
      </c>
      <c r="I798" s="9" t="n">
        <v>12000</v>
      </c>
      <c r="J798" s="9" t="inlineStr"/>
      <c r="K798" s="8" t="inlineStr">
        <is>
          <t>Copiar en Flexxus: Tipo=MB-EXT | Movimiento=GRAVAMEN LEY 25.413 S/DEB | Monto=12.000,00 | Fecha: 20/04/2026</t>
        </is>
      </c>
    </row>
    <row r="799">
      <c r="A799" s="8" t="inlineStr">
        <is>
          <t>PEND-3F8F6CB769E0-A001</t>
        </is>
      </c>
      <c r="B799" s="8" t="inlineStr">
        <is>
          <t>ABIERTO_NUEVO</t>
        </is>
      </c>
      <c r="C799" s="8" t="inlineStr">
        <is>
          <t>Banco egreso no Flexxus</t>
        </is>
      </c>
      <c r="D799" s="8" t="inlineStr">
        <is>
          <t>20/04/2026</t>
        </is>
      </c>
      <c r="E799" s="8" t="inlineStr">
        <is>
          <t>107465</t>
        </is>
      </c>
      <c r="F799" s="8" t="inlineStr">
        <is>
          <t>GRAVAMEN LEY 25413 S/DEB</t>
        </is>
      </c>
      <c r="G799" s="8" t="inlineStr">
        <is>
          <t>Anticipo Ganancias Ley 25.413 débitos</t>
        </is>
      </c>
      <c r="H799" s="8" t="inlineStr">
        <is>
          <t>Anticipo Impuesto a las Ganancias</t>
        </is>
      </c>
      <c r="I799" s="9" t="n">
        <v>54000</v>
      </c>
      <c r="J799" s="9" t="inlineStr"/>
      <c r="K799" s="8" t="inlineStr">
        <is>
          <t>Copiar en Flexxus: Tipo=MB-EXT | Movimiento=GRAVAMEN LEY 25.413 S/DEB | Monto=54.000,00 | Fecha: 20/04/2026</t>
        </is>
      </c>
    </row>
    <row r="800">
      <c r="A800" s="8" t="inlineStr">
        <is>
          <t>PEND-9950D51EB4CC-A001</t>
        </is>
      </c>
      <c r="B800" s="8" t="inlineStr">
        <is>
          <t>ABIERTO_NUEVO</t>
        </is>
      </c>
      <c r="C800" s="8" t="inlineStr">
        <is>
          <t>Banco egreso no Flexxus</t>
        </is>
      </c>
      <c r="D800" s="8" t="inlineStr">
        <is>
          <t>20/04/2026</t>
        </is>
      </c>
      <c r="E800" s="8" t="inlineStr">
        <is>
          <t>107464</t>
        </is>
      </c>
      <c r="F800" s="8" t="inlineStr">
        <is>
          <t>INGRESOS BRUTOS MENDOZA</t>
        </is>
      </c>
      <c r="G800" s="8" t="inlineStr">
        <is>
          <t>Retención Ingresos Brutos Mendoza</t>
        </is>
      </c>
      <c r="H800" s="8" t="inlineStr">
        <is>
          <t>Retención de Ingresos Brutos</t>
        </is>
      </c>
      <c r="I800" s="9" t="n">
        <v>229.75</v>
      </c>
      <c r="J800" s="9" t="inlineStr"/>
      <c r="K800" s="8" t="inlineStr">
        <is>
          <t>Copiar en Flexxus: Tipo=MB-EXT | Movimiento=INGRESOS BRUTOS MENDOZA | Monto=229,75 | Fecha: 20/04/2026</t>
        </is>
      </c>
    </row>
    <row r="801">
      <c r="A801" s="8" t="inlineStr">
        <is>
          <t>PEND-261345A6BC01-A001</t>
        </is>
      </c>
      <c r="B801" s="8" t="inlineStr">
        <is>
          <t>ABIERTO_NUEVO</t>
        </is>
      </c>
      <c r="C801" s="8" t="inlineStr">
        <is>
          <t>Banco egreso no Flexxus</t>
        </is>
      </c>
      <c r="D801" s="8" t="inlineStr">
        <is>
          <t>20/04/2026</t>
        </is>
      </c>
      <c r="E801" s="8" t="inlineStr">
        <is>
          <t>107464</t>
        </is>
      </c>
      <c r="F801" s="8" t="inlineStr">
        <is>
          <t>GRAVAMEN LEY 25413 S/CRED</t>
        </is>
      </c>
      <c r="G801" s="8" t="inlineStr">
        <is>
          <t>Anticipo Ganancias Ley 25.413 créditos</t>
        </is>
      </c>
      <c r="H801" s="8" t="inlineStr">
        <is>
          <t>Anticipo Impuesto a las Ganancias</t>
        </is>
      </c>
      <c r="I801" s="9" t="n">
        <v>137.85</v>
      </c>
      <c r="J801" s="9" t="inlineStr"/>
      <c r="K801" s="8" t="inlineStr">
        <is>
          <t>Copiar en Flexxus: Tipo=MB-EXT | Movimiento=GRAVAMEN LEY 25.413 S/CRED | Monto=137,85 | Fecha: 20/04/2026</t>
        </is>
      </c>
    </row>
    <row r="802">
      <c r="A802" s="8" t="inlineStr">
        <is>
          <t>PEND-9BB707D55D47-A001</t>
        </is>
      </c>
      <c r="B802" s="8" t="inlineStr">
        <is>
          <t>ABIERTO_NUEVO</t>
        </is>
      </c>
      <c r="C802" s="8" t="inlineStr">
        <is>
          <t>Banco egreso no Flexxus</t>
        </is>
      </c>
      <c r="D802" s="8" t="inlineStr">
        <is>
          <t>20/04/2026</t>
        </is>
      </c>
      <c r="E802" s="8" t="inlineStr">
        <is>
          <t>107463</t>
        </is>
      </c>
      <c r="F802" s="8" t="inlineStr">
        <is>
          <t>INGRESOS BRUTOS MENDOZA</t>
        </is>
      </c>
      <c r="G802" s="8" t="inlineStr">
        <is>
          <t>Retención Ingresos Brutos Mendoza</t>
        </is>
      </c>
      <c r="H802" s="8" t="inlineStr">
        <is>
          <t>Retención de Ingresos Brutos</t>
        </is>
      </c>
      <c r="I802" s="9" t="n">
        <v>526.36</v>
      </c>
      <c r="J802" s="9" t="inlineStr"/>
      <c r="K802" s="8" t="inlineStr">
        <is>
          <t>Copiar en Flexxus: Tipo=MB-EXT | Movimiento=INGRESOS BRUTOS MENDOZA | Monto=526,36 | Fecha: 20/04/2026</t>
        </is>
      </c>
    </row>
    <row r="803">
      <c r="A803" s="8" t="inlineStr">
        <is>
          <t>PEND-7133C285B1A2-A001</t>
        </is>
      </c>
      <c r="B803" s="8" t="inlineStr">
        <is>
          <t>ABIERTO_NUEVO</t>
        </is>
      </c>
      <c r="C803" s="8" t="inlineStr">
        <is>
          <t>Banco egreso no Flexxus</t>
        </is>
      </c>
      <c r="D803" s="8" t="inlineStr">
        <is>
          <t>20/04/2026</t>
        </is>
      </c>
      <c r="E803" s="8" t="inlineStr">
        <is>
          <t>107463</t>
        </is>
      </c>
      <c r="F803" s="8" t="inlineStr">
        <is>
          <t>GRAVAMEN LEY 25413 S/CRED</t>
        </is>
      </c>
      <c r="G803" s="8" t="inlineStr">
        <is>
          <t>Anticipo Ganancias Ley 25.413 créditos</t>
        </is>
      </c>
      <c r="H803" s="8" t="inlineStr">
        <is>
          <t>Anticipo Impuesto a las Ganancias</t>
        </is>
      </c>
      <c r="I803" s="9" t="n">
        <v>315.81</v>
      </c>
      <c r="J803" s="9" t="inlineStr"/>
      <c r="K803" s="8" t="inlineStr">
        <is>
          <t>Copiar en Flexxus: Tipo=MB-EXT | Movimiento=GRAVAMEN LEY 25.413 S/CRED | Monto=315,81 | Fecha: 20/04/2026</t>
        </is>
      </c>
    </row>
    <row r="804">
      <c r="A804" s="8" t="inlineStr">
        <is>
          <t>PEND-7E954C5B59E1-A001</t>
        </is>
      </c>
      <c r="B804" s="8" t="inlineStr">
        <is>
          <t>ABIERTO_NUEVO</t>
        </is>
      </c>
      <c r="C804" s="8" t="inlineStr">
        <is>
          <t>Banco egreso no Flexxus</t>
        </is>
      </c>
      <c r="D804" s="8" t="inlineStr">
        <is>
          <t>20/04/2026</t>
        </is>
      </c>
      <c r="E804" s="8" t="inlineStr">
        <is>
          <t>107462</t>
        </is>
      </c>
      <c r="F804" s="8" t="inlineStr">
        <is>
          <t>INGRESOS BRUTOS MENDOZA</t>
        </is>
      </c>
      <c r="G804" s="8" t="inlineStr">
        <is>
          <t>Retención Ingresos Brutos Mendoza</t>
        </is>
      </c>
      <c r="H804" s="8" t="inlineStr">
        <is>
          <t>Retención de Ingresos Brutos</t>
        </is>
      </c>
      <c r="I804" s="9" t="n">
        <v>526.36</v>
      </c>
      <c r="J804" s="9" t="inlineStr"/>
      <c r="K804" s="8" t="inlineStr">
        <is>
          <t>Copiar en Flexxus: Tipo=MB-EXT | Movimiento=INGRESOS BRUTOS MENDOZA | Monto=526,36 | Fecha: 20/04/2026</t>
        </is>
      </c>
    </row>
    <row r="805">
      <c r="A805" s="8" t="inlineStr">
        <is>
          <t>PEND-B4A1338F63D1-A001</t>
        </is>
      </c>
      <c r="B805" s="8" t="inlineStr">
        <is>
          <t>ABIERTO_NUEVO</t>
        </is>
      </c>
      <c r="C805" s="8" t="inlineStr">
        <is>
          <t>Banco egreso no Flexxus</t>
        </is>
      </c>
      <c r="D805" s="8" t="inlineStr">
        <is>
          <t>20/04/2026</t>
        </is>
      </c>
      <c r="E805" s="8" t="inlineStr">
        <is>
          <t>107462</t>
        </is>
      </c>
      <c r="F805" s="8" t="inlineStr">
        <is>
          <t>GRAVAMEN LEY 25413 S/CRED</t>
        </is>
      </c>
      <c r="G805" s="8" t="inlineStr">
        <is>
          <t>Anticipo Ganancias Ley 25.413 créditos</t>
        </is>
      </c>
      <c r="H805" s="8" t="inlineStr">
        <is>
          <t>Anticipo Impuesto a las Ganancias</t>
        </is>
      </c>
      <c r="I805" s="9" t="n">
        <v>315.81</v>
      </c>
      <c r="J805" s="9" t="inlineStr"/>
      <c r="K805" s="8" t="inlineStr">
        <is>
          <t>Copiar en Flexxus: Tipo=MB-EXT | Movimiento=GRAVAMEN LEY 25.413 S/CRED | Monto=315,81 | Fecha: 20/04/2026</t>
        </is>
      </c>
    </row>
    <row r="806">
      <c r="A806" s="8" t="inlineStr">
        <is>
          <t>PEND-C8EFFCBC01C3-A001</t>
        </is>
      </c>
      <c r="B806" s="8" t="inlineStr">
        <is>
          <t>ABIERTO_NUEVO</t>
        </is>
      </c>
      <c r="C806" s="8" t="inlineStr">
        <is>
          <t>Banco egreso no Flexxus</t>
        </is>
      </c>
      <c r="D806" s="8" t="inlineStr">
        <is>
          <t>20/04/2026</t>
        </is>
      </c>
      <c r="E806" s="8" t="inlineStr">
        <is>
          <t>107461</t>
        </is>
      </c>
      <c r="F806" s="8" t="inlineStr">
        <is>
          <t>INGRESOS BRUTOS MENDOZA</t>
        </is>
      </c>
      <c r="G806" s="8" t="inlineStr">
        <is>
          <t>Retención Ingresos Brutos Mendoza</t>
        </is>
      </c>
      <c r="H806" s="8" t="inlineStr">
        <is>
          <t>Retención de Ingresos Brutos</t>
        </is>
      </c>
      <c r="I806" s="9" t="n">
        <v>232.73</v>
      </c>
      <c r="J806" s="9" t="inlineStr"/>
      <c r="K806" s="8" t="inlineStr">
        <is>
          <t>Copiar en Flexxus: Tipo=MB-EXT | Movimiento=INGRESOS BRUTOS MENDOZA | Monto=232,73 | Fecha: 20/04/2026</t>
        </is>
      </c>
    </row>
    <row r="807">
      <c r="A807" s="8" t="inlineStr">
        <is>
          <t>PEND-AB3BD323BC1C-A001</t>
        </is>
      </c>
      <c r="B807" s="8" t="inlineStr">
        <is>
          <t>ABIERTO_NUEVO</t>
        </is>
      </c>
      <c r="C807" s="8" t="inlineStr">
        <is>
          <t>Banco egreso no Flexxus</t>
        </is>
      </c>
      <c r="D807" s="8" t="inlineStr">
        <is>
          <t>20/04/2026</t>
        </is>
      </c>
      <c r="E807" s="8" t="inlineStr">
        <is>
          <t>107461</t>
        </is>
      </c>
      <c r="F807" s="8" t="inlineStr">
        <is>
          <t>GRAVAMEN LEY 25413 S/CRED</t>
        </is>
      </c>
      <c r="G807" s="8" t="inlineStr">
        <is>
          <t>Anticipo Ganancias Ley 25.413 créditos</t>
        </is>
      </c>
      <c r="H807" s="8" t="inlineStr">
        <is>
          <t>Anticipo Impuesto a las Ganancias</t>
        </is>
      </c>
      <c r="I807" s="9" t="n">
        <v>139.64</v>
      </c>
      <c r="J807" s="9" t="inlineStr"/>
      <c r="K807" s="8" t="inlineStr">
        <is>
          <t>Copiar en Flexxus: Tipo=MB-EXT | Movimiento=GRAVAMEN LEY 25.413 S/CRED | Monto=139,64 | Fecha: 20/04/2026</t>
        </is>
      </c>
    </row>
    <row r="808">
      <c r="A808" s="8" t="inlineStr">
        <is>
          <t>PEND-E15D4850BBBC-A001</t>
        </is>
      </c>
      <c r="B808" s="8" t="inlineStr">
        <is>
          <t>ABIERTO_NUEVO</t>
        </is>
      </c>
      <c r="C808" s="8" t="inlineStr">
        <is>
          <t>Banco egreso no Flexxus</t>
        </is>
      </c>
      <c r="D808" s="8" t="inlineStr">
        <is>
          <t>20/04/2026</t>
        </is>
      </c>
      <c r="E808" s="8" t="inlineStr">
        <is>
          <t>107460</t>
        </is>
      </c>
      <c r="F808" s="8" t="inlineStr">
        <is>
          <t>INGRESOS BRUTOS MENDOZA</t>
        </is>
      </c>
      <c r="G808" s="8" t="inlineStr">
        <is>
          <t>Retención Ingresos Brutos Mendoza</t>
        </is>
      </c>
      <c r="H808" s="8" t="inlineStr">
        <is>
          <t>Retención de Ingresos Brutos</t>
        </is>
      </c>
      <c r="I808" s="9" t="n">
        <v>2972.94</v>
      </c>
      <c r="J808" s="9" t="inlineStr"/>
      <c r="K808" s="8" t="inlineStr">
        <is>
          <t>Copiar en Flexxus: Tipo=MB-EXT | Movimiento=INGRESOS BRUTOS MENDOZA | Monto=2.972,94 | Fecha: 20/04/2026</t>
        </is>
      </c>
    </row>
    <row r="809">
      <c r="A809" s="8" t="inlineStr">
        <is>
          <t>PEND-FC41B9ADFD06-A001</t>
        </is>
      </c>
      <c r="B809" s="8" t="inlineStr">
        <is>
          <t>ABIERTO_NUEVO</t>
        </is>
      </c>
      <c r="C809" s="8" t="inlineStr">
        <is>
          <t>Banco egreso no Flexxus</t>
        </is>
      </c>
      <c r="D809" s="8" t="inlineStr">
        <is>
          <t>20/04/2026</t>
        </is>
      </c>
      <c r="E809" s="8" t="inlineStr">
        <is>
          <t>107460</t>
        </is>
      </c>
      <c r="F809" s="8" t="inlineStr">
        <is>
          <t>GRAVAMEN LEY 25413 S/CRED</t>
        </is>
      </c>
      <c r="G809" s="8" t="inlineStr">
        <is>
          <t>Anticipo Ganancias Ley 25.413 créditos</t>
        </is>
      </c>
      <c r="H809" s="8" t="inlineStr">
        <is>
          <t>Anticipo Impuesto a las Ganancias</t>
        </is>
      </c>
      <c r="I809" s="9" t="n">
        <v>1783.76</v>
      </c>
      <c r="J809" s="9" t="inlineStr"/>
      <c r="K809" s="8" t="inlineStr">
        <is>
          <t>Copiar en Flexxus: Tipo=MB-EXT | Movimiento=GRAVAMEN LEY 25.413 S/CRED | Monto=1.783,76 | Fecha: 20/04/2026</t>
        </is>
      </c>
    </row>
    <row r="810">
      <c r="A810" s="8" t="inlineStr">
        <is>
          <t>PEND-B410515931EE-A001</t>
        </is>
      </c>
      <c r="B810" s="8" t="inlineStr">
        <is>
          <t>ABIERTO_NUEVO</t>
        </is>
      </c>
      <c r="C810" s="8" t="inlineStr">
        <is>
          <t>Banco egreso no Flexxus</t>
        </is>
      </c>
      <c r="D810" s="8" t="inlineStr">
        <is>
          <t>20/04/2026</t>
        </is>
      </c>
      <c r="E810" s="8" t="inlineStr">
        <is>
          <t>107459</t>
        </is>
      </c>
      <c r="F810" s="8" t="inlineStr">
        <is>
          <t>INGRESOS BRUTOS MENDOZA</t>
        </is>
      </c>
      <c r="G810" s="8" t="inlineStr">
        <is>
          <t>Retención Ingresos Brutos Mendoza</t>
        </is>
      </c>
      <c r="H810" s="8" t="inlineStr">
        <is>
          <t>Retención de Ingresos Brutos</t>
        </is>
      </c>
      <c r="I810" s="9" t="n">
        <v>1592.43</v>
      </c>
      <c r="J810" s="9" t="inlineStr"/>
      <c r="K810" s="8" t="inlineStr">
        <is>
          <t>Copiar en Flexxus: Tipo=MB-EXT | Movimiento=INGRESOS BRUTOS MENDOZA | Monto=1.592,43 | Fecha: 20/04/2026</t>
        </is>
      </c>
    </row>
    <row r="811">
      <c r="A811" s="8" t="inlineStr">
        <is>
          <t>PEND-6BB99E7A2990-A001</t>
        </is>
      </c>
      <c r="B811" s="8" t="inlineStr">
        <is>
          <t>ABIERTO_NUEVO</t>
        </is>
      </c>
      <c r="C811" s="8" t="inlineStr">
        <is>
          <t>Banco egreso no Flexxus</t>
        </is>
      </c>
      <c r="D811" s="8" t="inlineStr">
        <is>
          <t>20/04/2026</t>
        </is>
      </c>
      <c r="E811" s="8" t="inlineStr">
        <is>
          <t>107459</t>
        </is>
      </c>
      <c r="F811" s="8" t="inlineStr">
        <is>
          <t>GRAVAMEN LEY 25413 S/CRED</t>
        </is>
      </c>
      <c r="G811" s="8" t="inlineStr">
        <is>
          <t>Anticipo Ganancias Ley 25.413 créditos</t>
        </is>
      </c>
      <c r="H811" s="8" t="inlineStr">
        <is>
          <t>Anticipo Impuesto a las Ganancias</t>
        </is>
      </c>
      <c r="I811" s="9" t="n">
        <v>955.46</v>
      </c>
      <c r="J811" s="9" t="inlineStr"/>
      <c r="K811" s="8" t="inlineStr">
        <is>
          <t>Copiar en Flexxus: Tipo=MB-EXT | Movimiento=GRAVAMEN LEY 25.413 S/CRED | Monto=955,46 | Fecha: 20/04/2026</t>
        </is>
      </c>
    </row>
    <row r="812">
      <c r="A812" s="8" t="inlineStr">
        <is>
          <t>PEND-303A64FF00F9-A001</t>
        </is>
      </c>
      <c r="B812" s="8" t="inlineStr">
        <is>
          <t>ABIERTO_NUEVO</t>
        </is>
      </c>
      <c r="C812" s="8" t="inlineStr">
        <is>
          <t>Banco egreso no Flexxus</t>
        </is>
      </c>
      <c r="D812" s="8" t="inlineStr">
        <is>
          <t>20/04/2026</t>
        </is>
      </c>
      <c r="E812" s="8" t="inlineStr">
        <is>
          <t>107458</t>
        </is>
      </c>
      <c r="F812" s="8" t="inlineStr">
        <is>
          <t>INGRESOS BRUTOS MENDOZA</t>
        </is>
      </c>
      <c r="G812" s="8" t="inlineStr">
        <is>
          <t>Retención Ingresos Brutos Mendoza</t>
        </is>
      </c>
      <c r="H812" s="8" t="inlineStr">
        <is>
          <t>Retención de Ingresos Brutos</t>
        </is>
      </c>
      <c r="I812" s="9" t="n">
        <v>1442.9</v>
      </c>
      <c r="J812" s="9" t="inlineStr"/>
      <c r="K812" s="8" t="inlineStr">
        <is>
          <t>Copiar en Flexxus: Tipo=MB-EXT | Movimiento=INGRESOS BRUTOS MENDOZA | Monto=1.442,90 | Fecha: 20/04/2026</t>
        </is>
      </c>
    </row>
    <row r="813">
      <c r="A813" s="8" t="inlineStr">
        <is>
          <t>PEND-C2F5111D3032-A001</t>
        </is>
      </c>
      <c r="B813" s="8" t="inlineStr">
        <is>
          <t>ABIERTO_NUEVO</t>
        </is>
      </c>
      <c r="C813" s="8" t="inlineStr">
        <is>
          <t>Banco egreso no Flexxus</t>
        </is>
      </c>
      <c r="D813" s="8" t="inlineStr">
        <is>
          <t>20/04/2026</t>
        </is>
      </c>
      <c r="E813" s="8" t="inlineStr">
        <is>
          <t>107458</t>
        </is>
      </c>
      <c r="F813" s="8" t="inlineStr">
        <is>
          <t>GRAVAMEN LEY 25413 S/CRED</t>
        </is>
      </c>
      <c r="G813" s="8" t="inlineStr">
        <is>
          <t>Anticipo Ganancias Ley 25.413 créditos</t>
        </is>
      </c>
      <c r="H813" s="8" t="inlineStr">
        <is>
          <t>Anticipo Impuesto a las Ganancias</t>
        </is>
      </c>
      <c r="I813" s="9" t="n">
        <v>865.74</v>
      </c>
      <c r="J813" s="9" t="inlineStr"/>
      <c r="K813" s="8" t="inlineStr">
        <is>
          <t>Copiar en Flexxus: Tipo=MB-EXT | Movimiento=GRAVAMEN LEY 25.413 S/CRED | Monto=865,74 | Fecha: 20/04/2026</t>
        </is>
      </c>
    </row>
    <row r="814">
      <c r="A814" s="8" t="inlineStr">
        <is>
          <t>PEND-74CF75292D68-A001</t>
        </is>
      </c>
      <c r="B814" s="8" t="inlineStr">
        <is>
          <t>ABIERTO_NUEVO</t>
        </is>
      </c>
      <c r="C814" s="8" t="inlineStr">
        <is>
          <t>Banco egreso no Flexxus</t>
        </is>
      </c>
      <c r="D814" s="8" t="inlineStr">
        <is>
          <t>20/04/2026</t>
        </is>
      </c>
      <c r="E814" s="8" t="inlineStr">
        <is>
          <t>107457</t>
        </is>
      </c>
      <c r="F814" s="8" t="inlineStr">
        <is>
          <t>INGRESOS BRUTOS MENDOZA</t>
        </is>
      </c>
      <c r="G814" s="8" t="inlineStr">
        <is>
          <t>Retención Ingresos Brutos Mendoza</t>
        </is>
      </c>
      <c r="H814" s="8" t="inlineStr">
        <is>
          <t>Retención de Ingresos Brutos</t>
        </is>
      </c>
      <c r="I814" s="9" t="n">
        <v>342.65</v>
      </c>
      <c r="J814" s="9" t="inlineStr"/>
      <c r="K814" s="8" t="inlineStr">
        <is>
          <t>Copiar en Flexxus: Tipo=MB-EXT | Movimiento=INGRESOS BRUTOS MENDOZA | Monto=342,65 | Fecha: 20/04/2026</t>
        </is>
      </c>
    </row>
    <row r="815">
      <c r="A815" s="8" t="inlineStr">
        <is>
          <t>PEND-C110B6F1EE9D-A001</t>
        </is>
      </c>
      <c r="B815" s="8" t="inlineStr">
        <is>
          <t>ABIERTO_NUEVO</t>
        </is>
      </c>
      <c r="C815" s="8" t="inlineStr">
        <is>
          <t>Banco egreso no Flexxus</t>
        </is>
      </c>
      <c r="D815" s="8" t="inlineStr">
        <is>
          <t>20/04/2026</t>
        </is>
      </c>
      <c r="E815" s="8" t="inlineStr">
        <is>
          <t>107457</t>
        </is>
      </c>
      <c r="F815" s="8" t="inlineStr">
        <is>
          <t>GRAVAMEN LEY 25413 S/CRED</t>
        </is>
      </c>
      <c r="G815" s="8" t="inlineStr">
        <is>
          <t>Anticipo Ganancias Ley 25.413 créditos</t>
        </is>
      </c>
      <c r="H815" s="8" t="inlineStr">
        <is>
          <t>Anticipo Impuesto a las Ganancias</t>
        </is>
      </c>
      <c r="I815" s="9" t="n">
        <v>205.59</v>
      </c>
      <c r="J815" s="9" t="inlineStr"/>
      <c r="K815" s="8" t="inlineStr">
        <is>
          <t>Copiar en Flexxus: Tipo=MB-EXT | Movimiento=GRAVAMEN LEY 25.413 S/CRED | Monto=205,59 | Fecha: 20/04/2026</t>
        </is>
      </c>
    </row>
    <row r="816">
      <c r="A816" s="8" t="inlineStr">
        <is>
          <t>PEND-1C53F35E87F9-A001</t>
        </is>
      </c>
      <c r="B816" s="8" t="inlineStr">
        <is>
          <t>ABIERTO_NUEVO</t>
        </is>
      </c>
      <c r="C816" s="8" t="inlineStr">
        <is>
          <t>Banco egreso no Flexxus</t>
        </is>
      </c>
      <c r="D816" s="8" t="inlineStr">
        <is>
          <t>20/04/2026</t>
        </is>
      </c>
      <c r="E816" s="8" t="inlineStr">
        <is>
          <t>107456</t>
        </is>
      </c>
      <c r="F816" s="8" t="inlineStr">
        <is>
          <t>INGRESOS BRUTOS MENDOZA</t>
        </is>
      </c>
      <c r="G816" s="8" t="inlineStr">
        <is>
          <t>Retención Ingresos Brutos Mendoza</t>
        </is>
      </c>
      <c r="H816" s="8" t="inlineStr">
        <is>
          <t>Retención de Ingresos Brutos</t>
        </is>
      </c>
      <c r="I816" s="9" t="n">
        <v>350.57</v>
      </c>
      <c r="J816" s="9" t="inlineStr"/>
      <c r="K816" s="8" t="inlineStr">
        <is>
          <t>Copiar en Flexxus: Tipo=MB-EXT | Movimiento=INGRESOS BRUTOS MENDOZA | Monto=350,57 | Fecha: 20/04/2026</t>
        </is>
      </c>
    </row>
    <row r="817">
      <c r="A817" s="8" t="inlineStr">
        <is>
          <t>PEND-6A185D9C3F9F-A001</t>
        </is>
      </c>
      <c r="B817" s="8" t="inlineStr">
        <is>
          <t>ABIERTO_NUEVO</t>
        </is>
      </c>
      <c r="C817" s="8" t="inlineStr">
        <is>
          <t>Banco egreso no Flexxus</t>
        </is>
      </c>
      <c r="D817" s="8" t="inlineStr">
        <is>
          <t>20/04/2026</t>
        </is>
      </c>
      <c r="E817" s="8" t="inlineStr">
        <is>
          <t>107456</t>
        </is>
      </c>
      <c r="F817" s="8" t="inlineStr">
        <is>
          <t>GRAVAMEN LEY 25413 S/CRED</t>
        </is>
      </c>
      <c r="G817" s="8" t="inlineStr">
        <is>
          <t>Anticipo Ganancias Ley 25.413 créditos</t>
        </is>
      </c>
      <c r="H817" s="8" t="inlineStr">
        <is>
          <t>Anticipo Impuesto a las Ganancias</t>
        </is>
      </c>
      <c r="I817" s="9" t="n">
        <v>210.34</v>
      </c>
      <c r="J817" s="9" t="inlineStr"/>
      <c r="K817" s="8" t="inlineStr">
        <is>
          <t>Copiar en Flexxus: Tipo=MB-EXT | Movimiento=GRAVAMEN LEY 25.413 S/CRED | Monto=210,34 | Fecha: 20/04/2026</t>
        </is>
      </c>
    </row>
    <row r="818">
      <c r="A818" s="8" t="inlineStr">
        <is>
          <t>PEND-D267767C3985-A001</t>
        </is>
      </c>
      <c r="B818" s="8" t="inlineStr">
        <is>
          <t>ABIERTO_NUEVO</t>
        </is>
      </c>
      <c r="C818" s="8" t="inlineStr">
        <is>
          <t>Banco egreso no Flexxus</t>
        </is>
      </c>
      <c r="D818" s="8" t="inlineStr">
        <is>
          <t>20/04/2026</t>
        </is>
      </c>
      <c r="E818" s="8" t="inlineStr">
        <is>
          <t>107455</t>
        </is>
      </c>
      <c r="F818" s="8" t="inlineStr">
        <is>
          <t>INGRESOS BRUTOS MENDOZA</t>
        </is>
      </c>
      <c r="G818" s="8" t="inlineStr">
        <is>
          <t>Retención Ingresos Brutos Mendoza</t>
        </is>
      </c>
      <c r="H818" s="8" t="inlineStr">
        <is>
          <t>Retención de Ingresos Brutos</t>
        </is>
      </c>
      <c r="I818" s="9" t="n">
        <v>406.03</v>
      </c>
      <c r="J818" s="9" t="inlineStr"/>
      <c r="K818" s="8" t="inlineStr">
        <is>
          <t>Copiar en Flexxus: Tipo=MB-EXT | Movimiento=INGRESOS BRUTOS MENDOZA | Monto=406,03 | Fecha: 20/04/2026</t>
        </is>
      </c>
    </row>
    <row r="819">
      <c r="A819" s="8" t="inlineStr">
        <is>
          <t>PEND-90079AABD65B-A001</t>
        </is>
      </c>
      <c r="B819" s="8" t="inlineStr">
        <is>
          <t>ABIERTO_NUEVO</t>
        </is>
      </c>
      <c r="C819" s="8" t="inlineStr">
        <is>
          <t>Banco egreso no Flexxus</t>
        </is>
      </c>
      <c r="D819" s="8" t="inlineStr">
        <is>
          <t>20/04/2026</t>
        </is>
      </c>
      <c r="E819" s="8" t="inlineStr">
        <is>
          <t>107455</t>
        </is>
      </c>
      <c r="F819" s="8" t="inlineStr">
        <is>
          <t>GRAVAMEN LEY 25413 S/CRED</t>
        </is>
      </c>
      <c r="G819" s="8" t="inlineStr">
        <is>
          <t>Anticipo Ganancias Ley 25.413 créditos</t>
        </is>
      </c>
      <c r="H819" s="8" t="inlineStr">
        <is>
          <t>Anticipo Impuesto a las Ganancias</t>
        </is>
      </c>
      <c r="I819" s="9" t="n">
        <v>243.62</v>
      </c>
      <c r="J819" s="9" t="inlineStr"/>
      <c r="K819" s="8" t="inlineStr">
        <is>
          <t>Copiar en Flexxus: Tipo=MB-EXT | Movimiento=GRAVAMEN LEY 25.413 S/CRED | Monto=243,62 | Fecha: 20/04/2026</t>
        </is>
      </c>
    </row>
    <row r="820">
      <c r="A820" s="8" t="inlineStr">
        <is>
          <t>PEND-8C17706C87BE-A001</t>
        </is>
      </c>
      <c r="B820" s="8" t="inlineStr">
        <is>
          <t>ABIERTO_NUEVO</t>
        </is>
      </c>
      <c r="C820" s="8" t="inlineStr">
        <is>
          <t>Banco egreso no Flexxus</t>
        </is>
      </c>
      <c r="D820" s="8" t="inlineStr">
        <is>
          <t>20/04/2026</t>
        </is>
      </c>
      <c r="E820" s="8" t="inlineStr">
        <is>
          <t>107454</t>
        </is>
      </c>
      <c r="F820" s="8" t="inlineStr">
        <is>
          <t>INGRESOS BRUTOS MENDOZA</t>
        </is>
      </c>
      <c r="G820" s="8" t="inlineStr">
        <is>
          <t>Retención Ingresos Brutos Mendoza</t>
        </is>
      </c>
      <c r="H820" s="8" t="inlineStr">
        <is>
          <t>Retención de Ingresos Brutos</t>
        </is>
      </c>
      <c r="I820" s="9" t="n">
        <v>314.92</v>
      </c>
      <c r="J820" s="9" t="inlineStr"/>
      <c r="K820" s="8" t="inlineStr">
        <is>
          <t>Copiar en Flexxus: Tipo=MB-EXT | Movimiento=INGRESOS BRUTOS MENDOZA | Monto=314,92 | Fecha: 20/04/2026</t>
        </is>
      </c>
    </row>
    <row r="821">
      <c r="A821" s="8" t="inlineStr">
        <is>
          <t>PEND-41538EA7AD41-A001</t>
        </is>
      </c>
      <c r="B821" s="8" t="inlineStr">
        <is>
          <t>ABIERTO_NUEVO</t>
        </is>
      </c>
      <c r="C821" s="8" t="inlineStr">
        <is>
          <t>Banco egreso no Flexxus</t>
        </is>
      </c>
      <c r="D821" s="8" t="inlineStr">
        <is>
          <t>20/04/2026</t>
        </is>
      </c>
      <c r="E821" s="8" t="inlineStr">
        <is>
          <t>107454</t>
        </is>
      </c>
      <c r="F821" s="8" t="inlineStr">
        <is>
          <t>GRAVAMEN LEY 25413 S/CRED</t>
        </is>
      </c>
      <c r="G821" s="8" t="inlineStr">
        <is>
          <t>Anticipo Ganancias Ley 25.413 créditos</t>
        </is>
      </c>
      <c r="H821" s="8" t="inlineStr">
        <is>
          <t>Anticipo Impuesto a las Ganancias</t>
        </is>
      </c>
      <c r="I821" s="9" t="n">
        <v>188.95</v>
      </c>
      <c r="J821" s="9" t="inlineStr"/>
      <c r="K821" s="8" t="inlineStr">
        <is>
          <t>Copiar en Flexxus: Tipo=MB-EXT | Movimiento=GRAVAMEN LEY 25.413 S/CRED | Monto=188,95 | Fecha: 20/04/2026</t>
        </is>
      </c>
    </row>
    <row r="822">
      <c r="A822" s="8" t="inlineStr">
        <is>
          <t>PEND-74732746C96C-A001</t>
        </is>
      </c>
      <c r="B822" s="8" t="inlineStr">
        <is>
          <t>ABIERTO_NUEVO</t>
        </is>
      </c>
      <c r="C822" s="8" t="inlineStr">
        <is>
          <t>Banco egreso no Flexxus</t>
        </is>
      </c>
      <c r="D822" s="8" t="inlineStr">
        <is>
          <t>20/04/2026</t>
        </is>
      </c>
      <c r="E822" s="8" t="inlineStr">
        <is>
          <t>107453</t>
        </is>
      </c>
      <c r="F822" s="8" t="inlineStr">
        <is>
          <t>INGRESOS BRUTOS MENDOZA</t>
        </is>
      </c>
      <c r="G822" s="8" t="inlineStr">
        <is>
          <t>Retención Ingresos Brutos Mendoza</t>
        </is>
      </c>
      <c r="H822" s="8" t="inlineStr">
        <is>
          <t>Retención de Ingresos Brutos</t>
        </is>
      </c>
      <c r="I822" s="9" t="n">
        <v>377.31</v>
      </c>
      <c r="J822" s="9" t="inlineStr"/>
      <c r="K822" s="8" t="inlineStr">
        <is>
          <t>Copiar en Flexxus: Tipo=MB-EXT | Movimiento=INGRESOS BRUTOS MENDOZA | Monto=377,31 | Fecha: 20/04/2026</t>
        </is>
      </c>
    </row>
    <row r="823">
      <c r="A823" s="8" t="inlineStr">
        <is>
          <t>PEND-B0A8E44B21FF-A001</t>
        </is>
      </c>
      <c r="B823" s="8" t="inlineStr">
        <is>
          <t>ABIERTO_NUEVO</t>
        </is>
      </c>
      <c r="C823" s="8" t="inlineStr">
        <is>
          <t>Banco egreso no Flexxus</t>
        </is>
      </c>
      <c r="D823" s="8" t="inlineStr">
        <is>
          <t>20/04/2026</t>
        </is>
      </c>
      <c r="E823" s="8" t="inlineStr">
        <is>
          <t>107453</t>
        </is>
      </c>
      <c r="F823" s="8" t="inlineStr">
        <is>
          <t>GRAVAMEN LEY 25413 S/CRED</t>
        </is>
      </c>
      <c r="G823" s="8" t="inlineStr">
        <is>
          <t>Anticipo Ganancias Ley 25.413 créditos</t>
        </is>
      </c>
      <c r="H823" s="8" t="inlineStr">
        <is>
          <t>Anticipo Impuesto a las Ganancias</t>
        </is>
      </c>
      <c r="I823" s="9" t="n">
        <v>226.39</v>
      </c>
      <c r="J823" s="9" t="inlineStr"/>
      <c r="K823" s="8" t="inlineStr">
        <is>
          <t>Copiar en Flexxus: Tipo=MB-EXT | Movimiento=GRAVAMEN LEY 25.413 S/CRED | Monto=226,39 | Fecha: 20/04/2026</t>
        </is>
      </c>
    </row>
    <row r="824">
      <c r="A824" s="8" t="inlineStr">
        <is>
          <t>PEND-EADE4917599A-A001</t>
        </is>
      </c>
      <c r="B824" s="8" t="inlineStr">
        <is>
          <t>ABIERTO_NUEVO</t>
        </is>
      </c>
      <c r="C824" s="8" t="inlineStr">
        <is>
          <t>Banco egreso no Flexxus</t>
        </is>
      </c>
      <c r="D824" s="8" t="inlineStr">
        <is>
          <t>20/04/2026</t>
        </is>
      </c>
      <c r="E824" s="8" t="inlineStr">
        <is>
          <t>107452</t>
        </is>
      </c>
      <c r="F824" s="8" t="inlineStr">
        <is>
          <t>INGRESOS BRUTOS MENDOZA</t>
        </is>
      </c>
      <c r="G824" s="8" t="inlineStr">
        <is>
          <t>Retención Ingresos Brutos Mendoza</t>
        </is>
      </c>
      <c r="H824" s="8" t="inlineStr">
        <is>
          <t>Retención de Ingresos Brutos</t>
        </is>
      </c>
      <c r="I824" s="9" t="n">
        <v>32.68</v>
      </c>
      <c r="J824" s="9" t="inlineStr"/>
      <c r="K824" s="8" t="inlineStr">
        <is>
          <t>Copiar en Flexxus: Tipo=MB-EXT | Movimiento=INGRESOS BRUTOS MENDOZA | Monto=32,68 | Fecha: 20/04/2026</t>
        </is>
      </c>
    </row>
    <row r="825">
      <c r="A825" s="8" t="inlineStr">
        <is>
          <t>PEND-BF980490E368-A001</t>
        </is>
      </c>
      <c r="B825" s="8" t="inlineStr">
        <is>
          <t>ABIERTO_NUEVO</t>
        </is>
      </c>
      <c r="C825" s="8" t="inlineStr">
        <is>
          <t>Banco egreso no Flexxus</t>
        </is>
      </c>
      <c r="D825" s="8" t="inlineStr">
        <is>
          <t>20/04/2026</t>
        </is>
      </c>
      <c r="E825" s="8" t="inlineStr">
        <is>
          <t>107452</t>
        </is>
      </c>
      <c r="F825" s="8" t="inlineStr">
        <is>
          <t>GRAVAMEN LEY 25413 S/CRED</t>
        </is>
      </c>
      <c r="G825" s="8" t="inlineStr">
        <is>
          <t>Anticipo Ganancias Ley 25.413 créditos</t>
        </is>
      </c>
      <c r="H825" s="8" t="inlineStr">
        <is>
          <t>Anticipo Impuesto a las Ganancias</t>
        </is>
      </c>
      <c r="I825" s="9" t="n">
        <v>19.61</v>
      </c>
      <c r="J825" s="9" t="inlineStr"/>
      <c r="K825" s="8" t="inlineStr">
        <is>
          <t>Copiar en Flexxus: Tipo=MB-EXT | Movimiento=GRAVAMEN LEY 25.413 S/CRED | Monto=19,61 | Fecha: 20/04/2026</t>
        </is>
      </c>
    </row>
    <row r="826">
      <c r="A826" s="8" t="inlineStr">
        <is>
          <t>PEND-84A974364E36-A001</t>
        </is>
      </c>
      <c r="B826" s="8" t="inlineStr">
        <is>
          <t>ABIERTO_NUEVO</t>
        </is>
      </c>
      <c r="C826" s="8" t="inlineStr">
        <is>
          <t>Banco egreso no Flexxus</t>
        </is>
      </c>
      <c r="D826" s="8" t="inlineStr">
        <is>
          <t>20/04/2026</t>
        </is>
      </c>
      <c r="E826" s="8" t="inlineStr">
        <is>
          <t>107451</t>
        </is>
      </c>
      <c r="F826" s="8" t="inlineStr">
        <is>
          <t>INGRESOS BRUTOS MENDOZA</t>
        </is>
      </c>
      <c r="G826" s="8" t="inlineStr">
        <is>
          <t>Retención Ingresos Brutos Mendoza</t>
        </is>
      </c>
      <c r="H826" s="8" t="inlineStr">
        <is>
          <t>Retención de Ingresos Brutos</t>
        </is>
      </c>
      <c r="I826" s="9" t="n">
        <v>276.3</v>
      </c>
      <c r="J826" s="9" t="inlineStr"/>
      <c r="K826" s="8" t="inlineStr">
        <is>
          <t>Copiar en Flexxus: Tipo=MB-EXT | Movimiento=INGRESOS BRUTOS MENDOZA | Monto=276,30 | Fecha: 20/04/2026</t>
        </is>
      </c>
    </row>
    <row r="827">
      <c r="A827" s="8" t="inlineStr">
        <is>
          <t>PEND-7029FAF1ABB6-A001</t>
        </is>
      </c>
      <c r="B827" s="8" t="inlineStr">
        <is>
          <t>ABIERTO_NUEVO</t>
        </is>
      </c>
      <c r="C827" s="8" t="inlineStr">
        <is>
          <t>Banco egreso no Flexxus</t>
        </is>
      </c>
      <c r="D827" s="8" t="inlineStr">
        <is>
          <t>20/04/2026</t>
        </is>
      </c>
      <c r="E827" s="8" t="inlineStr">
        <is>
          <t>107451</t>
        </is>
      </c>
      <c r="F827" s="8" t="inlineStr">
        <is>
          <t>GRAVAMEN LEY 25413 S/CRED</t>
        </is>
      </c>
      <c r="G827" s="8" t="inlineStr">
        <is>
          <t>Anticipo Ganancias Ley 25.413 créditos</t>
        </is>
      </c>
      <c r="H827" s="8" t="inlineStr">
        <is>
          <t>Anticipo Impuesto a las Ganancias</t>
        </is>
      </c>
      <c r="I827" s="9" t="n">
        <v>165.78</v>
      </c>
      <c r="J827" s="9" t="inlineStr"/>
      <c r="K827" s="8" t="inlineStr">
        <is>
          <t>Copiar en Flexxus: Tipo=MB-EXT | Movimiento=GRAVAMEN LEY 25.413 S/CRED | Monto=165,78 | Fecha: 20/04/2026</t>
        </is>
      </c>
    </row>
    <row r="828">
      <c r="A828" s="8" t="inlineStr">
        <is>
          <t>PEND-3AA44F4B09EB-A001</t>
        </is>
      </c>
      <c r="B828" s="8" t="inlineStr">
        <is>
          <t>ABIERTO_NUEVO</t>
        </is>
      </c>
      <c r="C828" s="8" t="inlineStr">
        <is>
          <t>Banco egreso no Flexxus</t>
        </is>
      </c>
      <c r="D828" s="8" t="inlineStr">
        <is>
          <t>20/04/2026</t>
        </is>
      </c>
      <c r="E828" s="8" t="inlineStr">
        <is>
          <t>107450</t>
        </is>
      </c>
      <c r="F828" s="8" t="inlineStr">
        <is>
          <t>INGRESOS BRUTOS MENDOZA</t>
        </is>
      </c>
      <c r="G828" s="8" t="inlineStr">
        <is>
          <t>Retención Ingresos Brutos Mendoza</t>
        </is>
      </c>
      <c r="H828" s="8" t="inlineStr">
        <is>
          <t>Retención de Ingresos Brutos</t>
        </is>
      </c>
      <c r="I828" s="9" t="n">
        <v>133.69</v>
      </c>
      <c r="J828" s="9" t="inlineStr"/>
      <c r="K828" s="8" t="inlineStr">
        <is>
          <t>Copiar en Flexxus: Tipo=MB-EXT | Movimiento=INGRESOS BRUTOS MENDOZA | Monto=133,69 | Fecha: 20/04/2026</t>
        </is>
      </c>
    </row>
    <row r="829">
      <c r="A829" s="8" t="inlineStr">
        <is>
          <t>PEND-B5393A93EA56-A001</t>
        </is>
      </c>
      <c r="B829" s="8" t="inlineStr">
        <is>
          <t>ABIERTO_NUEVO</t>
        </is>
      </c>
      <c r="C829" s="8" t="inlineStr">
        <is>
          <t>Banco egreso no Flexxus</t>
        </is>
      </c>
      <c r="D829" s="8" t="inlineStr">
        <is>
          <t>20/04/2026</t>
        </is>
      </c>
      <c r="E829" s="8" t="inlineStr">
        <is>
          <t>107450</t>
        </is>
      </c>
      <c r="F829" s="8" t="inlineStr">
        <is>
          <t>GRAVAMEN LEY 25413 S/CRED</t>
        </is>
      </c>
      <c r="G829" s="8" t="inlineStr">
        <is>
          <t>Anticipo Ganancias Ley 25.413 créditos</t>
        </is>
      </c>
      <c r="H829" s="8" t="inlineStr">
        <is>
          <t>Anticipo Impuesto a las Ganancias</t>
        </is>
      </c>
      <c r="I829" s="9" t="n">
        <v>80.22</v>
      </c>
      <c r="J829" s="9" t="inlineStr"/>
      <c r="K829" s="8" t="inlineStr">
        <is>
          <t>Copiar en Flexxus: Tipo=MB-EXT | Movimiento=GRAVAMEN LEY 25.413 S/CRED | Monto=80,22 | Fecha: 20/04/2026</t>
        </is>
      </c>
    </row>
    <row r="830">
      <c r="A830" s="8" t="inlineStr">
        <is>
          <t>PEND-FD6016B7163D-A001</t>
        </is>
      </c>
      <c r="B830" s="8" t="inlineStr">
        <is>
          <t>ABIERTO_NUEVO</t>
        </is>
      </c>
      <c r="C830" s="8" t="inlineStr">
        <is>
          <t>Banco egreso no Flexxus</t>
        </is>
      </c>
      <c r="D830" s="8" t="inlineStr">
        <is>
          <t>20/04/2026</t>
        </is>
      </c>
      <c r="E830" s="8" t="inlineStr">
        <is>
          <t>107449</t>
        </is>
      </c>
      <c r="F830" s="8" t="inlineStr">
        <is>
          <t>INGRESOS BRUTOS MENDOZA</t>
        </is>
      </c>
      <c r="G830" s="8" t="inlineStr">
        <is>
          <t>Retención Ingresos Brutos Mendoza</t>
        </is>
      </c>
      <c r="H830" s="8" t="inlineStr">
        <is>
          <t>Retención de Ingresos Brutos</t>
        </is>
      </c>
      <c r="I830" s="9" t="n">
        <v>436.73</v>
      </c>
      <c r="J830" s="9" t="inlineStr"/>
      <c r="K830" s="8" t="inlineStr">
        <is>
          <t>Copiar en Flexxus: Tipo=MB-EXT | Movimiento=INGRESOS BRUTOS MENDOZA | Monto=436,73 | Fecha: 20/04/2026</t>
        </is>
      </c>
    </row>
    <row r="831">
      <c r="A831" s="8" t="inlineStr">
        <is>
          <t>PEND-AF046A0822DA-A001</t>
        </is>
      </c>
      <c r="B831" s="8" t="inlineStr">
        <is>
          <t>ABIERTO_NUEVO</t>
        </is>
      </c>
      <c r="C831" s="8" t="inlineStr">
        <is>
          <t>Banco egreso no Flexxus</t>
        </is>
      </c>
      <c r="D831" s="8" t="inlineStr">
        <is>
          <t>20/04/2026</t>
        </is>
      </c>
      <c r="E831" s="8" t="inlineStr">
        <is>
          <t>107449</t>
        </is>
      </c>
      <c r="F831" s="8" t="inlineStr">
        <is>
          <t>GRAVAMEN LEY 25413 S/CRED</t>
        </is>
      </c>
      <c r="G831" s="8" t="inlineStr">
        <is>
          <t>Anticipo Ganancias Ley 25.413 créditos</t>
        </is>
      </c>
      <c r="H831" s="8" t="inlineStr">
        <is>
          <t>Anticipo Impuesto a las Ganancias</t>
        </is>
      </c>
      <c r="I831" s="9" t="n">
        <v>262.04</v>
      </c>
      <c r="J831" s="9" t="inlineStr"/>
      <c r="K831" s="8" t="inlineStr">
        <is>
          <t>Copiar en Flexxus: Tipo=MB-EXT | Movimiento=GRAVAMEN LEY 25.413 S/CRED | Monto=262,04 | Fecha: 20/04/2026</t>
        </is>
      </c>
    </row>
    <row r="832">
      <c r="A832" s="8" t="inlineStr">
        <is>
          <t>PEND-770AB7679886-A001</t>
        </is>
      </c>
      <c r="B832" s="8" t="inlineStr">
        <is>
          <t>ABIERTO_NUEVO</t>
        </is>
      </c>
      <c r="C832" s="8" t="inlineStr">
        <is>
          <t>Banco egreso no Flexxus</t>
        </is>
      </c>
      <c r="D832" s="8" t="inlineStr">
        <is>
          <t>20/04/2026</t>
        </is>
      </c>
      <c r="E832" s="8" t="inlineStr">
        <is>
          <t>107448</t>
        </is>
      </c>
      <c r="F832" s="8" t="inlineStr">
        <is>
          <t>INGRESOS BRUTOS MENDOZA</t>
        </is>
      </c>
      <c r="G832" s="8" t="inlineStr">
        <is>
          <t>Retención Ingresos Brutos Mendoza</t>
        </is>
      </c>
      <c r="H832" s="8" t="inlineStr">
        <is>
          <t>Retención de Ingresos Brutos</t>
        </is>
      </c>
      <c r="I832" s="9" t="n">
        <v>454.56</v>
      </c>
      <c r="J832" s="9" t="inlineStr"/>
      <c r="K832" s="8" t="inlineStr">
        <is>
          <t>Copiar en Flexxus: Tipo=MB-EXT | Movimiento=INGRESOS BRUTOS MENDOZA | Monto=454,56 | Fecha: 20/04/2026</t>
        </is>
      </c>
    </row>
    <row r="833">
      <c r="A833" s="8" t="inlineStr">
        <is>
          <t>PEND-0B338141CAB5-A001</t>
        </is>
      </c>
      <c r="B833" s="8" t="inlineStr">
        <is>
          <t>ABIERTO_NUEVO</t>
        </is>
      </c>
      <c r="C833" s="8" t="inlineStr">
        <is>
          <t>Banco egreso no Flexxus</t>
        </is>
      </c>
      <c r="D833" s="8" t="inlineStr">
        <is>
          <t>20/04/2026</t>
        </is>
      </c>
      <c r="E833" s="8" t="inlineStr">
        <is>
          <t>107448</t>
        </is>
      </c>
      <c r="F833" s="8" t="inlineStr">
        <is>
          <t>GRAVAMEN LEY 25413 S/CRED</t>
        </is>
      </c>
      <c r="G833" s="8" t="inlineStr">
        <is>
          <t>Anticipo Ganancias Ley 25.413 créditos</t>
        </is>
      </c>
      <c r="H833" s="8" t="inlineStr">
        <is>
          <t>Anticipo Impuesto a las Ganancias</t>
        </is>
      </c>
      <c r="I833" s="9" t="n">
        <v>272.73</v>
      </c>
      <c r="J833" s="9" t="inlineStr"/>
      <c r="K833" s="8" t="inlineStr">
        <is>
          <t>Copiar en Flexxus: Tipo=MB-EXT | Movimiento=GRAVAMEN LEY 25.413 S/CRED | Monto=272,73 | Fecha: 20/04/2026</t>
        </is>
      </c>
    </row>
    <row r="834">
      <c r="A834" s="8" t="inlineStr">
        <is>
          <t>PEND-BBCBC735535B-A001</t>
        </is>
      </c>
      <c r="B834" s="8" t="inlineStr">
        <is>
          <t>ABIERTO_NUEVO</t>
        </is>
      </c>
      <c r="C834" s="8" t="inlineStr">
        <is>
          <t>Banco egreso no Flexxus</t>
        </is>
      </c>
      <c r="D834" s="8" t="inlineStr">
        <is>
          <t>20/04/2026</t>
        </is>
      </c>
      <c r="E834" s="8" t="inlineStr">
        <is>
          <t>107447</t>
        </is>
      </c>
      <c r="F834" s="8" t="inlineStr">
        <is>
          <t>INGRESOS BRUTOS MENDOZA</t>
        </is>
      </c>
      <c r="G834" s="8" t="inlineStr">
        <is>
          <t>Retención Ingresos Brutos Mendoza</t>
        </is>
      </c>
      <c r="H834" s="8" t="inlineStr">
        <is>
          <t>Retención de Ingresos Brutos</t>
        </is>
      </c>
      <c r="I834" s="9" t="n">
        <v>184.2</v>
      </c>
      <c r="J834" s="9" t="inlineStr"/>
      <c r="K834" s="8" t="inlineStr">
        <is>
          <t>Copiar en Flexxus: Tipo=MB-EXT | Movimiento=INGRESOS BRUTOS MENDOZA | Monto=184,20 | Fecha: 20/04/2026</t>
        </is>
      </c>
    </row>
    <row r="835">
      <c r="A835" s="8" t="inlineStr">
        <is>
          <t>PEND-358B218D29C2-A001</t>
        </is>
      </c>
      <c r="B835" s="8" t="inlineStr">
        <is>
          <t>ABIERTO_NUEVO</t>
        </is>
      </c>
      <c r="C835" s="8" t="inlineStr">
        <is>
          <t>Banco egreso no Flexxus</t>
        </is>
      </c>
      <c r="D835" s="8" t="inlineStr">
        <is>
          <t>20/04/2026</t>
        </is>
      </c>
      <c r="E835" s="8" t="inlineStr">
        <is>
          <t>107447</t>
        </is>
      </c>
      <c r="F835" s="8" t="inlineStr">
        <is>
          <t>GRAVAMEN LEY 25413 S/CRED</t>
        </is>
      </c>
      <c r="G835" s="8" t="inlineStr">
        <is>
          <t>Anticipo Ganancias Ley 25.413 créditos</t>
        </is>
      </c>
      <c r="H835" s="8" t="inlineStr">
        <is>
          <t>Anticipo Impuesto a las Ganancias</t>
        </is>
      </c>
      <c r="I835" s="9" t="n">
        <v>110.52</v>
      </c>
      <c r="J835" s="9" t="inlineStr"/>
      <c r="K835" s="8" t="inlineStr">
        <is>
          <t>Copiar en Flexxus: Tipo=MB-EXT | Movimiento=GRAVAMEN LEY 25.413 S/CRED | Monto=110,52 | Fecha: 20/04/2026</t>
        </is>
      </c>
    </row>
    <row r="836">
      <c r="A836" s="8" t="inlineStr">
        <is>
          <t>PEND-CB0786C38A09-A001</t>
        </is>
      </c>
      <c r="B836" s="8" t="inlineStr">
        <is>
          <t>ABIERTO_NUEVO</t>
        </is>
      </c>
      <c r="C836" s="8" t="inlineStr">
        <is>
          <t>Banco egreso no Flexxus</t>
        </is>
      </c>
      <c r="D836" s="8" t="inlineStr">
        <is>
          <t>20/04/2026</t>
        </is>
      </c>
      <c r="E836" s="8" t="inlineStr">
        <is>
          <t>107446</t>
        </is>
      </c>
      <c r="F836" s="8" t="inlineStr">
        <is>
          <t>INGRESOS BRUTOS MENDOZA</t>
        </is>
      </c>
      <c r="G836" s="8" t="inlineStr">
        <is>
          <t>Retención Ingresos Brutos Mendoza</t>
        </is>
      </c>
      <c r="H836" s="8" t="inlineStr">
        <is>
          <t>Retención de Ingresos Brutos</t>
        </is>
      </c>
      <c r="I836" s="9" t="n">
        <v>264.42</v>
      </c>
      <c r="J836" s="9" t="inlineStr"/>
      <c r="K836" s="8" t="inlineStr">
        <is>
          <t>Copiar en Flexxus: Tipo=MB-EXT | Movimiento=INGRESOS BRUTOS MENDOZA | Monto=264,42 | Fecha: 20/04/2026</t>
        </is>
      </c>
    </row>
    <row r="837">
      <c r="A837" s="8" t="inlineStr">
        <is>
          <t>PEND-55049E4E386B-A001</t>
        </is>
      </c>
      <c r="B837" s="8" t="inlineStr">
        <is>
          <t>ABIERTO_NUEVO</t>
        </is>
      </c>
      <c r="C837" s="8" t="inlineStr">
        <is>
          <t>Banco egreso no Flexxus</t>
        </is>
      </c>
      <c r="D837" s="8" t="inlineStr">
        <is>
          <t>20/04/2026</t>
        </is>
      </c>
      <c r="E837" s="8" t="inlineStr">
        <is>
          <t>107446</t>
        </is>
      </c>
      <c r="F837" s="8" t="inlineStr">
        <is>
          <t>GRAVAMEN LEY 25413 S/CRED</t>
        </is>
      </c>
      <c r="G837" s="8" t="inlineStr">
        <is>
          <t>Anticipo Ganancias Ley 25.413 créditos</t>
        </is>
      </c>
      <c r="H837" s="8" t="inlineStr">
        <is>
          <t>Anticipo Impuesto a las Ganancias</t>
        </is>
      </c>
      <c r="I837" s="9" t="n">
        <v>158.65</v>
      </c>
      <c r="J837" s="9" t="inlineStr"/>
      <c r="K837" s="8" t="inlineStr">
        <is>
          <t>Copiar en Flexxus: Tipo=MB-EXT | Movimiento=GRAVAMEN LEY 25.413 S/CRED | Monto=158,65 | Fecha: 20/04/2026</t>
        </is>
      </c>
    </row>
    <row r="838">
      <c r="A838" s="8" t="inlineStr">
        <is>
          <t>PEND-C604686A9587-A001</t>
        </is>
      </c>
      <c r="B838" s="8" t="inlineStr">
        <is>
          <t>ABIERTO_NUEVO</t>
        </is>
      </c>
      <c r="C838" s="8" t="inlineStr">
        <is>
          <t>Banco egreso no Flexxus</t>
        </is>
      </c>
      <c r="D838" s="8" t="inlineStr">
        <is>
          <t>20/04/2026</t>
        </is>
      </c>
      <c r="E838" s="8" t="inlineStr">
        <is>
          <t>107445</t>
        </is>
      </c>
      <c r="F838" s="8" t="inlineStr">
        <is>
          <t>INGRESOS BRUTOS MENDOZA</t>
        </is>
      </c>
      <c r="G838" s="8" t="inlineStr">
        <is>
          <t>Retención Ingresos Brutos Mendoza</t>
        </is>
      </c>
      <c r="H838" s="8" t="inlineStr">
        <is>
          <t>Retención de Ingresos Brutos</t>
        </is>
      </c>
      <c r="I838" s="9" t="n">
        <v>152.51</v>
      </c>
      <c r="J838" s="9" t="inlineStr"/>
      <c r="K838" s="8" t="inlineStr">
        <is>
          <t>Copiar en Flexxus: Tipo=MB-EXT | Movimiento=INGRESOS BRUTOS MENDOZA | Monto=152,51 | Fecha: 20/04/2026</t>
        </is>
      </c>
    </row>
    <row r="839">
      <c r="A839" s="8" t="inlineStr">
        <is>
          <t>PEND-421334E9B0B3-A001</t>
        </is>
      </c>
      <c r="B839" s="8" t="inlineStr">
        <is>
          <t>ABIERTO_NUEVO</t>
        </is>
      </c>
      <c r="C839" s="8" t="inlineStr">
        <is>
          <t>Banco egreso no Flexxus</t>
        </is>
      </c>
      <c r="D839" s="8" t="inlineStr">
        <is>
          <t>20/04/2026</t>
        </is>
      </c>
      <c r="E839" s="8" t="inlineStr">
        <is>
          <t>107445</t>
        </is>
      </c>
      <c r="F839" s="8" t="inlineStr">
        <is>
          <t>GRAVAMEN LEY 25413 S/CRED</t>
        </is>
      </c>
      <c r="G839" s="8" t="inlineStr">
        <is>
          <t>Anticipo Ganancias Ley 25.413 créditos</t>
        </is>
      </c>
      <c r="H839" s="8" t="inlineStr">
        <is>
          <t>Anticipo Impuesto a las Ganancias</t>
        </is>
      </c>
      <c r="I839" s="9" t="n">
        <v>91.51000000000001</v>
      </c>
      <c r="J839" s="9" t="inlineStr"/>
      <c r="K839" s="8" t="inlineStr">
        <is>
          <t>Copiar en Flexxus: Tipo=MB-EXT | Movimiento=GRAVAMEN LEY 25.413 S/CRED | Monto=91,51 | Fecha: 20/04/2026</t>
        </is>
      </c>
    </row>
    <row r="840">
      <c r="A840" s="8" t="inlineStr">
        <is>
          <t>PEND-F89C4B712E74-A001</t>
        </is>
      </c>
      <c r="B840" s="8" t="inlineStr">
        <is>
          <t>ABIERTO_NUEVO</t>
        </is>
      </c>
      <c r="C840" s="8" t="inlineStr">
        <is>
          <t>Banco egreso no Flexxus</t>
        </is>
      </c>
      <c r="D840" s="8" t="inlineStr">
        <is>
          <t>20/04/2026</t>
        </is>
      </c>
      <c r="E840" s="8" t="inlineStr">
        <is>
          <t>107444</t>
        </is>
      </c>
      <c r="F840" s="8" t="inlineStr">
        <is>
          <t>INGRESOS BRUTOS MENDOZA</t>
        </is>
      </c>
      <c r="G840" s="8" t="inlineStr">
        <is>
          <t>Retención Ingresos Brutos Mendoza</t>
        </is>
      </c>
      <c r="H840" s="8" t="inlineStr">
        <is>
          <t>Retención de Ingresos Brutos</t>
        </is>
      </c>
      <c r="I840" s="9" t="n">
        <v>247.58</v>
      </c>
      <c r="J840" s="9" t="inlineStr"/>
      <c r="K840" s="8" t="inlineStr">
        <is>
          <t>Copiar en Flexxus: Tipo=MB-EXT | Movimiento=INGRESOS BRUTOS MENDOZA | Monto=247,58 | Fecha: 20/04/2026</t>
        </is>
      </c>
    </row>
    <row r="841">
      <c r="A841" s="8" t="inlineStr">
        <is>
          <t>PEND-A798231E1F3E-A001</t>
        </is>
      </c>
      <c r="B841" s="8" t="inlineStr">
        <is>
          <t>ABIERTO_NUEVO</t>
        </is>
      </c>
      <c r="C841" s="8" t="inlineStr">
        <is>
          <t>Banco egreso no Flexxus</t>
        </is>
      </c>
      <c r="D841" s="8" t="inlineStr">
        <is>
          <t>20/04/2026</t>
        </is>
      </c>
      <c r="E841" s="8" t="inlineStr">
        <is>
          <t>107444</t>
        </is>
      </c>
      <c r="F841" s="8" t="inlineStr">
        <is>
          <t>GRAVAMEN LEY 25413 S/CRED</t>
        </is>
      </c>
      <c r="G841" s="8" t="inlineStr">
        <is>
          <t>Anticipo Ganancias Ley 25.413 créditos</t>
        </is>
      </c>
      <c r="H841" s="8" t="inlineStr">
        <is>
          <t>Anticipo Impuesto a las Ganancias</t>
        </is>
      </c>
      <c r="I841" s="9" t="n">
        <v>148.55</v>
      </c>
      <c r="J841" s="9" t="inlineStr"/>
      <c r="K841" s="8" t="inlineStr">
        <is>
          <t>Copiar en Flexxus: Tipo=MB-EXT | Movimiento=GRAVAMEN LEY 25.413 S/CRED | Monto=148,55 | Fecha: 20/04/2026</t>
        </is>
      </c>
    </row>
    <row r="842">
      <c r="A842" s="8" t="inlineStr">
        <is>
          <t>PEND-BB557C712493-A001</t>
        </is>
      </c>
      <c r="B842" s="8" t="inlineStr">
        <is>
          <t>ABIERTO_NUEVO</t>
        </is>
      </c>
      <c r="C842" s="8" t="inlineStr">
        <is>
          <t>Banco egreso no Flexxus</t>
        </is>
      </c>
      <c r="D842" s="8" t="inlineStr">
        <is>
          <t>20/04/2026</t>
        </is>
      </c>
      <c r="E842" s="8" t="inlineStr">
        <is>
          <t>107443</t>
        </is>
      </c>
      <c r="F842" s="8" t="inlineStr">
        <is>
          <t>INGRESOS BRUTOS MENDOZA</t>
        </is>
      </c>
      <c r="G842" s="8" t="inlineStr">
        <is>
          <t>Retención Ingresos Brutos Mendoza</t>
        </is>
      </c>
      <c r="H842" s="8" t="inlineStr">
        <is>
          <t>Retención de Ingresos Brutos</t>
        </is>
      </c>
      <c r="I842" s="9" t="n">
        <v>170.34</v>
      </c>
      <c r="J842" s="9" t="inlineStr"/>
      <c r="K842" s="8" t="inlineStr">
        <is>
          <t>Copiar en Flexxus: Tipo=MB-EXT | Movimiento=INGRESOS BRUTOS MENDOZA | Monto=170,34 | Fecha: 20/04/2026</t>
        </is>
      </c>
    </row>
    <row r="843">
      <c r="A843" s="8" t="inlineStr">
        <is>
          <t>PEND-C1D2B1C27845-A001</t>
        </is>
      </c>
      <c r="B843" s="8" t="inlineStr">
        <is>
          <t>ABIERTO_NUEVO</t>
        </is>
      </c>
      <c r="C843" s="8" t="inlineStr">
        <is>
          <t>Banco egreso no Flexxus</t>
        </is>
      </c>
      <c r="D843" s="8" t="inlineStr">
        <is>
          <t>20/04/2026</t>
        </is>
      </c>
      <c r="E843" s="8" t="inlineStr">
        <is>
          <t>107443</t>
        </is>
      </c>
      <c r="F843" s="8" t="inlineStr">
        <is>
          <t>GRAVAMEN LEY 25413 S/CRED</t>
        </is>
      </c>
      <c r="G843" s="8" t="inlineStr">
        <is>
          <t>Anticipo Ganancias Ley 25.413 créditos</t>
        </is>
      </c>
      <c r="H843" s="8" t="inlineStr">
        <is>
          <t>Anticipo Impuesto a las Ganancias</t>
        </is>
      </c>
      <c r="I843" s="9" t="n">
        <v>102.2</v>
      </c>
      <c r="J843" s="9" t="inlineStr"/>
      <c r="K843" s="8" t="inlineStr">
        <is>
          <t>Copiar en Flexxus: Tipo=MB-EXT | Movimiento=GRAVAMEN LEY 25.413 S/CRED | Monto=102,20 | Fecha: 20/04/2026</t>
        </is>
      </c>
    </row>
    <row r="844">
      <c r="A844" s="8" t="inlineStr">
        <is>
          <t>PEND-2F12717D098E-A001</t>
        </is>
      </c>
      <c r="B844" s="8" t="inlineStr">
        <is>
          <t>ABIERTO_NUEVO</t>
        </is>
      </c>
      <c r="C844" s="8" t="inlineStr">
        <is>
          <t>Banco egreso no Flexxus</t>
        </is>
      </c>
      <c r="D844" s="8" t="inlineStr">
        <is>
          <t>20/04/2026</t>
        </is>
      </c>
      <c r="E844" s="8" t="inlineStr">
        <is>
          <t>107442</t>
        </is>
      </c>
      <c r="F844" s="8" t="inlineStr">
        <is>
          <t>INGRESOS BRUTOS MENDOZA</t>
        </is>
      </c>
      <c r="G844" s="8" t="inlineStr">
        <is>
          <t>Retención Ingresos Brutos Mendoza</t>
        </is>
      </c>
      <c r="H844" s="8" t="inlineStr">
        <is>
          <t>Retención de Ingresos Brutos</t>
        </is>
      </c>
      <c r="I844" s="9" t="n">
        <v>180.24</v>
      </c>
      <c r="J844" s="9" t="inlineStr"/>
      <c r="K844" s="8" t="inlineStr">
        <is>
          <t>Copiar en Flexxus: Tipo=MB-EXT | Movimiento=INGRESOS BRUTOS MENDOZA | Monto=180,24 | Fecha: 20/04/2026</t>
        </is>
      </c>
    </row>
    <row r="845">
      <c r="A845" s="8" t="inlineStr">
        <is>
          <t>PEND-0E69D551110D-A001</t>
        </is>
      </c>
      <c r="B845" s="8" t="inlineStr">
        <is>
          <t>ABIERTO_NUEVO</t>
        </is>
      </c>
      <c r="C845" s="8" t="inlineStr">
        <is>
          <t>Banco egreso no Flexxus</t>
        </is>
      </c>
      <c r="D845" s="8" t="inlineStr">
        <is>
          <t>20/04/2026</t>
        </is>
      </c>
      <c r="E845" s="8" t="inlineStr">
        <is>
          <t>107442</t>
        </is>
      </c>
      <c r="F845" s="8" t="inlineStr">
        <is>
          <t>GRAVAMEN LEY 25413 S/CRED</t>
        </is>
      </c>
      <c r="G845" s="8" t="inlineStr">
        <is>
          <t>Anticipo Ganancias Ley 25.413 créditos</t>
        </is>
      </c>
      <c r="H845" s="8" t="inlineStr">
        <is>
          <t>Anticipo Impuesto a las Ganancias</t>
        </is>
      </c>
      <c r="I845" s="9" t="n">
        <v>108.14</v>
      </c>
      <c r="J845" s="9" t="inlineStr"/>
      <c r="K845" s="8" t="inlineStr">
        <is>
          <t>Copiar en Flexxus: Tipo=MB-EXT | Movimiento=GRAVAMEN LEY 25.413 S/CRED | Monto=108,14 | Fecha: 20/04/2026</t>
        </is>
      </c>
    </row>
    <row r="846">
      <c r="A846" s="8" t="inlineStr">
        <is>
          <t>PEND-9E709DD114E1-A001</t>
        </is>
      </c>
      <c r="B846" s="8" t="inlineStr">
        <is>
          <t>ABIERTO_NUEVO</t>
        </is>
      </c>
      <c r="C846" s="8" t="inlineStr">
        <is>
          <t>Banco egreso no Flexxus</t>
        </is>
      </c>
      <c r="D846" s="8" t="inlineStr">
        <is>
          <t>20/04/2026</t>
        </is>
      </c>
      <c r="E846" s="8" t="inlineStr">
        <is>
          <t>107441</t>
        </is>
      </c>
      <c r="F846" s="8" t="inlineStr">
        <is>
          <t>INGRESOS BRUTOS MENDOZA</t>
        </is>
      </c>
      <c r="G846" s="8" t="inlineStr">
        <is>
          <t>Retención Ingresos Brutos Mendoza</t>
        </is>
      </c>
      <c r="H846" s="8" t="inlineStr">
        <is>
          <t>Retención de Ingresos Brutos</t>
        </is>
      </c>
      <c r="I846" s="9" t="n">
        <v>55.46</v>
      </c>
      <c r="J846" s="9" t="inlineStr"/>
      <c r="K846" s="8" t="inlineStr">
        <is>
          <t>Copiar en Flexxus: Tipo=MB-EXT | Movimiento=INGRESOS BRUTOS MENDOZA | Monto=55,46 | Fecha: 20/04/2026</t>
        </is>
      </c>
    </row>
    <row r="847">
      <c r="A847" s="8" t="inlineStr">
        <is>
          <t>PEND-FC47DD93212C-A001</t>
        </is>
      </c>
      <c r="B847" s="8" t="inlineStr">
        <is>
          <t>ABIERTO_NUEVO</t>
        </is>
      </c>
      <c r="C847" s="8" t="inlineStr">
        <is>
          <t>Banco egreso no Flexxus</t>
        </is>
      </c>
      <c r="D847" s="8" t="inlineStr">
        <is>
          <t>20/04/2026</t>
        </is>
      </c>
      <c r="E847" s="8" t="inlineStr">
        <is>
          <t>107441</t>
        </is>
      </c>
      <c r="F847" s="8" t="inlineStr">
        <is>
          <t>GRAVAMEN LEY 25413 S/CRED</t>
        </is>
      </c>
      <c r="G847" s="8" t="inlineStr">
        <is>
          <t>Anticipo Ganancias Ley 25.413 créditos</t>
        </is>
      </c>
      <c r="H847" s="8" t="inlineStr">
        <is>
          <t>Anticipo Impuesto a las Ganancias</t>
        </is>
      </c>
      <c r="I847" s="9" t="n">
        <v>33.27</v>
      </c>
      <c r="J847" s="9" t="inlineStr"/>
      <c r="K847" s="8" t="inlineStr">
        <is>
          <t>Copiar en Flexxus: Tipo=MB-EXT | Movimiento=GRAVAMEN LEY 25.413 S/CRED | Monto=33,27 | Fecha: 20/04/2026</t>
        </is>
      </c>
    </row>
    <row r="848">
      <c r="A848" s="8" t="inlineStr">
        <is>
          <t>PEND-028C82851E7D-A001</t>
        </is>
      </c>
      <c r="B848" s="8" t="inlineStr">
        <is>
          <t>ABIERTO_NUEVO</t>
        </is>
      </c>
      <c r="C848" s="8" t="inlineStr">
        <is>
          <t>Banco egreso no Flexxus</t>
        </is>
      </c>
      <c r="D848" s="8" t="inlineStr">
        <is>
          <t>20/04/2026</t>
        </is>
      </c>
      <c r="E848" s="8" t="inlineStr">
        <is>
          <t>107440</t>
        </is>
      </c>
      <c r="F848" s="8" t="inlineStr">
        <is>
          <t>INGRESOS BRUTOS MENDOZA</t>
        </is>
      </c>
      <c r="G848" s="8" t="inlineStr">
        <is>
          <t>Retención Ingresos Brutos Mendoza</t>
        </is>
      </c>
      <c r="H848" s="8" t="inlineStr">
        <is>
          <t>Retención de Ingresos Brutos</t>
        </is>
      </c>
      <c r="I848" s="9" t="n">
        <v>191.13</v>
      </c>
      <c r="J848" s="9" t="inlineStr"/>
      <c r="K848" s="8" t="inlineStr">
        <is>
          <t>Copiar en Flexxus: Tipo=MB-EXT | Movimiento=INGRESOS BRUTOS MENDOZA | Monto=191,13 | Fecha: 20/04/2026</t>
        </is>
      </c>
    </row>
    <row r="849">
      <c r="A849" s="8" t="inlineStr">
        <is>
          <t>PEND-892FC1FD9C12-A001</t>
        </is>
      </c>
      <c r="B849" s="8" t="inlineStr">
        <is>
          <t>ABIERTO_NUEVO</t>
        </is>
      </c>
      <c r="C849" s="8" t="inlineStr">
        <is>
          <t>Banco egreso no Flexxus</t>
        </is>
      </c>
      <c r="D849" s="8" t="inlineStr">
        <is>
          <t>20/04/2026</t>
        </is>
      </c>
      <c r="E849" s="8" t="inlineStr">
        <is>
          <t>107440</t>
        </is>
      </c>
      <c r="F849" s="8" t="inlineStr">
        <is>
          <t>GRAVAMEN LEY 25413 S/CRED</t>
        </is>
      </c>
      <c r="G849" s="8" t="inlineStr">
        <is>
          <t>Anticipo Ganancias Ley 25.413 créditos</t>
        </is>
      </c>
      <c r="H849" s="8" t="inlineStr">
        <is>
          <t>Anticipo Impuesto a las Ganancias</t>
        </is>
      </c>
      <c r="I849" s="9" t="n">
        <v>114.68</v>
      </c>
      <c r="J849" s="9" t="inlineStr"/>
      <c r="K849" s="8" t="inlineStr">
        <is>
          <t>Copiar en Flexxus: Tipo=MB-EXT | Movimiento=GRAVAMEN LEY 25.413 S/CRED | Monto=114,68 | Fecha: 20/04/2026</t>
        </is>
      </c>
    </row>
    <row r="850">
      <c r="A850" s="8" t="inlineStr">
        <is>
          <t>PEND-23428D8B5C74-A001</t>
        </is>
      </c>
      <c r="B850" s="8" t="inlineStr">
        <is>
          <t>ABIERTO_NUEVO</t>
        </is>
      </c>
      <c r="C850" s="8" t="inlineStr">
        <is>
          <t>Banco egreso no Flexxus</t>
        </is>
      </c>
      <c r="D850" s="8" t="inlineStr">
        <is>
          <t>20/04/2026</t>
        </is>
      </c>
      <c r="E850" s="8" t="inlineStr">
        <is>
          <t>107439</t>
        </is>
      </c>
      <c r="F850" s="8" t="inlineStr">
        <is>
          <t>INGRESOS BRUTOS MENDOZA</t>
        </is>
      </c>
      <c r="G850" s="8" t="inlineStr">
        <is>
          <t>Retención Ingresos Brutos Mendoza</t>
        </is>
      </c>
      <c r="H850" s="8" t="inlineStr">
        <is>
          <t>Retención de Ingresos Brutos</t>
        </is>
      </c>
      <c r="I850" s="9" t="n">
        <v>381.27</v>
      </c>
      <c r="J850" s="9" t="inlineStr"/>
      <c r="K850" s="8" t="inlineStr">
        <is>
          <t>Copiar en Flexxus: Tipo=MB-EXT | Movimiento=INGRESOS BRUTOS MENDOZA | Monto=381,27 | Fecha: 20/04/2026</t>
        </is>
      </c>
    </row>
    <row r="851">
      <c r="A851" s="8" t="inlineStr">
        <is>
          <t>PEND-A651732741FA-A001</t>
        </is>
      </c>
      <c r="B851" s="8" t="inlineStr">
        <is>
          <t>ABIERTO_NUEVO</t>
        </is>
      </c>
      <c r="C851" s="8" t="inlineStr">
        <is>
          <t>Banco egreso no Flexxus</t>
        </is>
      </c>
      <c r="D851" s="8" t="inlineStr">
        <is>
          <t>20/04/2026</t>
        </is>
      </c>
      <c r="E851" s="8" t="inlineStr">
        <is>
          <t>107439</t>
        </is>
      </c>
      <c r="F851" s="8" t="inlineStr">
        <is>
          <t>GRAVAMEN LEY 25413 S/CRED</t>
        </is>
      </c>
      <c r="G851" s="8" t="inlineStr">
        <is>
          <t>Anticipo Ganancias Ley 25.413 créditos</t>
        </is>
      </c>
      <c r="H851" s="8" t="inlineStr">
        <is>
          <t>Anticipo Impuesto a las Ganancias</t>
        </is>
      </c>
      <c r="I851" s="9" t="n">
        <v>228.76</v>
      </c>
      <c r="J851" s="9" t="inlineStr"/>
      <c r="K851" s="8" t="inlineStr">
        <is>
          <t>Copiar en Flexxus: Tipo=MB-EXT | Movimiento=GRAVAMEN LEY 25.413 S/CRED | Monto=228,76 | Fecha: 20/04/2026</t>
        </is>
      </c>
    </row>
    <row r="852">
      <c r="A852" s="8" t="inlineStr">
        <is>
          <t>PEND-C899DB62B5C6-A001</t>
        </is>
      </c>
      <c r="B852" s="8" t="inlineStr">
        <is>
          <t>ABIERTO_NUEVO</t>
        </is>
      </c>
      <c r="C852" s="8" t="inlineStr">
        <is>
          <t>Banco egreso no Flexxus</t>
        </is>
      </c>
      <c r="D852" s="8" t="inlineStr">
        <is>
          <t>20/04/2026</t>
        </is>
      </c>
      <c r="E852" s="8" t="inlineStr">
        <is>
          <t>107438</t>
        </is>
      </c>
      <c r="F852" s="8" t="inlineStr">
        <is>
          <t>INGRESOS BRUTOS MENDOZA</t>
        </is>
      </c>
      <c r="G852" s="8" t="inlineStr">
        <is>
          <t>Retención Ingresos Brutos Mendoza</t>
        </is>
      </c>
      <c r="H852" s="8" t="inlineStr">
        <is>
          <t>Retención de Ingresos Brutos</t>
        </is>
      </c>
      <c r="I852" s="9" t="n">
        <v>227.77</v>
      </c>
      <c r="J852" s="9" t="inlineStr"/>
      <c r="K852" s="8" t="inlineStr">
        <is>
          <t>Copiar en Flexxus: Tipo=MB-EXT | Movimiento=INGRESOS BRUTOS MENDOZA | Monto=227,77 | Fecha: 20/04/2026</t>
        </is>
      </c>
    </row>
    <row r="853">
      <c r="A853" s="8" t="inlineStr">
        <is>
          <t>PEND-78590547F00D-A001</t>
        </is>
      </c>
      <c r="B853" s="8" t="inlineStr">
        <is>
          <t>ABIERTO_NUEVO</t>
        </is>
      </c>
      <c r="C853" s="8" t="inlineStr">
        <is>
          <t>Banco egreso no Flexxus</t>
        </is>
      </c>
      <c r="D853" s="8" t="inlineStr">
        <is>
          <t>20/04/2026</t>
        </is>
      </c>
      <c r="E853" s="8" t="inlineStr">
        <is>
          <t>107438</t>
        </is>
      </c>
      <c r="F853" s="8" t="inlineStr">
        <is>
          <t>GRAVAMEN LEY 25413 S/CRED</t>
        </is>
      </c>
      <c r="G853" s="8" t="inlineStr">
        <is>
          <t>Anticipo Ganancias Ley 25.413 créditos</t>
        </is>
      </c>
      <c r="H853" s="8" t="inlineStr">
        <is>
          <t>Anticipo Impuesto a las Ganancias</t>
        </is>
      </c>
      <c r="I853" s="9" t="n">
        <v>136.66</v>
      </c>
      <c r="J853" s="9" t="inlineStr"/>
      <c r="K853" s="8" t="inlineStr">
        <is>
          <t>Copiar en Flexxus: Tipo=MB-EXT | Movimiento=GRAVAMEN LEY 25.413 S/CRED | Monto=136,66 | Fecha: 20/04/2026</t>
        </is>
      </c>
    </row>
    <row r="854">
      <c r="A854" s="8" t="inlineStr">
        <is>
          <t>PEND-9397BFD0D67D-A001</t>
        </is>
      </c>
      <c r="B854" s="8" t="inlineStr">
        <is>
          <t>ABIERTO_NUEVO</t>
        </is>
      </c>
      <c r="C854" s="8" t="inlineStr">
        <is>
          <t>Banco egreso no Flexxus</t>
        </is>
      </c>
      <c r="D854" s="8" t="inlineStr">
        <is>
          <t>20/04/2026</t>
        </is>
      </c>
      <c r="E854" s="8" t="inlineStr">
        <is>
          <t>107437</t>
        </is>
      </c>
      <c r="F854" s="8" t="inlineStr">
        <is>
          <t>INGRESOS BRUTOS MENDOZA</t>
        </is>
      </c>
      <c r="G854" s="8" t="inlineStr">
        <is>
          <t>Retención Ingresos Brutos Mendoza</t>
        </is>
      </c>
      <c r="H854" s="8" t="inlineStr">
        <is>
          <t>Retención de Ingresos Brutos</t>
        </is>
      </c>
      <c r="I854" s="9" t="n">
        <v>89.13</v>
      </c>
      <c r="J854" s="9" t="inlineStr"/>
      <c r="K854" s="8" t="inlineStr">
        <is>
          <t>Copiar en Flexxus: Tipo=MB-EXT | Movimiento=INGRESOS BRUTOS MENDOZA | Monto=89,13 | Fecha: 20/04/2026</t>
        </is>
      </c>
    </row>
    <row r="855">
      <c r="A855" s="8" t="inlineStr">
        <is>
          <t>PEND-D23DB57A6F83-A001</t>
        </is>
      </c>
      <c r="B855" s="8" t="inlineStr">
        <is>
          <t>ABIERTO_NUEVO</t>
        </is>
      </c>
      <c r="C855" s="8" t="inlineStr">
        <is>
          <t>Banco egreso no Flexxus</t>
        </is>
      </c>
      <c r="D855" s="8" t="inlineStr">
        <is>
          <t>20/04/2026</t>
        </is>
      </c>
      <c r="E855" s="8" t="inlineStr">
        <is>
          <t>107437</t>
        </is>
      </c>
      <c r="F855" s="8" t="inlineStr">
        <is>
          <t>GRAVAMEN LEY 25413 S/CRED</t>
        </is>
      </c>
      <c r="G855" s="8" t="inlineStr">
        <is>
          <t>Anticipo Ganancias Ley 25.413 créditos</t>
        </is>
      </c>
      <c r="H855" s="8" t="inlineStr">
        <is>
          <t>Anticipo Impuesto a las Ganancias</t>
        </is>
      </c>
      <c r="I855" s="9" t="n">
        <v>53.48</v>
      </c>
      <c r="J855" s="9" t="inlineStr"/>
      <c r="K855" s="8" t="inlineStr">
        <is>
          <t>Copiar en Flexxus: Tipo=MB-EXT | Movimiento=GRAVAMEN LEY 25.413 S/CRED | Monto=53,48 | Fecha: 20/04/2026</t>
        </is>
      </c>
    </row>
    <row r="856">
      <c r="A856" s="8" t="inlineStr">
        <is>
          <t>PEND-A2D75033725F-A001</t>
        </is>
      </c>
      <c r="B856" s="8" t="inlineStr">
        <is>
          <t>ABIERTO_NUEVO</t>
        </is>
      </c>
      <c r="C856" s="8" t="inlineStr">
        <is>
          <t>Banco egreso no Flexxus</t>
        </is>
      </c>
      <c r="D856" s="8" t="inlineStr">
        <is>
          <t>20/04/2026</t>
        </is>
      </c>
      <c r="E856" s="8" t="inlineStr">
        <is>
          <t>107436</t>
        </is>
      </c>
      <c r="F856" s="8" t="inlineStr">
        <is>
          <t>INGRESOS BRUTOS MENDOZA</t>
        </is>
      </c>
      <c r="G856" s="8" t="inlineStr">
        <is>
          <t>Retención Ingresos Brutos Mendoza</t>
        </is>
      </c>
      <c r="H856" s="8" t="inlineStr">
        <is>
          <t>Retención de Ingresos Brutos</t>
        </is>
      </c>
      <c r="I856" s="9" t="n">
        <v>418.91</v>
      </c>
      <c r="J856" s="9" t="inlineStr"/>
      <c r="K856" s="8" t="inlineStr">
        <is>
          <t>Copiar en Flexxus: Tipo=MB-EXT | Movimiento=INGRESOS BRUTOS MENDOZA | Monto=418,91 | Fecha: 20/04/2026</t>
        </is>
      </c>
    </row>
    <row r="857">
      <c r="A857" s="8" t="inlineStr">
        <is>
          <t>PEND-0460717B9437-A001</t>
        </is>
      </c>
      <c r="B857" s="8" t="inlineStr">
        <is>
          <t>ABIERTO_NUEVO</t>
        </is>
      </c>
      <c r="C857" s="8" t="inlineStr">
        <is>
          <t>Banco egreso no Flexxus</t>
        </is>
      </c>
      <c r="D857" s="8" t="inlineStr">
        <is>
          <t>20/04/2026</t>
        </is>
      </c>
      <c r="E857" s="8" t="inlineStr">
        <is>
          <t>107436</t>
        </is>
      </c>
      <c r="F857" s="8" t="inlineStr">
        <is>
          <t>GRAVAMEN LEY 25413 S/CRED</t>
        </is>
      </c>
      <c r="G857" s="8" t="inlineStr">
        <is>
          <t>Anticipo Ganancias Ley 25.413 créditos</t>
        </is>
      </c>
      <c r="H857" s="8" t="inlineStr">
        <is>
          <t>Anticipo Impuesto a las Ganancias</t>
        </is>
      </c>
      <c r="I857" s="9" t="n">
        <v>251.34</v>
      </c>
      <c r="J857" s="9" t="inlineStr"/>
      <c r="K857" s="8" t="inlineStr">
        <is>
          <t>Copiar en Flexxus: Tipo=MB-EXT | Movimiento=GRAVAMEN LEY 25.413 S/CRED | Monto=251,34 | Fecha: 20/04/2026</t>
        </is>
      </c>
    </row>
    <row r="858">
      <c r="A858" s="8" t="inlineStr">
        <is>
          <t>PEND-FAA437EA56A8-A001</t>
        </is>
      </c>
      <c r="B858" s="8" t="inlineStr">
        <is>
          <t>ABIERTO_NUEVO</t>
        </is>
      </c>
      <c r="C858" s="8" t="inlineStr">
        <is>
          <t>Banco egreso no Flexxus</t>
        </is>
      </c>
      <c r="D858" s="8" t="inlineStr">
        <is>
          <t>20/04/2026</t>
        </is>
      </c>
      <c r="E858" s="8" t="inlineStr">
        <is>
          <t>107435</t>
        </is>
      </c>
      <c r="F858" s="8" t="inlineStr">
        <is>
          <t>INGRESOS BRUTOS MENDOZA</t>
        </is>
      </c>
      <c r="G858" s="8" t="inlineStr">
        <is>
          <t>Retención Ingresos Brutos Mendoza</t>
        </is>
      </c>
      <c r="H858" s="8" t="inlineStr">
        <is>
          <t>Retención de Ingresos Brutos</t>
        </is>
      </c>
      <c r="I858" s="9" t="n">
        <v>389.2</v>
      </c>
      <c r="J858" s="9" t="inlineStr"/>
      <c r="K858" s="8" t="inlineStr">
        <is>
          <t>Copiar en Flexxus: Tipo=MB-EXT | Movimiento=INGRESOS BRUTOS MENDOZA | Monto=389,20 | Fecha: 20/04/2026</t>
        </is>
      </c>
    </row>
    <row r="859">
      <c r="A859" s="8" t="inlineStr">
        <is>
          <t>PEND-1ABAF971946E-A001</t>
        </is>
      </c>
      <c r="B859" s="8" t="inlineStr">
        <is>
          <t>ABIERTO_NUEVO</t>
        </is>
      </c>
      <c r="C859" s="8" t="inlineStr">
        <is>
          <t>Banco egreso no Flexxus</t>
        </is>
      </c>
      <c r="D859" s="8" t="inlineStr">
        <is>
          <t>20/04/2026</t>
        </is>
      </c>
      <c r="E859" s="8" t="inlineStr">
        <is>
          <t>107435</t>
        </is>
      </c>
      <c r="F859" s="8" t="inlineStr">
        <is>
          <t>GRAVAMEN LEY 25413 S/CRED</t>
        </is>
      </c>
      <c r="G859" s="8" t="inlineStr">
        <is>
          <t>Anticipo Ganancias Ley 25.413 créditos</t>
        </is>
      </c>
      <c r="H859" s="8" t="inlineStr">
        <is>
          <t>Anticipo Impuesto a las Ganancias</t>
        </is>
      </c>
      <c r="I859" s="9" t="n">
        <v>233.52</v>
      </c>
      <c r="J859" s="9" t="inlineStr"/>
      <c r="K859" s="8" t="inlineStr">
        <is>
          <t>Copiar en Flexxus: Tipo=MB-EXT | Movimiento=GRAVAMEN LEY 25.413 S/CRED | Monto=233,52 | Fecha: 20/04/2026</t>
        </is>
      </c>
    </row>
    <row r="860">
      <c r="A860" s="8" t="inlineStr">
        <is>
          <t>PEND-15A2F08812D6-A001</t>
        </is>
      </c>
      <c r="B860" s="8" t="inlineStr">
        <is>
          <t>ABIERTO_NUEVO</t>
        </is>
      </c>
      <c r="C860" s="8" t="inlineStr">
        <is>
          <t>Banco egreso no Flexxus</t>
        </is>
      </c>
      <c r="D860" s="8" t="inlineStr">
        <is>
          <t>20/04/2026</t>
        </is>
      </c>
      <c r="E860" s="8" t="inlineStr">
        <is>
          <t>107434</t>
        </is>
      </c>
      <c r="F860" s="8" t="inlineStr">
        <is>
          <t>INGRESOS BRUTOS MENDOZA</t>
        </is>
      </c>
      <c r="G860" s="8" t="inlineStr">
        <is>
          <t>Retención Ingresos Brutos Mendoza</t>
        </is>
      </c>
      <c r="H860" s="8" t="inlineStr">
        <is>
          <t>Retención de Ingresos Brutos</t>
        </is>
      </c>
      <c r="I860" s="9" t="n">
        <v>544.6799999999999</v>
      </c>
      <c r="J860" s="9" t="inlineStr"/>
      <c r="K860" s="8" t="inlineStr">
        <is>
          <t>Copiar en Flexxus: Tipo=MB-EXT | Movimiento=INGRESOS BRUTOS MENDOZA | Monto=544,68 | Fecha: 20/04/2026</t>
        </is>
      </c>
    </row>
    <row r="861">
      <c r="A861" s="8" t="inlineStr">
        <is>
          <t>PEND-1C55A85906E8-A001</t>
        </is>
      </c>
      <c r="B861" s="8" t="inlineStr">
        <is>
          <t>ABIERTO_NUEVO</t>
        </is>
      </c>
      <c r="C861" s="8" t="inlineStr">
        <is>
          <t>Banco egreso no Flexxus</t>
        </is>
      </c>
      <c r="D861" s="8" t="inlineStr">
        <is>
          <t>20/04/2026</t>
        </is>
      </c>
      <c r="E861" s="8" t="inlineStr">
        <is>
          <t>107434</t>
        </is>
      </c>
      <c r="F861" s="8" t="inlineStr">
        <is>
          <t>GRAVAMEN LEY 25413 S/CRED</t>
        </is>
      </c>
      <c r="G861" s="8" t="inlineStr">
        <is>
          <t>Anticipo Ganancias Ley 25.413 créditos</t>
        </is>
      </c>
      <c r="H861" s="8" t="inlineStr">
        <is>
          <t>Anticipo Impuesto a las Ganancias</t>
        </is>
      </c>
      <c r="I861" s="9" t="n">
        <v>326.81</v>
      </c>
      <c r="J861" s="9" t="inlineStr"/>
      <c r="K861" s="8" t="inlineStr">
        <is>
          <t>Copiar en Flexxus: Tipo=MB-EXT | Movimiento=GRAVAMEN LEY 25.413 S/CRED | Monto=326,81 | Fecha: 20/04/2026</t>
        </is>
      </c>
    </row>
    <row r="862">
      <c r="A862" s="8" t="inlineStr">
        <is>
          <t>PEND-390A730B24E7-A001</t>
        </is>
      </c>
      <c r="B862" s="8" t="inlineStr">
        <is>
          <t>ABIERTO_NUEVO</t>
        </is>
      </c>
      <c r="C862" s="8" t="inlineStr">
        <is>
          <t>Banco egreso no Flexxus</t>
        </is>
      </c>
      <c r="D862" s="8" t="inlineStr">
        <is>
          <t>20/04/2026</t>
        </is>
      </c>
      <c r="E862" s="8" t="inlineStr">
        <is>
          <t>107433</t>
        </is>
      </c>
      <c r="F862" s="8" t="inlineStr">
        <is>
          <t>INGRESOS BRUTOS MENDOZA</t>
        </is>
      </c>
      <c r="G862" s="8" t="inlineStr">
        <is>
          <t>Retención Ingresos Brutos Mendoza</t>
        </is>
      </c>
      <c r="H862" s="8" t="inlineStr">
        <is>
          <t>Retención de Ingresos Brutos</t>
        </is>
      </c>
      <c r="I862" s="9" t="n">
        <v>1000</v>
      </c>
      <c r="J862" s="9" t="inlineStr"/>
      <c r="K862" s="8" t="inlineStr">
        <is>
          <t>Copiar en Flexxus: Tipo=MB-EXT | Movimiento=INGRESOS BRUTOS MENDOZA | Monto=1.000,00 | Fecha: 20/04/2026</t>
        </is>
      </c>
    </row>
    <row r="863">
      <c r="A863" s="8" t="inlineStr">
        <is>
          <t>PEND-01CDC300AB1D-A001</t>
        </is>
      </c>
      <c r="B863" s="8" t="inlineStr">
        <is>
          <t>ABIERTO_NUEVO</t>
        </is>
      </c>
      <c r="C863" s="8" t="inlineStr">
        <is>
          <t>Banco egreso no Flexxus</t>
        </is>
      </c>
      <c r="D863" s="8" t="inlineStr">
        <is>
          <t>20/04/2026</t>
        </is>
      </c>
      <c r="E863" s="8" t="inlineStr">
        <is>
          <t>107433</t>
        </is>
      </c>
      <c r="F863" s="8" t="inlineStr">
        <is>
          <t>GRAVAMEN LEY 25413 S/CRED</t>
        </is>
      </c>
      <c r="G863" s="8" t="inlineStr">
        <is>
          <t>Anticipo Ganancias Ley 25.413 créditos</t>
        </is>
      </c>
      <c r="H863" s="8" t="inlineStr">
        <is>
          <t>Anticipo Impuesto a las Ganancias</t>
        </is>
      </c>
      <c r="I863" s="9" t="n">
        <v>600</v>
      </c>
      <c r="J863" s="9" t="inlineStr"/>
      <c r="K863" s="8" t="inlineStr">
        <is>
          <t>Copiar en Flexxus: Tipo=MB-EXT | Movimiento=GRAVAMEN LEY 25.413 S/CRED | Monto=600,00 | Fecha: 20/04/2026</t>
        </is>
      </c>
    </row>
    <row r="864">
      <c r="A864" s="8" t="inlineStr">
        <is>
          <t>PEND-41E85DDA4CBB-A001</t>
        </is>
      </c>
      <c r="B864" s="8" t="inlineStr">
        <is>
          <t>ABIERTO_NUEVO</t>
        </is>
      </c>
      <c r="C864" s="8" t="inlineStr">
        <is>
          <t>Banco egreso no Flexxus</t>
        </is>
      </c>
      <c r="D864" s="8" t="inlineStr">
        <is>
          <t>20/04/2026</t>
        </is>
      </c>
      <c r="E864" s="8" t="inlineStr">
        <is>
          <t>107432</t>
        </is>
      </c>
      <c r="F864" s="8" t="inlineStr">
        <is>
          <t>INGRESOS BRUTOS MENDOZA</t>
        </is>
      </c>
      <c r="G864" s="8" t="inlineStr">
        <is>
          <t>Retención Ingresos Brutos Mendoza</t>
        </is>
      </c>
      <c r="H864" s="8" t="inlineStr">
        <is>
          <t>Retención de Ingresos Brutos</t>
        </is>
      </c>
      <c r="I864" s="9" t="n">
        <v>282.24</v>
      </c>
      <c r="J864" s="9" t="inlineStr"/>
      <c r="K864" s="8" t="inlineStr">
        <is>
          <t>Copiar en Flexxus: Tipo=MB-EXT | Movimiento=INGRESOS BRUTOS MENDOZA | Monto=282,24 | Fecha: 20/04/2026</t>
        </is>
      </c>
    </row>
    <row r="865">
      <c r="A865" s="8" t="inlineStr">
        <is>
          <t>PEND-2E5973D64FBE-A001</t>
        </is>
      </c>
      <c r="B865" s="8" t="inlineStr">
        <is>
          <t>ABIERTO_NUEVO</t>
        </is>
      </c>
      <c r="C865" s="8" t="inlineStr">
        <is>
          <t>Banco egreso no Flexxus</t>
        </is>
      </c>
      <c r="D865" s="8" t="inlineStr">
        <is>
          <t>20/04/2026</t>
        </is>
      </c>
      <c r="E865" s="8" t="inlineStr">
        <is>
          <t>107432</t>
        </is>
      </c>
      <c r="F865" s="8" t="inlineStr">
        <is>
          <t>GRAVAMEN LEY 25413 S/CRED</t>
        </is>
      </c>
      <c r="G865" s="8" t="inlineStr">
        <is>
          <t>Anticipo Ganancias Ley 25.413 créditos</t>
        </is>
      </c>
      <c r="H865" s="8" t="inlineStr">
        <is>
          <t>Anticipo Impuesto a las Ganancias</t>
        </is>
      </c>
      <c r="I865" s="9" t="n">
        <v>169.34</v>
      </c>
      <c r="J865" s="9" t="inlineStr"/>
      <c r="K865" s="8" t="inlineStr">
        <is>
          <t>Copiar en Flexxus: Tipo=MB-EXT | Movimiento=GRAVAMEN LEY 25.413 S/CRED | Monto=169,34 | Fecha: 20/04/2026</t>
        </is>
      </c>
    </row>
    <row r="866">
      <c r="A866" s="8" t="inlineStr">
        <is>
          <t>PEND-5E63AD8FE40A-A001</t>
        </is>
      </c>
      <c r="B866" s="8" t="inlineStr">
        <is>
          <t>ABIERTO_NUEVO</t>
        </is>
      </c>
      <c r="C866" s="8" t="inlineStr">
        <is>
          <t>Banco egreso no Flexxus</t>
        </is>
      </c>
      <c r="D866" s="8" t="inlineStr">
        <is>
          <t>20/04/2026</t>
        </is>
      </c>
      <c r="E866" s="8" t="inlineStr">
        <is>
          <t>107431</t>
        </is>
      </c>
      <c r="F866" s="8" t="inlineStr">
        <is>
          <t>INGRESOS BRUTOS MENDOZA</t>
        </is>
      </c>
      <c r="G866" s="8" t="inlineStr">
        <is>
          <t>Retención Ingresos Brutos Mendoza</t>
        </is>
      </c>
      <c r="H866" s="8" t="inlineStr">
        <is>
          <t>Retención de Ingresos Brutos</t>
        </is>
      </c>
      <c r="I866" s="9" t="n">
        <v>113.89</v>
      </c>
      <c r="J866" s="9" t="inlineStr"/>
      <c r="K866" s="8" t="inlineStr">
        <is>
          <t>Copiar en Flexxus: Tipo=MB-EXT | Movimiento=INGRESOS BRUTOS MENDOZA | Monto=113,89 | Fecha: 20/04/2026</t>
        </is>
      </c>
    </row>
    <row r="867">
      <c r="A867" s="8" t="inlineStr">
        <is>
          <t>PEND-C401DA14A050-A001</t>
        </is>
      </c>
      <c r="B867" s="8" t="inlineStr">
        <is>
          <t>ABIERTO_NUEVO</t>
        </is>
      </c>
      <c r="C867" s="8" t="inlineStr">
        <is>
          <t>Banco egreso no Flexxus</t>
        </is>
      </c>
      <c r="D867" s="8" t="inlineStr">
        <is>
          <t>20/04/2026</t>
        </is>
      </c>
      <c r="E867" s="8" t="inlineStr">
        <is>
          <t>107431</t>
        </is>
      </c>
      <c r="F867" s="8" t="inlineStr">
        <is>
          <t>GRAVAMEN LEY 25413 S/CRED</t>
        </is>
      </c>
      <c r="G867" s="8" t="inlineStr">
        <is>
          <t>Anticipo Ganancias Ley 25.413 créditos</t>
        </is>
      </c>
      <c r="H867" s="8" t="inlineStr">
        <is>
          <t>Anticipo Impuesto a las Ganancias</t>
        </is>
      </c>
      <c r="I867" s="9" t="n">
        <v>68.33</v>
      </c>
      <c r="J867" s="9" t="inlineStr"/>
      <c r="K867" s="8" t="inlineStr">
        <is>
          <t>Copiar en Flexxus: Tipo=MB-EXT | Movimiento=GRAVAMEN LEY 25.413 S/CRED | Monto=68,33 | Fecha: 20/04/2026</t>
        </is>
      </c>
    </row>
    <row r="868">
      <c r="A868" s="8" t="inlineStr">
        <is>
          <t>PEND-9638E4183846-A001</t>
        </is>
      </c>
      <c r="B868" s="8" t="inlineStr">
        <is>
          <t>ABIERTO_NUEVO</t>
        </is>
      </c>
      <c r="C868" s="8" t="inlineStr">
        <is>
          <t>Banco egreso no Flexxus</t>
        </is>
      </c>
      <c r="D868" s="8" t="inlineStr">
        <is>
          <t>20/04/2026</t>
        </is>
      </c>
      <c r="E868" s="8" t="inlineStr">
        <is>
          <t>107430</t>
        </is>
      </c>
      <c r="F868" s="8" t="inlineStr">
        <is>
          <t>INGRESOS BRUTOS MENDOZA</t>
        </is>
      </c>
      <c r="G868" s="8" t="inlineStr">
        <is>
          <t>Retención Ingresos Brutos Mendoza</t>
        </is>
      </c>
      <c r="H868" s="8" t="inlineStr">
        <is>
          <t>Retención de Ingresos Brutos</t>
        </is>
      </c>
      <c r="I868" s="9" t="n">
        <v>530.8099999999999</v>
      </c>
      <c r="J868" s="9" t="inlineStr"/>
      <c r="K868" s="8" t="inlineStr">
        <is>
          <t>Copiar en Flexxus: Tipo=MB-EXT | Movimiento=INGRESOS BRUTOS MENDOZA | Monto=530,81 | Fecha: 20/04/2026</t>
        </is>
      </c>
    </row>
    <row r="869">
      <c r="A869" s="8" t="inlineStr">
        <is>
          <t>PEND-CBFBB05761CA-A001</t>
        </is>
      </c>
      <c r="B869" s="8" t="inlineStr">
        <is>
          <t>ABIERTO_NUEVO</t>
        </is>
      </c>
      <c r="C869" s="8" t="inlineStr">
        <is>
          <t>Banco egreso no Flexxus</t>
        </is>
      </c>
      <c r="D869" s="8" t="inlineStr">
        <is>
          <t>20/04/2026</t>
        </is>
      </c>
      <c r="E869" s="8" t="inlineStr">
        <is>
          <t>107430</t>
        </is>
      </c>
      <c r="F869" s="8" t="inlineStr">
        <is>
          <t>GRAVAMEN LEY 25413 S/CRED</t>
        </is>
      </c>
      <c r="G869" s="8" t="inlineStr">
        <is>
          <t>Anticipo Ganancias Ley 25.413 créditos</t>
        </is>
      </c>
      <c r="H869" s="8" t="inlineStr">
        <is>
          <t>Anticipo Impuesto a las Ganancias</t>
        </is>
      </c>
      <c r="I869" s="9" t="n">
        <v>318.49</v>
      </c>
      <c r="J869" s="9" t="inlineStr"/>
      <c r="K869" s="8" t="inlineStr">
        <is>
          <t>Copiar en Flexxus: Tipo=MB-EXT | Movimiento=GRAVAMEN LEY 25.413 S/CRED | Monto=318,49 | Fecha: 20/04/2026</t>
        </is>
      </c>
    </row>
    <row r="870">
      <c r="A870" s="8" t="inlineStr">
        <is>
          <t>PEND-59521CCE4176-A001</t>
        </is>
      </c>
      <c r="B870" s="8" t="inlineStr">
        <is>
          <t>ABIERTO_NUEVO</t>
        </is>
      </c>
      <c r="C870" s="8" t="inlineStr">
        <is>
          <t>Banco egreso no Flexxus</t>
        </is>
      </c>
      <c r="D870" s="8" t="inlineStr">
        <is>
          <t>20/04/2026</t>
        </is>
      </c>
      <c r="E870" s="8" t="inlineStr">
        <is>
          <t>107429</t>
        </is>
      </c>
      <c r="F870" s="8" t="inlineStr">
        <is>
          <t>INGRESOS BRUTOS MENDOZA</t>
        </is>
      </c>
      <c r="G870" s="8" t="inlineStr">
        <is>
          <t>Retención Ingresos Brutos Mendoza</t>
        </is>
      </c>
      <c r="H870" s="8" t="inlineStr">
        <is>
          <t>Retención de Ingresos Brutos</t>
        </is>
      </c>
      <c r="I870" s="9" t="n">
        <v>475.35</v>
      </c>
      <c r="J870" s="9" t="inlineStr"/>
      <c r="K870" s="8" t="inlineStr">
        <is>
          <t>Copiar en Flexxus: Tipo=MB-EXT | Movimiento=INGRESOS BRUTOS MENDOZA | Monto=475,35 | Fecha: 20/04/2026</t>
        </is>
      </c>
    </row>
    <row r="871">
      <c r="A871" s="8" t="inlineStr">
        <is>
          <t>PEND-0C0AF026427B-A001</t>
        </is>
      </c>
      <c r="B871" s="8" t="inlineStr">
        <is>
          <t>ABIERTO_NUEVO</t>
        </is>
      </c>
      <c r="C871" s="8" t="inlineStr">
        <is>
          <t>Banco egreso no Flexxus</t>
        </is>
      </c>
      <c r="D871" s="8" t="inlineStr">
        <is>
          <t>20/04/2026</t>
        </is>
      </c>
      <c r="E871" s="8" t="inlineStr">
        <is>
          <t>107429</t>
        </is>
      </c>
      <c r="F871" s="8" t="inlineStr">
        <is>
          <t>GRAVAMEN LEY 25413 S/CRED</t>
        </is>
      </c>
      <c r="G871" s="8" t="inlineStr">
        <is>
          <t>Anticipo Ganancias Ley 25.413 créditos</t>
        </is>
      </c>
      <c r="H871" s="8" t="inlineStr">
        <is>
          <t>Anticipo Impuesto a las Ganancias</t>
        </is>
      </c>
      <c r="I871" s="9" t="n">
        <v>285.21</v>
      </c>
      <c r="J871" s="9" t="inlineStr"/>
      <c r="K871" s="8" t="inlineStr">
        <is>
          <t>Copiar en Flexxus: Tipo=MB-EXT | Movimiento=GRAVAMEN LEY 25.413 S/CRED | Monto=285,21 | Fecha: 20/04/2026</t>
        </is>
      </c>
    </row>
    <row r="872">
      <c r="A872" s="8" t="inlineStr">
        <is>
          <t>PEND-F2A873D53855-A001</t>
        </is>
      </c>
      <c r="B872" s="8" t="inlineStr">
        <is>
          <t>ABIERTO_NUEVO</t>
        </is>
      </c>
      <c r="C872" s="8" t="inlineStr">
        <is>
          <t>Banco egreso no Flexxus</t>
        </is>
      </c>
      <c r="D872" s="8" t="inlineStr">
        <is>
          <t>20/04/2026</t>
        </is>
      </c>
      <c r="E872" s="8" t="inlineStr">
        <is>
          <t>107428</t>
        </is>
      </c>
      <c r="F872" s="8" t="inlineStr">
        <is>
          <t>INGRESOS BRUTOS MENDOZA</t>
        </is>
      </c>
      <c r="G872" s="8" t="inlineStr">
        <is>
          <t>Retención Ingresos Brutos Mendoza</t>
        </is>
      </c>
      <c r="H872" s="8" t="inlineStr">
        <is>
          <t>Retención de Ingresos Brutos</t>
        </is>
      </c>
      <c r="I872" s="9" t="n">
        <v>472.38</v>
      </c>
      <c r="J872" s="9" t="inlineStr"/>
      <c r="K872" s="8" t="inlineStr">
        <is>
          <t>Copiar en Flexxus: Tipo=MB-EXT | Movimiento=INGRESOS BRUTOS MENDOZA | Monto=472,38 | Fecha: 20/04/2026</t>
        </is>
      </c>
    </row>
    <row r="873">
      <c r="A873" s="8" t="inlineStr">
        <is>
          <t>PEND-488298A5E5AD-A001</t>
        </is>
      </c>
      <c r="B873" s="8" t="inlineStr">
        <is>
          <t>ABIERTO_NUEVO</t>
        </is>
      </c>
      <c r="C873" s="8" t="inlineStr">
        <is>
          <t>Banco egreso no Flexxus</t>
        </is>
      </c>
      <c r="D873" s="8" t="inlineStr">
        <is>
          <t>20/04/2026</t>
        </is>
      </c>
      <c r="E873" s="8" t="inlineStr">
        <is>
          <t>107428</t>
        </is>
      </c>
      <c r="F873" s="8" t="inlineStr">
        <is>
          <t>GRAVAMEN LEY 25413 S/CRED</t>
        </is>
      </c>
      <c r="G873" s="8" t="inlineStr">
        <is>
          <t>Anticipo Ganancias Ley 25.413 créditos</t>
        </is>
      </c>
      <c r="H873" s="8" t="inlineStr">
        <is>
          <t>Anticipo Impuesto a las Ganancias</t>
        </is>
      </c>
      <c r="I873" s="9" t="n">
        <v>283.43</v>
      </c>
      <c r="J873" s="9" t="inlineStr"/>
      <c r="K873" s="8" t="inlineStr">
        <is>
          <t>Copiar en Flexxus: Tipo=MB-EXT | Movimiento=GRAVAMEN LEY 25.413 S/CRED | Monto=283,43 | Fecha: 20/04/2026</t>
        </is>
      </c>
    </row>
    <row r="874">
      <c r="A874" s="8" t="inlineStr">
        <is>
          <t>PEND-0DF24FCB3251-A001</t>
        </is>
      </c>
      <c r="B874" s="8" t="inlineStr">
        <is>
          <t>ABIERTO_NUEVO</t>
        </is>
      </c>
      <c r="C874" s="8" t="inlineStr">
        <is>
          <t>Banco egreso no Flexxus</t>
        </is>
      </c>
      <c r="D874" s="8" t="inlineStr">
        <is>
          <t>20/04/2026</t>
        </is>
      </c>
      <c r="E874" s="8" t="inlineStr">
        <is>
          <t>107427</t>
        </is>
      </c>
      <c r="F874" s="8" t="inlineStr">
        <is>
          <t>INGRESOS BRUTOS MENDOZA</t>
        </is>
      </c>
      <c r="G874" s="8" t="inlineStr">
        <is>
          <t>Retención Ingresos Brutos Mendoza</t>
        </is>
      </c>
      <c r="H874" s="8" t="inlineStr">
        <is>
          <t>Retención de Ingresos Brutos</t>
        </is>
      </c>
      <c r="I874" s="9" t="n">
        <v>331.76</v>
      </c>
      <c r="J874" s="9" t="inlineStr"/>
      <c r="K874" s="8" t="inlineStr">
        <is>
          <t>Copiar en Flexxus: Tipo=MB-EXT | Movimiento=INGRESOS BRUTOS MENDOZA | Monto=331,76 | Fecha: 20/04/2026</t>
        </is>
      </c>
    </row>
    <row r="875">
      <c r="A875" s="8" t="inlineStr">
        <is>
          <t>PEND-27D1E7A0E51D-A001</t>
        </is>
      </c>
      <c r="B875" s="8" t="inlineStr">
        <is>
          <t>ABIERTO_NUEVO</t>
        </is>
      </c>
      <c r="C875" s="8" t="inlineStr">
        <is>
          <t>Banco egreso no Flexxus</t>
        </is>
      </c>
      <c r="D875" s="8" t="inlineStr">
        <is>
          <t>20/04/2026</t>
        </is>
      </c>
      <c r="E875" s="8" t="inlineStr">
        <is>
          <t>107427</t>
        </is>
      </c>
      <c r="F875" s="8" t="inlineStr">
        <is>
          <t>GRAVAMEN LEY 25413 S/CRED</t>
        </is>
      </c>
      <c r="G875" s="8" t="inlineStr">
        <is>
          <t>Anticipo Ganancias Ley 25.413 créditos</t>
        </is>
      </c>
      <c r="H875" s="8" t="inlineStr">
        <is>
          <t>Anticipo Impuesto a las Ganancias</t>
        </is>
      </c>
      <c r="I875" s="9" t="n">
        <v>199.05</v>
      </c>
      <c r="J875" s="9" t="inlineStr"/>
      <c r="K875" s="8" t="inlineStr">
        <is>
          <t>Copiar en Flexxus: Tipo=MB-EXT | Movimiento=GRAVAMEN LEY 25.413 S/CRED | Monto=199,05 | Fecha: 20/04/2026</t>
        </is>
      </c>
    </row>
    <row r="876">
      <c r="A876" s="8" t="inlineStr">
        <is>
          <t>PEND-F2B1EC84ADEB-A001</t>
        </is>
      </c>
      <c r="B876" s="8" t="inlineStr">
        <is>
          <t>ABIERTO_NUEVO</t>
        </is>
      </c>
      <c r="C876" s="8" t="inlineStr">
        <is>
          <t>Banco egreso no Flexxus</t>
        </is>
      </c>
      <c r="D876" s="8" t="inlineStr">
        <is>
          <t>20/04/2026</t>
        </is>
      </c>
      <c r="E876" s="8" t="inlineStr">
        <is>
          <t>107426</t>
        </is>
      </c>
      <c r="F876" s="8" t="inlineStr">
        <is>
          <t>INGRESOS BRUTOS MENDOZA</t>
        </is>
      </c>
      <c r="G876" s="8" t="inlineStr">
        <is>
          <t>Retención Ingresos Brutos Mendoza</t>
        </is>
      </c>
      <c r="H876" s="8" t="inlineStr">
        <is>
          <t>Retención de Ingresos Brutos</t>
        </is>
      </c>
      <c r="I876" s="9" t="n">
        <v>341.66</v>
      </c>
      <c r="J876" s="9" t="inlineStr"/>
      <c r="K876" s="8" t="inlineStr">
        <is>
          <t>Copiar en Flexxus: Tipo=MB-EXT | Movimiento=INGRESOS BRUTOS MENDOZA | Monto=341,66 | Fecha: 20/04/2026</t>
        </is>
      </c>
    </row>
    <row r="877">
      <c r="A877" s="8" t="inlineStr">
        <is>
          <t>PEND-0E6973BB38A1-A001</t>
        </is>
      </c>
      <c r="B877" s="8" t="inlineStr">
        <is>
          <t>ABIERTO_NUEVO</t>
        </is>
      </c>
      <c r="C877" s="8" t="inlineStr">
        <is>
          <t>Banco egreso no Flexxus</t>
        </is>
      </c>
      <c r="D877" s="8" t="inlineStr">
        <is>
          <t>20/04/2026</t>
        </is>
      </c>
      <c r="E877" s="8" t="inlineStr">
        <is>
          <t>107426</t>
        </is>
      </c>
      <c r="F877" s="8" t="inlineStr">
        <is>
          <t>GRAVAMEN LEY 25413 S/CRED</t>
        </is>
      </c>
      <c r="G877" s="8" t="inlineStr">
        <is>
          <t>Anticipo Ganancias Ley 25.413 créditos</t>
        </is>
      </c>
      <c r="H877" s="8" t="inlineStr">
        <is>
          <t>Anticipo Impuesto a las Ganancias</t>
        </is>
      </c>
      <c r="I877" s="9" t="n">
        <v>205</v>
      </c>
      <c r="J877" s="9" t="inlineStr"/>
      <c r="K877" s="8" t="inlineStr">
        <is>
          <t>Copiar en Flexxus: Tipo=MB-EXT | Movimiento=GRAVAMEN LEY 25.413 S/CRED | Monto=205,00 | Fecha: 20/04/2026</t>
        </is>
      </c>
    </row>
    <row r="878">
      <c r="A878" s="8" t="inlineStr">
        <is>
          <t>PEND-F8D32BD7E7CE-A001</t>
        </is>
      </c>
      <c r="B878" s="8" t="inlineStr">
        <is>
          <t>ABIERTO_NUEVO</t>
        </is>
      </c>
      <c r="C878" s="8" t="inlineStr">
        <is>
          <t>Banco egreso no Flexxus</t>
        </is>
      </c>
      <c r="D878" s="8" t="inlineStr">
        <is>
          <t>20/04/2026</t>
        </is>
      </c>
      <c r="E878" s="8" t="inlineStr">
        <is>
          <t>107425</t>
        </is>
      </c>
      <c r="F878" s="8" t="inlineStr">
        <is>
          <t>INGRESOS BRUTOS MENDOZA</t>
        </is>
      </c>
      <c r="G878" s="8" t="inlineStr">
        <is>
          <t>Retención Ingresos Brutos Mendoza</t>
        </is>
      </c>
      <c r="H878" s="8" t="inlineStr">
        <is>
          <t>Retención de Ingresos Brutos</t>
        </is>
      </c>
      <c r="I878" s="9" t="n">
        <v>287.19</v>
      </c>
      <c r="J878" s="9" t="inlineStr"/>
      <c r="K878" s="8" t="inlineStr">
        <is>
          <t>Copiar en Flexxus: Tipo=MB-EXT | Movimiento=INGRESOS BRUTOS MENDOZA | Monto=287,19 | Fecha: 20/04/2026</t>
        </is>
      </c>
    </row>
    <row r="879">
      <c r="A879" s="8" t="inlineStr">
        <is>
          <t>PEND-BB207330F218-A001</t>
        </is>
      </c>
      <c r="B879" s="8" t="inlineStr">
        <is>
          <t>ABIERTO_NUEVO</t>
        </is>
      </c>
      <c r="C879" s="8" t="inlineStr">
        <is>
          <t>Banco egreso no Flexxus</t>
        </is>
      </c>
      <c r="D879" s="8" t="inlineStr">
        <is>
          <t>20/04/2026</t>
        </is>
      </c>
      <c r="E879" s="8" t="inlineStr">
        <is>
          <t>107425</t>
        </is>
      </c>
      <c r="F879" s="8" t="inlineStr">
        <is>
          <t>GRAVAMEN LEY 25413 S/CRED</t>
        </is>
      </c>
      <c r="G879" s="8" t="inlineStr">
        <is>
          <t>Anticipo Ganancias Ley 25.413 créditos</t>
        </is>
      </c>
      <c r="H879" s="8" t="inlineStr">
        <is>
          <t>Anticipo Impuesto a las Ganancias</t>
        </is>
      </c>
      <c r="I879" s="9" t="n">
        <v>172.32</v>
      </c>
      <c r="J879" s="9" t="inlineStr"/>
      <c r="K879" s="8" t="inlineStr">
        <is>
          <t>Copiar en Flexxus: Tipo=MB-EXT | Movimiento=GRAVAMEN LEY 25.413 S/CRED | Monto=172,32 | Fecha: 20/04/2026</t>
        </is>
      </c>
    </row>
    <row r="880">
      <c r="A880" s="8" t="inlineStr">
        <is>
          <t>PEND-BA8E02FCCDCD-A001</t>
        </is>
      </c>
      <c r="B880" s="8" t="inlineStr">
        <is>
          <t>ABIERTO_NUEVO</t>
        </is>
      </c>
      <c r="C880" s="8" t="inlineStr">
        <is>
          <t>Banco egreso no Flexxus</t>
        </is>
      </c>
      <c r="D880" s="8" t="inlineStr">
        <is>
          <t>20/04/2026</t>
        </is>
      </c>
      <c r="E880" s="8" t="inlineStr">
        <is>
          <t>107424</t>
        </is>
      </c>
      <c r="F880" s="8" t="inlineStr">
        <is>
          <t>INGRESOS BRUTOS MENDOZA</t>
        </is>
      </c>
      <c r="G880" s="8" t="inlineStr">
        <is>
          <t>Retención Ingresos Brutos Mendoza</t>
        </is>
      </c>
      <c r="H880" s="8" t="inlineStr">
        <is>
          <t>Retención de Ingresos Brutos</t>
        </is>
      </c>
      <c r="I880" s="9" t="n">
        <v>220.84</v>
      </c>
      <c r="J880" s="9" t="inlineStr"/>
      <c r="K880" s="8" t="inlineStr">
        <is>
          <t>Copiar en Flexxus: Tipo=MB-EXT | Movimiento=INGRESOS BRUTOS MENDOZA | Monto=220,84 | Fecha: 20/04/2026</t>
        </is>
      </c>
    </row>
    <row r="881">
      <c r="A881" s="8" t="inlineStr">
        <is>
          <t>PEND-1F39992770CD-A001</t>
        </is>
      </c>
      <c r="B881" s="8" t="inlineStr">
        <is>
          <t>ABIERTO_NUEVO</t>
        </is>
      </c>
      <c r="C881" s="8" t="inlineStr">
        <is>
          <t>Banco egreso no Flexxus</t>
        </is>
      </c>
      <c r="D881" s="8" t="inlineStr">
        <is>
          <t>20/04/2026</t>
        </is>
      </c>
      <c r="E881" s="8" t="inlineStr">
        <is>
          <t>107424</t>
        </is>
      </c>
      <c r="F881" s="8" t="inlineStr">
        <is>
          <t>GRAVAMEN LEY 25413 S/CRED</t>
        </is>
      </c>
      <c r="G881" s="8" t="inlineStr">
        <is>
          <t>Anticipo Ganancias Ley 25.413 créditos</t>
        </is>
      </c>
      <c r="H881" s="8" t="inlineStr">
        <is>
          <t>Anticipo Impuesto a las Ganancias</t>
        </is>
      </c>
      <c r="I881" s="9" t="n">
        <v>132.5</v>
      </c>
      <c r="J881" s="9" t="inlineStr"/>
      <c r="K881" s="8" t="inlineStr">
        <is>
          <t>Copiar en Flexxus: Tipo=MB-EXT | Movimiento=GRAVAMEN LEY 25.413 S/CRED | Monto=132,50 | Fecha: 20/04/2026</t>
        </is>
      </c>
    </row>
    <row r="882">
      <c r="A882" s="8" t="inlineStr">
        <is>
          <t>PEND-D07C5C45C721-A001</t>
        </is>
      </c>
      <c r="B882" s="8" t="inlineStr">
        <is>
          <t>ABIERTO_NUEVO</t>
        </is>
      </c>
      <c r="C882" s="8" t="inlineStr">
        <is>
          <t>Banco egreso no Flexxus</t>
        </is>
      </c>
      <c r="D882" s="8" t="inlineStr">
        <is>
          <t>20/04/2026</t>
        </is>
      </c>
      <c r="E882" s="8" t="inlineStr">
        <is>
          <t>107423</t>
        </is>
      </c>
      <c r="F882" s="8" t="inlineStr">
        <is>
          <t>INGRESOS BRUTOS MENDOZA</t>
        </is>
      </c>
      <c r="G882" s="8" t="inlineStr">
        <is>
          <t>Retención Ingresos Brutos Mendoza</t>
        </is>
      </c>
      <c r="H882" s="8" t="inlineStr">
        <is>
          <t>Retención de Ingresos Brutos</t>
        </is>
      </c>
      <c r="I882" s="9" t="n">
        <v>79.23</v>
      </c>
      <c r="J882" s="9" t="inlineStr"/>
      <c r="K882" s="8" t="inlineStr">
        <is>
          <t>Copiar en Flexxus: Tipo=MB-EXT | Movimiento=INGRESOS BRUTOS MENDOZA | Monto=79,23 | Fecha: 20/04/2026</t>
        </is>
      </c>
    </row>
    <row r="883">
      <c r="A883" s="8" t="inlineStr">
        <is>
          <t>PEND-FF650EF6253E-A001</t>
        </is>
      </c>
      <c r="B883" s="8" t="inlineStr">
        <is>
          <t>ABIERTO_NUEVO</t>
        </is>
      </c>
      <c r="C883" s="8" t="inlineStr">
        <is>
          <t>Banco egreso no Flexxus</t>
        </is>
      </c>
      <c r="D883" s="8" t="inlineStr">
        <is>
          <t>20/04/2026</t>
        </is>
      </c>
      <c r="E883" s="8" t="inlineStr">
        <is>
          <t>107423</t>
        </is>
      </c>
      <c r="F883" s="8" t="inlineStr">
        <is>
          <t>GRAVAMEN LEY 25413 S/CRED</t>
        </is>
      </c>
      <c r="G883" s="8" t="inlineStr">
        <is>
          <t>Anticipo Ganancias Ley 25.413 créditos</t>
        </is>
      </c>
      <c r="H883" s="8" t="inlineStr">
        <is>
          <t>Anticipo Impuesto a las Ganancias</t>
        </is>
      </c>
      <c r="I883" s="9" t="n">
        <v>47.54</v>
      </c>
      <c r="J883" s="9" t="inlineStr"/>
      <c r="K883" s="8" t="inlineStr">
        <is>
          <t>Copiar en Flexxus: Tipo=MB-EXT | Movimiento=GRAVAMEN LEY 25.413 S/CRED | Monto=47,54 | Fecha: 20/04/2026</t>
        </is>
      </c>
    </row>
    <row r="884">
      <c r="A884" s="8" t="inlineStr">
        <is>
          <t>PEND-1390A97A97E0-A001</t>
        </is>
      </c>
      <c r="B884" s="8" t="inlineStr">
        <is>
          <t>ABIERTO_NUEVO</t>
        </is>
      </c>
      <c r="C884" s="8" t="inlineStr">
        <is>
          <t>Banco egreso no Flexxus</t>
        </is>
      </c>
      <c r="D884" s="8" t="inlineStr">
        <is>
          <t>20/04/2026</t>
        </is>
      </c>
      <c r="E884" s="8" t="inlineStr">
        <is>
          <t>107422</t>
        </is>
      </c>
      <c r="F884" s="8" t="inlineStr">
        <is>
          <t>INGRESOS BRUTOS MENDOZA</t>
        </is>
      </c>
      <c r="G884" s="8" t="inlineStr">
        <is>
          <t>Retención Ingresos Brutos Mendoza</t>
        </is>
      </c>
      <c r="H884" s="8" t="inlineStr">
        <is>
          <t>Retención de Ingresos Brutos</t>
        </is>
      </c>
      <c r="I884" s="9" t="n">
        <v>154.49</v>
      </c>
      <c r="J884" s="9" t="inlineStr"/>
      <c r="K884" s="8" t="inlineStr">
        <is>
          <t>Copiar en Flexxus: Tipo=MB-EXT | Movimiento=INGRESOS BRUTOS MENDOZA | Monto=154,49 | Fecha: 20/04/2026</t>
        </is>
      </c>
    </row>
    <row r="885">
      <c r="A885" s="8" t="inlineStr">
        <is>
          <t>PEND-2849701367C5-A001</t>
        </is>
      </c>
      <c r="B885" s="8" t="inlineStr">
        <is>
          <t>ABIERTO_NUEVO</t>
        </is>
      </c>
      <c r="C885" s="8" t="inlineStr">
        <is>
          <t>Banco egreso no Flexxus</t>
        </is>
      </c>
      <c r="D885" s="8" t="inlineStr">
        <is>
          <t>20/04/2026</t>
        </is>
      </c>
      <c r="E885" s="8" t="inlineStr">
        <is>
          <t>107422</t>
        </is>
      </c>
      <c r="F885" s="8" t="inlineStr">
        <is>
          <t>GRAVAMEN LEY 25413 S/CRED</t>
        </is>
      </c>
      <c r="G885" s="8" t="inlineStr">
        <is>
          <t>Anticipo Ganancias Ley 25.413 créditos</t>
        </is>
      </c>
      <c r="H885" s="8" t="inlineStr">
        <is>
          <t>Anticipo Impuesto a las Ganancias</t>
        </is>
      </c>
      <c r="I885" s="9" t="n">
        <v>92.69</v>
      </c>
      <c r="J885" s="9" t="inlineStr"/>
      <c r="K885" s="8" t="inlineStr">
        <is>
          <t>Copiar en Flexxus: Tipo=MB-EXT | Movimiento=GRAVAMEN LEY 25.413 S/CRED | Monto=92,69 | Fecha: 20/04/2026</t>
        </is>
      </c>
    </row>
    <row r="886">
      <c r="A886" s="8" t="inlineStr">
        <is>
          <t>PEND-AD9F70734F4B-A001</t>
        </is>
      </c>
      <c r="B886" s="8" t="inlineStr">
        <is>
          <t>ABIERTO_NUEVO</t>
        </is>
      </c>
      <c r="C886" s="8" t="inlineStr">
        <is>
          <t>Banco egreso no Flexxus</t>
        </is>
      </c>
      <c r="D886" s="8" t="inlineStr">
        <is>
          <t>20/04/2026</t>
        </is>
      </c>
      <c r="E886" s="8" t="inlineStr">
        <is>
          <t>107421</t>
        </is>
      </c>
      <c r="F886" s="8" t="inlineStr">
        <is>
          <t>INGRESOS BRUTOS MENDOZA</t>
        </is>
      </c>
      <c r="G886" s="8" t="inlineStr">
        <is>
          <t>Retención Ingresos Brutos Mendoza</t>
        </is>
      </c>
      <c r="H886" s="8" t="inlineStr">
        <is>
          <t>Retención de Ingresos Brutos</t>
        </is>
      </c>
      <c r="I886" s="9" t="n">
        <v>267.39</v>
      </c>
      <c r="J886" s="9" t="inlineStr"/>
      <c r="K886" s="8" t="inlineStr">
        <is>
          <t>Copiar en Flexxus: Tipo=MB-EXT | Movimiento=INGRESOS BRUTOS MENDOZA | Monto=267,39 | Fecha: 20/04/2026</t>
        </is>
      </c>
    </row>
    <row r="887">
      <c r="A887" s="8" t="inlineStr">
        <is>
          <t>PEND-630FD1C5CDBB-A001</t>
        </is>
      </c>
      <c r="B887" s="8" t="inlineStr">
        <is>
          <t>ABIERTO_NUEVO</t>
        </is>
      </c>
      <c r="C887" s="8" t="inlineStr">
        <is>
          <t>Banco egreso no Flexxus</t>
        </is>
      </c>
      <c r="D887" s="8" t="inlineStr">
        <is>
          <t>20/04/2026</t>
        </is>
      </c>
      <c r="E887" s="8" t="inlineStr">
        <is>
          <t>107421</t>
        </is>
      </c>
      <c r="F887" s="8" t="inlineStr">
        <is>
          <t>GRAVAMEN LEY 25413 S/CRED</t>
        </is>
      </c>
      <c r="G887" s="8" t="inlineStr">
        <is>
          <t>Anticipo Ganancias Ley 25.413 créditos</t>
        </is>
      </c>
      <c r="H887" s="8" t="inlineStr">
        <is>
          <t>Anticipo Impuesto a las Ganancias</t>
        </is>
      </c>
      <c r="I887" s="9" t="n">
        <v>160.43</v>
      </c>
      <c r="J887" s="9" t="inlineStr"/>
      <c r="K887" s="8" t="inlineStr">
        <is>
          <t>Copiar en Flexxus: Tipo=MB-EXT | Movimiento=GRAVAMEN LEY 25.413 S/CRED | Monto=160,43 | Fecha: 20/04/2026</t>
        </is>
      </c>
    </row>
    <row r="888">
      <c r="A888" s="8" t="inlineStr">
        <is>
          <t>PEND-C0A4138D2DDD-A001</t>
        </is>
      </c>
      <c r="B888" s="8" t="inlineStr">
        <is>
          <t>ABIERTO_NUEVO</t>
        </is>
      </c>
      <c r="C888" s="8" t="inlineStr">
        <is>
          <t>Banco egreso no Flexxus</t>
        </is>
      </c>
      <c r="D888" s="8" t="inlineStr">
        <is>
          <t>20/04/2026</t>
        </is>
      </c>
      <c r="E888" s="8" t="inlineStr">
        <is>
          <t>107420</t>
        </is>
      </c>
      <c r="F888" s="8" t="inlineStr">
        <is>
          <t>INGRESOS BRUTOS MENDOZA</t>
        </is>
      </c>
      <c r="G888" s="8" t="inlineStr">
        <is>
          <t>Retención Ingresos Brutos Mendoza</t>
        </is>
      </c>
      <c r="H888" s="8" t="inlineStr">
        <is>
          <t>Retención de Ingresos Brutos</t>
        </is>
      </c>
      <c r="I888" s="9" t="n">
        <v>349.58</v>
      </c>
      <c r="J888" s="9" t="inlineStr"/>
      <c r="K888" s="8" t="inlineStr">
        <is>
          <t>Copiar en Flexxus: Tipo=MB-EXT | Movimiento=INGRESOS BRUTOS MENDOZA | Monto=349,58 | Fecha: 20/04/2026</t>
        </is>
      </c>
    </row>
    <row r="889">
      <c r="A889" s="8" t="inlineStr">
        <is>
          <t>PEND-A1869038B066-A001</t>
        </is>
      </c>
      <c r="B889" s="8" t="inlineStr">
        <is>
          <t>ABIERTO_NUEVO</t>
        </is>
      </c>
      <c r="C889" s="8" t="inlineStr">
        <is>
          <t>Banco egreso no Flexxus</t>
        </is>
      </c>
      <c r="D889" s="8" t="inlineStr">
        <is>
          <t>20/04/2026</t>
        </is>
      </c>
      <c r="E889" s="8" t="inlineStr">
        <is>
          <t>107420</t>
        </is>
      </c>
      <c r="F889" s="8" t="inlineStr">
        <is>
          <t>GRAVAMEN LEY 25413 S/CRED</t>
        </is>
      </c>
      <c r="G889" s="8" t="inlineStr">
        <is>
          <t>Anticipo Ganancias Ley 25.413 créditos</t>
        </is>
      </c>
      <c r="H889" s="8" t="inlineStr">
        <is>
          <t>Anticipo Impuesto a las Ganancias</t>
        </is>
      </c>
      <c r="I889" s="9" t="n">
        <v>209.75</v>
      </c>
      <c r="J889" s="9" t="inlineStr"/>
      <c r="K889" s="8" t="inlineStr">
        <is>
          <t>Copiar en Flexxus: Tipo=MB-EXT | Movimiento=GRAVAMEN LEY 25.413 S/CRED | Monto=209,75 | Fecha: 20/04/2026</t>
        </is>
      </c>
    </row>
    <row r="890">
      <c r="A890" s="8" t="inlineStr">
        <is>
          <t>PEND-6147CD028B9C-A001</t>
        </is>
      </c>
      <c r="B890" s="8" t="inlineStr">
        <is>
          <t>ABIERTO_NUEVO</t>
        </is>
      </c>
      <c r="C890" s="8" t="inlineStr">
        <is>
          <t>Banco egreso no Flexxus</t>
        </is>
      </c>
      <c r="D890" s="8" t="inlineStr">
        <is>
          <t>20/04/2026</t>
        </is>
      </c>
      <c r="E890" s="8" t="inlineStr">
        <is>
          <t>107419</t>
        </is>
      </c>
      <c r="F890" s="8" t="inlineStr">
        <is>
          <t>INGRESOS BRUTOS MENDOZA</t>
        </is>
      </c>
      <c r="G890" s="8" t="inlineStr">
        <is>
          <t>Retención Ingresos Brutos Mendoza</t>
        </is>
      </c>
      <c r="H890" s="8" t="inlineStr">
        <is>
          <t>Retención de Ingresos Brutos</t>
        </is>
      </c>
      <c r="I890" s="9" t="n">
        <v>790.28</v>
      </c>
      <c r="J890" s="9" t="inlineStr"/>
      <c r="K890" s="8" t="inlineStr">
        <is>
          <t>Copiar en Flexxus: Tipo=MB-EXT | Movimiento=INGRESOS BRUTOS MENDOZA | Monto=790,28 | Fecha: 20/04/2026</t>
        </is>
      </c>
    </row>
    <row r="891">
      <c r="A891" s="8" t="inlineStr">
        <is>
          <t>PEND-AEF4C04FBB0D-A001</t>
        </is>
      </c>
      <c r="B891" s="8" t="inlineStr">
        <is>
          <t>ABIERTO_NUEVO</t>
        </is>
      </c>
      <c r="C891" s="8" t="inlineStr">
        <is>
          <t>Banco egreso no Flexxus</t>
        </is>
      </c>
      <c r="D891" s="8" t="inlineStr">
        <is>
          <t>20/04/2026</t>
        </is>
      </c>
      <c r="E891" s="8" t="inlineStr">
        <is>
          <t>107419</t>
        </is>
      </c>
      <c r="F891" s="8" t="inlineStr">
        <is>
          <t>GRAVAMEN LEY 25413 S/CRED</t>
        </is>
      </c>
      <c r="G891" s="8" t="inlineStr">
        <is>
          <t>Anticipo Ganancias Ley 25.413 créditos</t>
        </is>
      </c>
      <c r="H891" s="8" t="inlineStr">
        <is>
          <t>Anticipo Impuesto a las Ganancias</t>
        </is>
      </c>
      <c r="I891" s="9" t="n">
        <v>474.17</v>
      </c>
      <c r="J891" s="9" t="inlineStr"/>
      <c r="K891" s="8" t="inlineStr">
        <is>
          <t>Copiar en Flexxus: Tipo=MB-EXT | Movimiento=GRAVAMEN LEY 25.413 S/CRED | Monto=474,17 | Fecha: 20/04/2026</t>
        </is>
      </c>
    </row>
    <row r="892">
      <c r="A892" s="8" t="inlineStr">
        <is>
          <t>PEND-DD235EF7B88E-A001</t>
        </is>
      </c>
      <c r="B892" s="8" t="inlineStr">
        <is>
          <t>ABIERTO_NUEVO</t>
        </is>
      </c>
      <c r="C892" s="8" t="inlineStr">
        <is>
          <t>Banco egreso no Flexxus</t>
        </is>
      </c>
      <c r="D892" s="8" t="inlineStr">
        <is>
          <t>20/04/2026</t>
        </is>
      </c>
      <c r="E892" s="8" t="inlineStr">
        <is>
          <t>107418</t>
        </is>
      </c>
      <c r="F892" s="8" t="inlineStr">
        <is>
          <t>INGRESOS BRUTOS MENDOZA</t>
        </is>
      </c>
      <c r="G892" s="8" t="inlineStr">
        <is>
          <t>Retención Ingresos Brutos Mendoza</t>
        </is>
      </c>
      <c r="H892" s="8" t="inlineStr">
        <is>
          <t>Retención de Ingresos Brutos</t>
        </is>
      </c>
      <c r="I892" s="9" t="n">
        <v>44.56</v>
      </c>
      <c r="J892" s="9" t="inlineStr"/>
      <c r="K892" s="8" t="inlineStr">
        <is>
          <t>Copiar en Flexxus: Tipo=MB-EXT | Movimiento=INGRESOS BRUTOS MENDOZA | Monto=44,56 | Fecha: 20/04/2026</t>
        </is>
      </c>
    </row>
    <row r="893">
      <c r="A893" s="8" t="inlineStr">
        <is>
          <t>PEND-9F611EC51815-A001</t>
        </is>
      </c>
      <c r="B893" s="8" t="inlineStr">
        <is>
          <t>ABIERTO_NUEVO</t>
        </is>
      </c>
      <c r="C893" s="8" t="inlineStr">
        <is>
          <t>Banco egreso no Flexxus</t>
        </is>
      </c>
      <c r="D893" s="8" t="inlineStr">
        <is>
          <t>20/04/2026</t>
        </is>
      </c>
      <c r="E893" s="8" t="inlineStr">
        <is>
          <t>107418</t>
        </is>
      </c>
      <c r="F893" s="8" t="inlineStr">
        <is>
          <t>GRAVAMEN LEY 25413 S/CRED</t>
        </is>
      </c>
      <c r="G893" s="8" t="inlineStr">
        <is>
          <t>Anticipo Ganancias Ley 25.413 créditos</t>
        </is>
      </c>
      <c r="H893" s="8" t="inlineStr">
        <is>
          <t>Anticipo Impuesto a las Ganancias</t>
        </is>
      </c>
      <c r="I893" s="9" t="n">
        <v>26.74</v>
      </c>
      <c r="J893" s="9" t="inlineStr"/>
      <c r="K893" s="8" t="inlineStr">
        <is>
          <t>Copiar en Flexxus: Tipo=MB-EXT | Movimiento=GRAVAMEN LEY 25.413 S/CRED | Monto=26,74 | Fecha: 20/04/2026</t>
        </is>
      </c>
    </row>
    <row r="894">
      <c r="A894" s="8" t="inlineStr">
        <is>
          <t>PEND-E84CC5E5CA05-A001</t>
        </is>
      </c>
      <c r="B894" s="8" t="inlineStr">
        <is>
          <t>ABIERTO_NUEVO</t>
        </is>
      </c>
      <c r="C894" s="8" t="inlineStr">
        <is>
          <t>Banco egreso no Flexxus</t>
        </is>
      </c>
      <c r="D894" s="8" t="inlineStr">
        <is>
          <t>20/04/2026</t>
        </is>
      </c>
      <c r="E894" s="8" t="inlineStr">
        <is>
          <t>107417</t>
        </is>
      </c>
      <c r="F894" s="8" t="inlineStr">
        <is>
          <t>INGRESOS BRUTOS MENDOZA</t>
        </is>
      </c>
      <c r="G894" s="8" t="inlineStr">
        <is>
          <t>Retención Ingresos Brutos Mendoza</t>
        </is>
      </c>
      <c r="H894" s="8" t="inlineStr">
        <is>
          <t>Retención de Ingresos Brutos</t>
        </is>
      </c>
      <c r="I894" s="9" t="n">
        <v>227.77</v>
      </c>
      <c r="J894" s="9" t="inlineStr"/>
      <c r="K894" s="8" t="inlineStr">
        <is>
          <t>Copiar en Flexxus: Tipo=MB-EXT | Movimiento=INGRESOS BRUTOS MENDOZA | Monto=227,77 | Fecha: 20/04/2026</t>
        </is>
      </c>
    </row>
    <row r="895">
      <c r="A895" s="8" t="inlineStr">
        <is>
          <t>PEND-8D3294E27216-A001</t>
        </is>
      </c>
      <c r="B895" s="8" t="inlineStr">
        <is>
          <t>ABIERTO_NUEVO</t>
        </is>
      </c>
      <c r="C895" s="8" t="inlineStr">
        <is>
          <t>Banco egreso no Flexxus</t>
        </is>
      </c>
      <c r="D895" s="8" t="inlineStr">
        <is>
          <t>20/04/2026</t>
        </is>
      </c>
      <c r="E895" s="8" t="inlineStr">
        <is>
          <t>107417</t>
        </is>
      </c>
      <c r="F895" s="8" t="inlineStr">
        <is>
          <t>GRAVAMEN LEY 25413 S/CRED</t>
        </is>
      </c>
      <c r="G895" s="8" t="inlineStr">
        <is>
          <t>Anticipo Ganancias Ley 25.413 créditos</t>
        </is>
      </c>
      <c r="H895" s="8" t="inlineStr">
        <is>
          <t>Anticipo Impuesto a las Ganancias</t>
        </is>
      </c>
      <c r="I895" s="9" t="n">
        <v>136.66</v>
      </c>
      <c r="J895" s="9" t="inlineStr"/>
      <c r="K895" s="8" t="inlineStr">
        <is>
          <t>Copiar en Flexxus: Tipo=MB-EXT | Movimiento=GRAVAMEN LEY 25.413 S/CRED | Monto=136,66 | Fecha: 20/04/2026</t>
        </is>
      </c>
    </row>
    <row r="896">
      <c r="A896" s="8" t="inlineStr">
        <is>
          <t>PEND-2D45222FC158-A001</t>
        </is>
      </c>
      <c r="B896" s="8" t="inlineStr">
        <is>
          <t>ABIERTO_NUEVO</t>
        </is>
      </c>
      <c r="C896" s="8" t="inlineStr">
        <is>
          <t>Banco egreso no Flexxus</t>
        </is>
      </c>
      <c r="D896" s="8" t="inlineStr">
        <is>
          <t>20/04/2026</t>
        </is>
      </c>
      <c r="E896" s="8" t="inlineStr">
        <is>
          <t>107416</t>
        </is>
      </c>
      <c r="F896" s="8" t="inlineStr">
        <is>
          <t>INGRESOS BRUTOS MENDOZA</t>
        </is>
      </c>
      <c r="G896" s="8" t="inlineStr">
        <is>
          <t>Retención Ingresos Brutos Mendoza</t>
        </is>
      </c>
      <c r="H896" s="8" t="inlineStr">
        <is>
          <t>Retención de Ingresos Brutos</t>
        </is>
      </c>
      <c r="I896" s="9" t="n">
        <v>649.65</v>
      </c>
      <c r="J896" s="9" t="inlineStr"/>
      <c r="K896" s="8" t="inlineStr">
        <is>
          <t>Copiar en Flexxus: Tipo=MB-EXT | Movimiento=INGRESOS BRUTOS MENDOZA | Monto=649,65 | Fecha: 20/04/2026</t>
        </is>
      </c>
    </row>
    <row r="897">
      <c r="A897" s="8" t="inlineStr">
        <is>
          <t>PEND-F10E9E484512-A001</t>
        </is>
      </c>
      <c r="B897" s="8" t="inlineStr">
        <is>
          <t>ABIERTO_NUEVO</t>
        </is>
      </c>
      <c r="C897" s="8" t="inlineStr">
        <is>
          <t>Banco egreso no Flexxus</t>
        </is>
      </c>
      <c r="D897" s="8" t="inlineStr">
        <is>
          <t>20/04/2026</t>
        </is>
      </c>
      <c r="E897" s="8" t="inlineStr">
        <is>
          <t>107416</t>
        </is>
      </c>
      <c r="F897" s="8" t="inlineStr">
        <is>
          <t>GRAVAMEN LEY 25413 S/CRED</t>
        </is>
      </c>
      <c r="G897" s="8" t="inlineStr">
        <is>
          <t>Anticipo Ganancias Ley 25.413 créditos</t>
        </is>
      </c>
      <c r="H897" s="8" t="inlineStr">
        <is>
          <t>Anticipo Impuesto a las Ganancias</t>
        </is>
      </c>
      <c r="I897" s="9" t="n">
        <v>389.79</v>
      </c>
      <c r="J897" s="9" t="inlineStr"/>
      <c r="K897" s="8" t="inlineStr">
        <is>
          <t>Copiar en Flexxus: Tipo=MB-EXT | Movimiento=GRAVAMEN LEY 25.413 S/CRED | Monto=389,79 | Fecha: 20/04/2026</t>
        </is>
      </c>
    </row>
    <row r="898">
      <c r="A898" s="8" t="inlineStr">
        <is>
          <t>PEND-58CBE59AD16D-A001</t>
        </is>
      </c>
      <c r="B898" s="8" t="inlineStr">
        <is>
          <t>ABIERTO_NUEVO</t>
        </is>
      </c>
      <c r="C898" s="8" t="inlineStr">
        <is>
          <t>Banco egreso no Flexxus</t>
        </is>
      </c>
      <c r="D898" s="8" t="inlineStr">
        <is>
          <t>20/04/2026</t>
        </is>
      </c>
      <c r="E898" s="8" t="inlineStr">
        <is>
          <t>107415</t>
        </is>
      </c>
      <c r="F898" s="8" t="inlineStr">
        <is>
          <t>INGRESOS BRUTOS MENDOZA</t>
        </is>
      </c>
      <c r="G898" s="8" t="inlineStr">
        <is>
          <t>Retención Ingresos Brutos Mendoza</t>
        </is>
      </c>
      <c r="H898" s="8" t="inlineStr">
        <is>
          <t>Retención de Ingresos Brutos</t>
        </is>
      </c>
      <c r="I898" s="9" t="n">
        <v>287.19</v>
      </c>
      <c r="J898" s="9" t="inlineStr"/>
      <c r="K898" s="8" t="inlineStr">
        <is>
          <t>Copiar en Flexxus: Tipo=MB-EXT | Movimiento=INGRESOS BRUTOS MENDOZA | Monto=287,19 | Fecha: 20/04/2026</t>
        </is>
      </c>
    </row>
    <row r="899">
      <c r="A899" s="8" t="inlineStr">
        <is>
          <t>PEND-536E6DBD18B2-A001</t>
        </is>
      </c>
      <c r="B899" s="8" t="inlineStr">
        <is>
          <t>ABIERTO_NUEVO</t>
        </is>
      </c>
      <c r="C899" s="8" t="inlineStr">
        <is>
          <t>Banco egreso no Flexxus</t>
        </is>
      </c>
      <c r="D899" s="8" t="inlineStr">
        <is>
          <t>20/04/2026</t>
        </is>
      </c>
      <c r="E899" s="8" t="inlineStr">
        <is>
          <t>107415</t>
        </is>
      </c>
      <c r="F899" s="8" t="inlineStr">
        <is>
          <t>GRAVAMEN LEY 25413 S/CRED</t>
        </is>
      </c>
      <c r="G899" s="8" t="inlineStr">
        <is>
          <t>Anticipo Ganancias Ley 25.413 créditos</t>
        </is>
      </c>
      <c r="H899" s="8" t="inlineStr">
        <is>
          <t>Anticipo Impuesto a las Ganancias</t>
        </is>
      </c>
      <c r="I899" s="9" t="n">
        <v>172.32</v>
      </c>
      <c r="J899" s="9" t="inlineStr"/>
      <c r="K899" s="8" t="inlineStr">
        <is>
          <t>Copiar en Flexxus: Tipo=MB-EXT | Movimiento=GRAVAMEN LEY 25.413 S/CRED | Monto=172,32 | Fecha: 20/04/2026</t>
        </is>
      </c>
    </row>
    <row r="900">
      <c r="A900" s="8" t="inlineStr">
        <is>
          <t>PEND-A315862F50CF-A001</t>
        </is>
      </c>
      <c r="B900" s="8" t="inlineStr">
        <is>
          <t>ABIERTO_NUEVO</t>
        </is>
      </c>
      <c r="C900" s="8" t="inlineStr">
        <is>
          <t>Banco egreso no Flexxus</t>
        </is>
      </c>
      <c r="D900" s="8" t="inlineStr">
        <is>
          <t>20/04/2026</t>
        </is>
      </c>
      <c r="E900" s="8" t="inlineStr">
        <is>
          <t>107414</t>
        </is>
      </c>
      <c r="F900" s="8" t="inlineStr">
        <is>
          <t>INGRESOS BRUTOS MENDOZA</t>
        </is>
      </c>
      <c r="G900" s="8" t="inlineStr">
        <is>
          <t>Retención Ingresos Brutos Mendoza</t>
        </is>
      </c>
      <c r="H900" s="8" t="inlineStr">
        <is>
          <t>Retención de Ingresos Brutos</t>
        </is>
      </c>
      <c r="I900" s="9" t="n">
        <v>237.68</v>
      </c>
      <c r="J900" s="9" t="inlineStr"/>
      <c r="K900" s="8" t="inlineStr">
        <is>
          <t>Copiar en Flexxus: Tipo=MB-EXT | Movimiento=INGRESOS BRUTOS MENDOZA | Monto=237,68 | Fecha: 20/04/2026</t>
        </is>
      </c>
    </row>
    <row r="901">
      <c r="A901" s="8" t="inlineStr">
        <is>
          <t>PEND-E812B45A0926-A001</t>
        </is>
      </c>
      <c r="B901" s="8" t="inlineStr">
        <is>
          <t>ABIERTO_NUEVO</t>
        </is>
      </c>
      <c r="C901" s="8" t="inlineStr">
        <is>
          <t>Banco egreso no Flexxus</t>
        </is>
      </c>
      <c r="D901" s="8" t="inlineStr">
        <is>
          <t>20/04/2026</t>
        </is>
      </c>
      <c r="E901" s="8" t="inlineStr">
        <is>
          <t>107414</t>
        </is>
      </c>
      <c r="F901" s="8" t="inlineStr">
        <is>
          <t>GRAVAMEN LEY 25413 S/CRED</t>
        </is>
      </c>
      <c r="G901" s="8" t="inlineStr">
        <is>
          <t>Anticipo Ganancias Ley 25.413 créditos</t>
        </is>
      </c>
      <c r="H901" s="8" t="inlineStr">
        <is>
          <t>Anticipo Impuesto a las Ganancias</t>
        </is>
      </c>
      <c r="I901" s="9" t="n">
        <v>142.61</v>
      </c>
      <c r="J901" s="9" t="inlineStr"/>
      <c r="K901" s="8" t="inlineStr">
        <is>
          <t>Copiar en Flexxus: Tipo=MB-EXT | Movimiento=GRAVAMEN LEY 25.413 S/CRED | Monto=142,61 | Fecha: 20/04/2026</t>
        </is>
      </c>
    </row>
    <row r="902">
      <c r="A902" s="8" t="inlineStr">
        <is>
          <t>PEND-6C2E493351A5-A001</t>
        </is>
      </c>
      <c r="B902" s="8" t="inlineStr">
        <is>
          <t>ABIERTO_NUEVO</t>
        </is>
      </c>
      <c r="C902" s="8" t="inlineStr">
        <is>
          <t>Banco egreso no Flexxus</t>
        </is>
      </c>
      <c r="D902" s="8" t="inlineStr">
        <is>
          <t>20/04/2026</t>
        </is>
      </c>
      <c r="E902" s="8" t="inlineStr">
        <is>
          <t>107413</t>
        </is>
      </c>
      <c r="F902" s="8" t="inlineStr">
        <is>
          <t>INGRESOS BRUTOS MENDOZA</t>
        </is>
      </c>
      <c r="G902" s="8" t="inlineStr">
        <is>
          <t>Retención Ingresos Brutos Mendoza</t>
        </is>
      </c>
      <c r="H902" s="8" t="inlineStr">
        <is>
          <t>Retención de Ingresos Brutos</t>
        </is>
      </c>
      <c r="I902" s="9" t="n">
        <v>247.58</v>
      </c>
      <c r="J902" s="9" t="inlineStr"/>
      <c r="K902" s="8" t="inlineStr">
        <is>
          <t>Copiar en Flexxus: Tipo=MB-EXT | Movimiento=INGRESOS BRUTOS MENDOZA | Monto=247,58 | Fecha: 20/04/2026</t>
        </is>
      </c>
    </row>
    <row r="903">
      <c r="A903" s="8" t="inlineStr">
        <is>
          <t>PEND-2DB7CD762654-A001</t>
        </is>
      </c>
      <c r="B903" s="8" t="inlineStr">
        <is>
          <t>ABIERTO_NUEVO</t>
        </is>
      </c>
      <c r="C903" s="8" t="inlineStr">
        <is>
          <t>Banco egreso no Flexxus</t>
        </is>
      </c>
      <c r="D903" s="8" t="inlineStr">
        <is>
          <t>20/04/2026</t>
        </is>
      </c>
      <c r="E903" s="8" t="inlineStr">
        <is>
          <t>107413</t>
        </is>
      </c>
      <c r="F903" s="8" t="inlineStr">
        <is>
          <t>GRAVAMEN LEY 25413 S/CRED</t>
        </is>
      </c>
      <c r="G903" s="8" t="inlineStr">
        <is>
          <t>Anticipo Ganancias Ley 25.413 créditos</t>
        </is>
      </c>
      <c r="H903" s="8" t="inlineStr">
        <is>
          <t>Anticipo Impuesto a las Ganancias</t>
        </is>
      </c>
      <c r="I903" s="9" t="n">
        <v>148.55</v>
      </c>
      <c r="J903" s="9" t="inlineStr"/>
      <c r="K903" s="8" t="inlineStr">
        <is>
          <t>Copiar en Flexxus: Tipo=MB-EXT | Movimiento=GRAVAMEN LEY 25.413 S/CRED | Monto=148,55 | Fecha: 20/04/2026</t>
        </is>
      </c>
    </row>
    <row r="904">
      <c r="A904" s="8" t="inlineStr">
        <is>
          <t>PEND-65783D3E5586-A001</t>
        </is>
      </c>
      <c r="B904" s="8" t="inlineStr">
        <is>
          <t>ABIERTO_NUEVO</t>
        </is>
      </c>
      <c r="C904" s="8" t="inlineStr">
        <is>
          <t>Banco egreso no Flexxus</t>
        </is>
      </c>
      <c r="D904" s="8" t="inlineStr">
        <is>
          <t>20/04/2026</t>
        </is>
      </c>
      <c r="E904" s="8" t="inlineStr">
        <is>
          <t>107412</t>
        </is>
      </c>
      <c r="F904" s="8" t="inlineStr">
        <is>
          <t>INGRESOS BRUTOS MENDOZA</t>
        </is>
      </c>
      <c r="G904" s="8" t="inlineStr">
        <is>
          <t>Retención Ingresos Brutos Mendoza</t>
        </is>
      </c>
      <c r="H904" s="8" t="inlineStr">
        <is>
          <t>Retención de Ingresos Brutos</t>
        </is>
      </c>
      <c r="I904" s="9" t="n">
        <v>228.76</v>
      </c>
      <c r="J904" s="9" t="inlineStr"/>
      <c r="K904" s="8" t="inlineStr">
        <is>
          <t>Copiar en Flexxus: Tipo=MB-EXT | Movimiento=INGRESOS BRUTOS MENDOZA | Monto=228,76 | Fecha: 20/04/2026</t>
        </is>
      </c>
    </row>
    <row r="905">
      <c r="A905" s="8" t="inlineStr">
        <is>
          <t>PEND-3B1808EA2668-A001</t>
        </is>
      </c>
      <c r="B905" s="8" t="inlineStr">
        <is>
          <t>ABIERTO_NUEVO</t>
        </is>
      </c>
      <c r="C905" s="8" t="inlineStr">
        <is>
          <t>Banco egreso no Flexxus</t>
        </is>
      </c>
      <c r="D905" s="8" t="inlineStr">
        <is>
          <t>20/04/2026</t>
        </is>
      </c>
      <c r="E905" s="8" t="inlineStr">
        <is>
          <t>107412</t>
        </is>
      </c>
      <c r="F905" s="8" t="inlineStr">
        <is>
          <t>GRAVAMEN LEY 25413 S/CRED</t>
        </is>
      </c>
      <c r="G905" s="8" t="inlineStr">
        <is>
          <t>Anticipo Ganancias Ley 25.413 créditos</t>
        </is>
      </c>
      <c r="H905" s="8" t="inlineStr">
        <is>
          <t>Anticipo Impuesto a las Ganancias</t>
        </is>
      </c>
      <c r="I905" s="9" t="n">
        <v>137.26</v>
      </c>
      <c r="J905" s="9" t="inlineStr"/>
      <c r="K905" s="8" t="inlineStr">
        <is>
          <t>Copiar en Flexxus: Tipo=MB-EXT | Movimiento=GRAVAMEN LEY 25.413 S/CRED | Monto=137,26 | Fecha: 20/04/2026</t>
        </is>
      </c>
    </row>
    <row r="906">
      <c r="A906" s="8" t="inlineStr">
        <is>
          <t>PEND-352DEBC82993-A001</t>
        </is>
      </c>
      <c r="B906" s="8" t="inlineStr">
        <is>
          <t>ABIERTO_NUEVO</t>
        </is>
      </c>
      <c r="C906" s="8" t="inlineStr">
        <is>
          <t>Banco egreso no Flexxus</t>
        </is>
      </c>
      <c r="D906" s="8" t="inlineStr">
        <is>
          <t>20/04/2026</t>
        </is>
      </c>
      <c r="E906" s="8" t="inlineStr">
        <is>
          <t>107411</t>
        </is>
      </c>
      <c r="F906" s="8" t="inlineStr">
        <is>
          <t>INGRESOS BRUTOS MENDOZA</t>
        </is>
      </c>
      <c r="G906" s="8" t="inlineStr">
        <is>
          <t>Retención Ingresos Brutos Mendoza</t>
        </is>
      </c>
      <c r="H906" s="8" t="inlineStr">
        <is>
          <t>Retención de Ingresos Brutos</t>
        </is>
      </c>
      <c r="I906" s="9" t="n">
        <v>369.39</v>
      </c>
      <c r="J906" s="9" t="inlineStr"/>
      <c r="K906" s="8" t="inlineStr">
        <is>
          <t>Copiar en Flexxus: Tipo=MB-EXT | Movimiento=INGRESOS BRUTOS MENDOZA | Monto=369,39 | Fecha: 20/04/2026</t>
        </is>
      </c>
    </row>
    <row r="907">
      <c r="A907" s="8" t="inlineStr">
        <is>
          <t>PEND-D6A99B798765-A001</t>
        </is>
      </c>
      <c r="B907" s="8" t="inlineStr">
        <is>
          <t>ABIERTO_NUEVO</t>
        </is>
      </c>
      <c r="C907" s="8" t="inlineStr">
        <is>
          <t>Banco egreso no Flexxus</t>
        </is>
      </c>
      <c r="D907" s="8" t="inlineStr">
        <is>
          <t>20/04/2026</t>
        </is>
      </c>
      <c r="E907" s="8" t="inlineStr">
        <is>
          <t>107411</t>
        </is>
      </c>
      <c r="F907" s="8" t="inlineStr">
        <is>
          <t>GRAVAMEN LEY 25413 S/CRED</t>
        </is>
      </c>
      <c r="G907" s="8" t="inlineStr">
        <is>
          <t>Anticipo Ganancias Ley 25.413 créditos</t>
        </is>
      </c>
      <c r="H907" s="8" t="inlineStr">
        <is>
          <t>Anticipo Impuesto a las Ganancias</t>
        </is>
      </c>
      <c r="I907" s="9" t="n">
        <v>221.63</v>
      </c>
      <c r="J907" s="9" t="inlineStr"/>
      <c r="K907" s="8" t="inlineStr">
        <is>
          <t>Copiar en Flexxus: Tipo=MB-EXT | Movimiento=GRAVAMEN LEY 25.413 S/CRED | Monto=221,63 | Fecha: 20/04/2026</t>
        </is>
      </c>
    </row>
    <row r="908">
      <c r="A908" s="8" t="inlineStr">
        <is>
          <t>PEND-E33A88968940-A001</t>
        </is>
      </c>
      <c r="B908" s="8" t="inlineStr">
        <is>
          <t>ABIERTO_NUEVO</t>
        </is>
      </c>
      <c r="C908" s="8" t="inlineStr">
        <is>
          <t>Banco egreso no Flexxus</t>
        </is>
      </c>
      <c r="D908" s="8" t="inlineStr">
        <is>
          <t>20/04/2026</t>
        </is>
      </c>
      <c r="E908" s="8" t="inlineStr">
        <is>
          <t>107410</t>
        </is>
      </c>
      <c r="F908" s="8" t="inlineStr">
        <is>
          <t>INGRESOS BRUTOS MENDOZA</t>
        </is>
      </c>
      <c r="G908" s="8" t="inlineStr">
        <is>
          <t>Retención Ingresos Brutos Mendoza</t>
        </is>
      </c>
      <c r="H908" s="8" t="inlineStr">
        <is>
          <t>Retención de Ingresos Brutos</t>
        </is>
      </c>
      <c r="I908" s="9" t="n">
        <v>295.12</v>
      </c>
      <c r="J908" s="9" t="inlineStr"/>
      <c r="K908" s="8" t="inlineStr">
        <is>
          <t>Copiar en Flexxus: Tipo=MB-EXT | Movimiento=INGRESOS BRUTOS MENDOZA | Monto=295,12 | Fecha: 20/04/2026</t>
        </is>
      </c>
    </row>
    <row r="909">
      <c r="A909" s="8" t="inlineStr">
        <is>
          <t>PEND-F1EE6768FB94-A001</t>
        </is>
      </c>
      <c r="B909" s="8" t="inlineStr">
        <is>
          <t>ABIERTO_NUEVO</t>
        </is>
      </c>
      <c r="C909" s="8" t="inlineStr">
        <is>
          <t>Banco egreso no Flexxus</t>
        </is>
      </c>
      <c r="D909" s="8" t="inlineStr">
        <is>
          <t>20/04/2026</t>
        </is>
      </c>
      <c r="E909" s="8" t="inlineStr">
        <is>
          <t>107410</t>
        </is>
      </c>
      <c r="F909" s="8" t="inlineStr">
        <is>
          <t>GRAVAMEN LEY 25413 S/CRED</t>
        </is>
      </c>
      <c r="G909" s="8" t="inlineStr">
        <is>
          <t>Anticipo Ganancias Ley 25.413 créditos</t>
        </is>
      </c>
      <c r="H909" s="8" t="inlineStr">
        <is>
          <t>Anticipo Impuesto a las Ganancias</t>
        </is>
      </c>
      <c r="I909" s="9" t="n">
        <v>177.07</v>
      </c>
      <c r="J909" s="9" t="inlineStr"/>
      <c r="K909" s="8" t="inlineStr">
        <is>
          <t>Copiar en Flexxus: Tipo=MB-EXT | Movimiento=GRAVAMEN LEY 25.413 S/CRED | Monto=177,07 | Fecha: 20/04/2026</t>
        </is>
      </c>
    </row>
    <row r="910">
      <c r="A910" s="8" t="inlineStr">
        <is>
          <t>PEND-99493619E3D9-A001</t>
        </is>
      </c>
      <c r="B910" s="8" t="inlineStr">
        <is>
          <t>ABIERTO_NUEVO</t>
        </is>
      </c>
      <c r="C910" s="8" t="inlineStr">
        <is>
          <t>Banco egreso no Flexxus</t>
        </is>
      </c>
      <c r="D910" s="8" t="inlineStr">
        <is>
          <t>20/04/2026</t>
        </is>
      </c>
      <c r="E910" s="8" t="inlineStr">
        <is>
          <t>107409</t>
        </is>
      </c>
      <c r="F910" s="8" t="inlineStr">
        <is>
          <t>INGRESOS BRUTOS MENDOZA</t>
        </is>
      </c>
      <c r="G910" s="8" t="inlineStr">
        <is>
          <t>Retención Ingresos Brutos Mendoza</t>
        </is>
      </c>
      <c r="H910" s="8" t="inlineStr">
        <is>
          <t>Retención de Ingresos Brutos</t>
        </is>
      </c>
      <c r="I910" s="9" t="n">
        <v>154.49</v>
      </c>
      <c r="J910" s="9" t="inlineStr"/>
      <c r="K910" s="8" t="inlineStr">
        <is>
          <t>Copiar en Flexxus: Tipo=MB-EXT | Movimiento=INGRESOS BRUTOS MENDOZA | Monto=154,49 | Fecha: 20/04/2026</t>
        </is>
      </c>
    </row>
    <row r="911">
      <c r="A911" s="8" t="inlineStr">
        <is>
          <t>PEND-ECE078E0CEE2-A001</t>
        </is>
      </c>
      <c r="B911" s="8" t="inlineStr">
        <is>
          <t>ABIERTO_NUEVO</t>
        </is>
      </c>
      <c r="C911" s="8" t="inlineStr">
        <is>
          <t>Banco egreso no Flexxus</t>
        </is>
      </c>
      <c r="D911" s="8" t="inlineStr">
        <is>
          <t>20/04/2026</t>
        </is>
      </c>
      <c r="E911" s="8" t="inlineStr">
        <is>
          <t>107409</t>
        </is>
      </c>
      <c r="F911" s="8" t="inlineStr">
        <is>
          <t>GRAVAMEN LEY 25413 S/CRED</t>
        </is>
      </c>
      <c r="G911" s="8" t="inlineStr">
        <is>
          <t>Anticipo Ganancias Ley 25.413 créditos</t>
        </is>
      </c>
      <c r="H911" s="8" t="inlineStr">
        <is>
          <t>Anticipo Impuesto a las Ganancias</t>
        </is>
      </c>
      <c r="I911" s="9" t="n">
        <v>92.69</v>
      </c>
      <c r="J911" s="9" t="inlineStr"/>
      <c r="K911" s="8" t="inlineStr">
        <is>
          <t>Copiar en Flexxus: Tipo=MB-EXT | Movimiento=GRAVAMEN LEY 25.413 S/CRED | Monto=92,69 | Fecha: 20/04/2026</t>
        </is>
      </c>
    </row>
    <row r="912">
      <c r="A912" s="8" t="inlineStr">
        <is>
          <t>PEND-FB199EC2106E-A001</t>
        </is>
      </c>
      <c r="B912" s="8" t="inlineStr">
        <is>
          <t>ABIERTO_NUEVO</t>
        </is>
      </c>
      <c r="C912" s="8" t="inlineStr">
        <is>
          <t>Banco egreso no Flexxus</t>
        </is>
      </c>
      <c r="D912" s="8" t="inlineStr">
        <is>
          <t>20/04/2026</t>
        </is>
      </c>
      <c r="E912" s="8" t="inlineStr">
        <is>
          <t>107408</t>
        </is>
      </c>
      <c r="F912" s="8" t="inlineStr">
        <is>
          <t>INGRESOS BRUTOS MENDOZA</t>
        </is>
      </c>
      <c r="G912" s="8" t="inlineStr">
        <is>
          <t>Retención Ingresos Brutos Mendoza</t>
        </is>
      </c>
      <c r="H912" s="8" t="inlineStr">
        <is>
          <t>Retención de Ingresos Brutos</t>
        </is>
      </c>
      <c r="I912" s="9" t="n">
        <v>161.42</v>
      </c>
      <c r="J912" s="9" t="inlineStr"/>
      <c r="K912" s="8" t="inlineStr">
        <is>
          <t>Copiar en Flexxus: Tipo=MB-EXT | Movimiento=INGRESOS BRUTOS MENDOZA | Monto=161,42 | Fecha: 20/04/2026</t>
        </is>
      </c>
    </row>
    <row r="913">
      <c r="A913" s="8" t="inlineStr">
        <is>
          <t>PEND-64B7B13BC28E-A001</t>
        </is>
      </c>
      <c r="B913" s="8" t="inlineStr">
        <is>
          <t>ABIERTO_NUEVO</t>
        </is>
      </c>
      <c r="C913" s="8" t="inlineStr">
        <is>
          <t>Banco egreso no Flexxus</t>
        </is>
      </c>
      <c r="D913" s="8" t="inlineStr">
        <is>
          <t>20/04/2026</t>
        </is>
      </c>
      <c r="E913" s="8" t="inlineStr">
        <is>
          <t>107408</t>
        </is>
      </c>
      <c r="F913" s="8" t="inlineStr">
        <is>
          <t>GRAVAMEN LEY 25413 S/CRED</t>
        </is>
      </c>
      <c r="G913" s="8" t="inlineStr">
        <is>
          <t>Anticipo Ganancias Ley 25.413 créditos</t>
        </is>
      </c>
      <c r="H913" s="8" t="inlineStr">
        <is>
          <t>Anticipo Impuesto a las Ganancias</t>
        </is>
      </c>
      <c r="I913" s="9" t="n">
        <v>96.84999999999999</v>
      </c>
      <c r="J913" s="9" t="inlineStr"/>
      <c r="K913" s="8" t="inlineStr">
        <is>
          <t>Copiar en Flexxus: Tipo=MB-EXT | Movimiento=GRAVAMEN LEY 25.413 S/CRED | Monto=96,85 | Fecha: 20/04/2026</t>
        </is>
      </c>
    </row>
    <row r="914">
      <c r="A914" s="8" t="inlineStr">
        <is>
          <t>PEND-014F39FBAADC-A001</t>
        </is>
      </c>
      <c r="B914" s="8" t="inlineStr">
        <is>
          <t>ABIERTO_NUEVO</t>
        </is>
      </c>
      <c r="C914" s="8" t="inlineStr">
        <is>
          <t>Banco egreso no Flexxus</t>
        </is>
      </c>
      <c r="D914" s="8" t="inlineStr">
        <is>
          <t>20/04/2026</t>
        </is>
      </c>
      <c r="E914" s="8" t="inlineStr">
        <is>
          <t>107407</t>
        </is>
      </c>
      <c r="F914" s="8" t="inlineStr">
        <is>
          <t>INGRESOS BRUTOS MENDOZA</t>
        </is>
      </c>
      <c r="G914" s="8" t="inlineStr">
        <is>
          <t>Retención Ingresos Brutos Mendoza</t>
        </is>
      </c>
      <c r="H914" s="8" t="inlineStr">
        <is>
          <t>Retención de Ingresos Brutos</t>
        </is>
      </c>
      <c r="I914" s="9" t="n">
        <v>199.05</v>
      </c>
      <c r="J914" s="9" t="inlineStr"/>
      <c r="K914" s="8" t="inlineStr">
        <is>
          <t>Copiar en Flexxus: Tipo=MB-EXT | Movimiento=INGRESOS BRUTOS MENDOZA | Monto=199,05 | Fecha: 20/04/2026</t>
        </is>
      </c>
    </row>
    <row r="915">
      <c r="A915" s="8" t="inlineStr">
        <is>
          <t>PEND-E749E1479C3E-A001</t>
        </is>
      </c>
      <c r="B915" s="8" t="inlineStr">
        <is>
          <t>ABIERTO_NUEVO</t>
        </is>
      </c>
      <c r="C915" s="8" t="inlineStr">
        <is>
          <t>Banco egreso no Flexxus</t>
        </is>
      </c>
      <c r="D915" s="8" t="inlineStr">
        <is>
          <t>20/04/2026</t>
        </is>
      </c>
      <c r="E915" s="8" t="inlineStr">
        <is>
          <t>107407</t>
        </is>
      </c>
      <c r="F915" s="8" t="inlineStr">
        <is>
          <t>GRAVAMEN LEY 25413 S/CRED</t>
        </is>
      </c>
      <c r="G915" s="8" t="inlineStr">
        <is>
          <t>Anticipo Ganancias Ley 25.413 créditos</t>
        </is>
      </c>
      <c r="H915" s="8" t="inlineStr">
        <is>
          <t>Anticipo Impuesto a las Ganancias</t>
        </is>
      </c>
      <c r="I915" s="9" t="n">
        <v>119.43</v>
      </c>
      <c r="J915" s="9" t="inlineStr"/>
      <c r="K915" s="8" t="inlineStr">
        <is>
          <t>Copiar en Flexxus: Tipo=MB-EXT | Movimiento=GRAVAMEN LEY 25.413 S/CRED | Monto=119,43 | Fecha: 20/04/2026</t>
        </is>
      </c>
    </row>
    <row r="916">
      <c r="A916" s="8" t="inlineStr">
        <is>
          <t>PEND-C4A4D787C19F-A001</t>
        </is>
      </c>
      <c r="B916" s="8" t="inlineStr">
        <is>
          <t>ABIERTO_NUEVO</t>
        </is>
      </c>
      <c r="C916" s="8" t="inlineStr">
        <is>
          <t>Banco egreso no Flexxus</t>
        </is>
      </c>
      <c r="D916" s="8" t="inlineStr">
        <is>
          <t>20/04/2026</t>
        </is>
      </c>
      <c r="E916" s="8" t="inlineStr">
        <is>
          <t>107406</t>
        </is>
      </c>
      <c r="F916" s="8" t="inlineStr">
        <is>
          <t>INGRESOS BRUTOS MENDOZA</t>
        </is>
      </c>
      <c r="G916" s="8" t="inlineStr">
        <is>
          <t>Retención Ingresos Brutos Mendoza</t>
        </is>
      </c>
      <c r="H916" s="8" t="inlineStr">
        <is>
          <t>Retención de Ingresos Brutos</t>
        </is>
      </c>
      <c r="I916" s="9" t="n">
        <v>189.15</v>
      </c>
      <c r="J916" s="9" t="inlineStr"/>
      <c r="K916" s="8" t="inlineStr">
        <is>
          <t>Copiar en Flexxus: Tipo=MB-EXT | Movimiento=INGRESOS BRUTOS MENDOZA | Monto=189,15 | Fecha: 20/04/2026</t>
        </is>
      </c>
    </row>
    <row r="917">
      <c r="A917" s="8" t="inlineStr">
        <is>
          <t>PEND-F4EAD0D846B8-A001</t>
        </is>
      </c>
      <c r="B917" s="8" t="inlineStr">
        <is>
          <t>ABIERTO_NUEVO</t>
        </is>
      </c>
      <c r="C917" s="8" t="inlineStr">
        <is>
          <t>Banco egreso no Flexxus</t>
        </is>
      </c>
      <c r="D917" s="8" t="inlineStr">
        <is>
          <t>20/04/2026</t>
        </is>
      </c>
      <c r="E917" s="8" t="inlineStr">
        <is>
          <t>107406</t>
        </is>
      </c>
      <c r="F917" s="8" t="inlineStr">
        <is>
          <t>GRAVAMEN LEY 25413 S/CRED</t>
        </is>
      </c>
      <c r="G917" s="8" t="inlineStr">
        <is>
          <t>Anticipo Ganancias Ley 25.413 créditos</t>
        </is>
      </c>
      <c r="H917" s="8" t="inlineStr">
        <is>
          <t>Anticipo Impuesto a las Ganancias</t>
        </is>
      </c>
      <c r="I917" s="9" t="n">
        <v>113.49</v>
      </c>
      <c r="J917" s="9" t="inlineStr"/>
      <c r="K917" s="8" t="inlineStr">
        <is>
          <t>Copiar en Flexxus: Tipo=MB-EXT | Movimiento=GRAVAMEN LEY 25.413 S/CRED | Monto=113,49 | Fecha: 20/04/2026</t>
        </is>
      </c>
    </row>
    <row r="918">
      <c r="A918" s="8" t="inlineStr">
        <is>
          <t>PEND-A44F1E6B9B21-A001</t>
        </is>
      </c>
      <c r="B918" s="8" t="inlineStr">
        <is>
          <t>ABIERTO_NUEVO</t>
        </is>
      </c>
      <c r="C918" s="8" t="inlineStr">
        <is>
          <t>Banco egreso no Flexxus</t>
        </is>
      </c>
      <c r="D918" s="8" t="inlineStr">
        <is>
          <t>20/04/2026</t>
        </is>
      </c>
      <c r="E918" s="8" t="inlineStr">
        <is>
          <t>107405</t>
        </is>
      </c>
      <c r="F918" s="8" t="inlineStr">
        <is>
          <t>INGRESOS BRUTOS MENDOZA</t>
        </is>
      </c>
      <c r="G918" s="8" t="inlineStr">
        <is>
          <t>Retención Ingresos Brutos Mendoza</t>
        </is>
      </c>
      <c r="H918" s="8" t="inlineStr">
        <is>
          <t>Retención de Ingresos Brutos</t>
        </is>
      </c>
      <c r="I918" s="9" t="n">
        <v>148.55</v>
      </c>
      <c r="J918" s="9" t="inlineStr"/>
      <c r="K918" s="8" t="inlineStr">
        <is>
          <t>Copiar en Flexxus: Tipo=MB-EXT | Movimiento=INGRESOS BRUTOS MENDOZA | Monto=148,55 | Fecha: 20/04/2026</t>
        </is>
      </c>
    </row>
    <row r="919">
      <c r="A919" s="8" t="inlineStr">
        <is>
          <t>PEND-5F3ADDFE3A87-A001</t>
        </is>
      </c>
      <c r="B919" s="8" t="inlineStr">
        <is>
          <t>ABIERTO_NUEVO</t>
        </is>
      </c>
      <c r="C919" s="8" t="inlineStr">
        <is>
          <t>Banco egreso no Flexxus</t>
        </is>
      </c>
      <c r="D919" s="8" t="inlineStr">
        <is>
          <t>20/04/2026</t>
        </is>
      </c>
      <c r="E919" s="8" t="inlineStr">
        <is>
          <t>107405</t>
        </is>
      </c>
      <c r="F919" s="8" t="inlineStr">
        <is>
          <t>GRAVAMEN LEY 25413 S/CRED</t>
        </is>
      </c>
      <c r="G919" s="8" t="inlineStr">
        <is>
          <t>Anticipo Ganancias Ley 25.413 créditos</t>
        </is>
      </c>
      <c r="H919" s="8" t="inlineStr">
        <is>
          <t>Anticipo Impuesto a las Ganancias</t>
        </is>
      </c>
      <c r="I919" s="9" t="n">
        <v>89.13</v>
      </c>
      <c r="J919" s="9" t="inlineStr"/>
      <c r="K919" s="8" t="inlineStr">
        <is>
          <t>Copiar en Flexxus: Tipo=MB-EXT | Movimiento=GRAVAMEN LEY 25.413 S/CRED | Monto=89,13 | Fecha: 20/04/2026</t>
        </is>
      </c>
    </row>
    <row r="920">
      <c r="A920" s="8" t="inlineStr">
        <is>
          <t>PEND-917944BA3532-A001</t>
        </is>
      </c>
      <c r="B920" s="8" t="inlineStr">
        <is>
          <t>ABIERTO_NUEVO</t>
        </is>
      </c>
      <c r="C920" s="8" t="inlineStr">
        <is>
          <t>Banco egreso no Flexxus</t>
        </is>
      </c>
      <c r="D920" s="8" t="inlineStr">
        <is>
          <t>20/04/2026</t>
        </is>
      </c>
      <c r="E920" s="8" t="inlineStr">
        <is>
          <t>107404</t>
        </is>
      </c>
      <c r="F920" s="8" t="inlineStr">
        <is>
          <t>INGRESOS BRUTOS MENDOZA</t>
        </is>
      </c>
      <c r="G920" s="8" t="inlineStr">
        <is>
          <t>Retención Ingresos Brutos Mendoza</t>
        </is>
      </c>
      <c r="H920" s="8" t="inlineStr">
        <is>
          <t>Retención de Ingresos Brutos</t>
        </is>
      </c>
      <c r="I920" s="9" t="n">
        <v>724.91</v>
      </c>
      <c r="J920" s="9" t="inlineStr"/>
      <c r="K920" s="8" t="inlineStr">
        <is>
          <t>Copiar en Flexxus: Tipo=MB-EXT | Movimiento=INGRESOS BRUTOS MENDOZA | Monto=724,91 | Fecha: 20/04/2026</t>
        </is>
      </c>
    </row>
    <row r="921">
      <c r="A921" s="8" t="inlineStr">
        <is>
          <t>PEND-0EAC507292D7-A001</t>
        </is>
      </c>
      <c r="B921" s="8" t="inlineStr">
        <is>
          <t>ABIERTO_NUEVO</t>
        </is>
      </c>
      <c r="C921" s="8" t="inlineStr">
        <is>
          <t>Banco egreso no Flexxus</t>
        </is>
      </c>
      <c r="D921" s="8" t="inlineStr">
        <is>
          <t>20/04/2026</t>
        </is>
      </c>
      <c r="E921" s="8" t="inlineStr">
        <is>
          <t>107404</t>
        </is>
      </c>
      <c r="F921" s="8" t="inlineStr">
        <is>
          <t>GRAVAMEN LEY 25413 S/CRED</t>
        </is>
      </c>
      <c r="G921" s="8" t="inlineStr">
        <is>
          <t>Anticipo Ganancias Ley 25.413 créditos</t>
        </is>
      </c>
      <c r="H921" s="8" t="inlineStr">
        <is>
          <t>Anticipo Impuesto a las Ganancias</t>
        </is>
      </c>
      <c r="I921" s="9" t="n">
        <v>434.95</v>
      </c>
      <c r="J921" s="9" t="inlineStr"/>
      <c r="K921" s="8" t="inlineStr">
        <is>
          <t>Copiar en Flexxus: Tipo=MB-EXT | Movimiento=GRAVAMEN LEY 25.413 S/CRED | Monto=434,95 | Fecha: 20/04/2026</t>
        </is>
      </c>
    </row>
    <row r="922">
      <c r="A922" s="8" t="inlineStr">
        <is>
          <t>PEND-6B4E048FC485-A001</t>
        </is>
      </c>
      <c r="B922" s="8" t="inlineStr">
        <is>
          <t>ABIERTO_NUEVO</t>
        </is>
      </c>
      <c r="C922" s="8" t="inlineStr">
        <is>
          <t>Banco egreso no Flexxus</t>
        </is>
      </c>
      <c r="D922" s="8" t="inlineStr">
        <is>
          <t>20/04/2026</t>
        </is>
      </c>
      <c r="E922" s="8" t="inlineStr">
        <is>
          <t>107403</t>
        </is>
      </c>
      <c r="F922" s="8" t="inlineStr">
        <is>
          <t>INGRESOS BRUTOS MENDOZA</t>
        </is>
      </c>
      <c r="G922" s="8" t="inlineStr">
        <is>
          <t>Retención Ingresos Brutos Mendoza</t>
        </is>
      </c>
      <c r="H922" s="8" t="inlineStr">
        <is>
          <t>Retención de Ingresos Brutos</t>
        </is>
      </c>
      <c r="I922" s="9" t="n">
        <v>668.47</v>
      </c>
      <c r="J922" s="9" t="inlineStr"/>
      <c r="K922" s="8" t="inlineStr">
        <is>
          <t>Copiar en Flexxus: Tipo=MB-EXT | Movimiento=INGRESOS BRUTOS MENDOZA | Monto=668,47 | Fecha: 20/04/2026</t>
        </is>
      </c>
    </row>
    <row r="923">
      <c r="A923" s="8" t="inlineStr">
        <is>
          <t>PEND-F4B98D4C2194-A001</t>
        </is>
      </c>
      <c r="B923" s="8" t="inlineStr">
        <is>
          <t>ABIERTO_NUEVO</t>
        </is>
      </c>
      <c r="C923" s="8" t="inlineStr">
        <is>
          <t>Banco egreso no Flexxus</t>
        </is>
      </c>
      <c r="D923" s="8" t="inlineStr">
        <is>
          <t>20/04/2026</t>
        </is>
      </c>
      <c r="E923" s="8" t="inlineStr">
        <is>
          <t>107403</t>
        </is>
      </c>
      <c r="F923" s="8" t="inlineStr">
        <is>
          <t>GRAVAMEN LEY 25413 S/CRED</t>
        </is>
      </c>
      <c r="G923" s="8" t="inlineStr">
        <is>
          <t>Anticipo Ganancias Ley 25.413 créditos</t>
        </is>
      </c>
      <c r="H923" s="8" t="inlineStr">
        <is>
          <t>Anticipo Impuesto a las Ganancias</t>
        </is>
      </c>
      <c r="I923" s="9" t="n">
        <v>401.08</v>
      </c>
      <c r="J923" s="9" t="inlineStr"/>
      <c r="K923" s="8" t="inlineStr">
        <is>
          <t>Copiar en Flexxus: Tipo=MB-EXT | Movimiento=GRAVAMEN LEY 25.413 S/CRED | Monto=401,08 | Fecha: 20/04/2026</t>
        </is>
      </c>
    </row>
    <row r="924">
      <c r="A924" s="8" t="inlineStr">
        <is>
          <t>PEND-AA9A1B838EA0-A001</t>
        </is>
      </c>
      <c r="B924" s="8" t="inlineStr">
        <is>
          <t>ABIERTO_NUEVO</t>
        </is>
      </c>
      <c r="C924" s="8" t="inlineStr">
        <is>
          <t>Banco egreso no Flexxus</t>
        </is>
      </c>
      <c r="D924" s="8" t="inlineStr">
        <is>
          <t>20/04/2026</t>
        </is>
      </c>
      <c r="E924" s="8" t="inlineStr">
        <is>
          <t>107402</t>
        </is>
      </c>
      <c r="F924" s="8" t="inlineStr">
        <is>
          <t>INGRESOS BRUTOS MENDOZA</t>
        </is>
      </c>
      <c r="G924" s="8" t="inlineStr">
        <is>
          <t>Retención Ingresos Brutos Mendoza</t>
        </is>
      </c>
      <c r="H924" s="8" t="inlineStr">
        <is>
          <t>Retención de Ingresos Brutos</t>
        </is>
      </c>
      <c r="I924" s="9" t="n">
        <v>589.24</v>
      </c>
      <c r="J924" s="9" t="inlineStr"/>
      <c r="K924" s="8" t="inlineStr">
        <is>
          <t>Copiar en Flexxus: Tipo=MB-EXT | Movimiento=INGRESOS BRUTOS MENDOZA | Monto=589,24 | Fecha: 20/04/2026</t>
        </is>
      </c>
    </row>
    <row r="925">
      <c r="A925" s="8" t="inlineStr">
        <is>
          <t>PEND-3C7299F8D20E-A001</t>
        </is>
      </c>
      <c r="B925" s="8" t="inlineStr">
        <is>
          <t>ABIERTO_NUEVO</t>
        </is>
      </c>
      <c r="C925" s="8" t="inlineStr">
        <is>
          <t>Banco egreso no Flexxus</t>
        </is>
      </c>
      <c r="D925" s="8" t="inlineStr">
        <is>
          <t>20/04/2026</t>
        </is>
      </c>
      <c r="E925" s="8" t="inlineStr">
        <is>
          <t>107402</t>
        </is>
      </c>
      <c r="F925" s="8" t="inlineStr">
        <is>
          <t>GRAVAMEN LEY 25413 S/CRED</t>
        </is>
      </c>
      <c r="G925" s="8" t="inlineStr">
        <is>
          <t>Anticipo Ganancias Ley 25.413 créditos</t>
        </is>
      </c>
      <c r="H925" s="8" t="inlineStr">
        <is>
          <t>Anticipo Impuesto a las Ganancias</t>
        </is>
      </c>
      <c r="I925" s="9" t="n">
        <v>353.54</v>
      </c>
      <c r="J925" s="9" t="inlineStr"/>
      <c r="K925" s="8" t="inlineStr">
        <is>
          <t>Copiar en Flexxus: Tipo=MB-EXT | Movimiento=GRAVAMEN LEY 25.413 S/CRED | Monto=353,54 | Fecha: 20/04/2026</t>
        </is>
      </c>
    </row>
    <row r="926">
      <c r="A926" s="8" t="inlineStr">
        <is>
          <t>PEND-A4BC7E289EA2-A001</t>
        </is>
      </c>
      <c r="B926" s="8" t="inlineStr">
        <is>
          <t>ABIERTO_NUEVO</t>
        </is>
      </c>
      <c r="C926" s="8" t="inlineStr">
        <is>
          <t>Banco egreso no Flexxus</t>
        </is>
      </c>
      <c r="D926" s="8" t="inlineStr">
        <is>
          <t>20/04/2026</t>
        </is>
      </c>
      <c r="E926" s="8" t="inlineStr">
        <is>
          <t>107401</t>
        </is>
      </c>
      <c r="F926" s="8" t="inlineStr">
        <is>
          <t>INGRESOS BRUTOS MENDOZA</t>
        </is>
      </c>
      <c r="G926" s="8" t="inlineStr">
        <is>
          <t>Retención Ingresos Brutos Mendoza</t>
        </is>
      </c>
      <c r="H926" s="8" t="inlineStr">
        <is>
          <t>Retención de Ingresos Brutos</t>
        </is>
      </c>
      <c r="I926" s="9" t="n">
        <v>1099.26</v>
      </c>
      <c r="J926" s="9" t="inlineStr"/>
      <c r="K926" s="8" t="inlineStr">
        <is>
          <t>Copiar en Flexxus: Tipo=MB-EXT | Movimiento=INGRESOS BRUTOS MENDOZA | Monto=1.099,26 | Fecha: 20/04/2026</t>
        </is>
      </c>
    </row>
    <row r="927">
      <c r="A927" s="8" t="inlineStr">
        <is>
          <t>PEND-EBC8EF53FD89-A001</t>
        </is>
      </c>
      <c r="B927" s="8" t="inlineStr">
        <is>
          <t>ABIERTO_NUEVO</t>
        </is>
      </c>
      <c r="C927" s="8" t="inlineStr">
        <is>
          <t>Banco egreso no Flexxus</t>
        </is>
      </c>
      <c r="D927" s="8" t="inlineStr">
        <is>
          <t>20/04/2026</t>
        </is>
      </c>
      <c r="E927" s="8" t="inlineStr">
        <is>
          <t>107401</t>
        </is>
      </c>
      <c r="F927" s="8" t="inlineStr">
        <is>
          <t>GRAVAMEN LEY 25413 S/CRED</t>
        </is>
      </c>
      <c r="G927" s="8" t="inlineStr">
        <is>
          <t>Anticipo Ganancias Ley 25.413 créditos</t>
        </is>
      </c>
      <c r="H927" s="8" t="inlineStr">
        <is>
          <t>Anticipo Impuesto a las Ganancias</t>
        </is>
      </c>
      <c r="I927" s="9" t="n">
        <v>659.55</v>
      </c>
      <c r="J927" s="9" t="inlineStr"/>
      <c r="K927" s="8" t="inlineStr">
        <is>
          <t>Copiar en Flexxus: Tipo=MB-EXT | Movimiento=GRAVAMEN LEY 25.413 S/CRED | Monto=659,55 | Fecha: 20/04/2026</t>
        </is>
      </c>
    </row>
    <row r="928">
      <c r="A928" s="8" t="inlineStr">
        <is>
          <t>PEND-58F51C992C16-A001</t>
        </is>
      </c>
      <c r="B928" s="8" t="inlineStr">
        <is>
          <t>ABIERTO_NUEVO</t>
        </is>
      </c>
      <c r="C928" s="8" t="inlineStr">
        <is>
          <t>Banco egreso no Flexxus</t>
        </is>
      </c>
      <c r="D928" s="8" t="inlineStr">
        <is>
          <t>20/04/2026</t>
        </is>
      </c>
      <c r="E928" s="8" t="inlineStr">
        <is>
          <t>107400</t>
        </is>
      </c>
      <c r="F928" s="8" t="inlineStr">
        <is>
          <t>INGRESOS BRUTOS MENDOZA</t>
        </is>
      </c>
      <c r="G928" s="8" t="inlineStr">
        <is>
          <t>Retención Ingresos Brutos Mendoza</t>
        </is>
      </c>
      <c r="H928" s="8" t="inlineStr">
        <is>
          <t>Retención de Ingresos Brutos</t>
        </is>
      </c>
      <c r="I928" s="9" t="n">
        <v>514.97</v>
      </c>
      <c r="J928" s="9" t="inlineStr"/>
      <c r="K928" s="8" t="inlineStr">
        <is>
          <t>Copiar en Flexxus: Tipo=MB-EXT | Movimiento=INGRESOS BRUTOS MENDOZA | Monto=514,97 | Fecha: 20/04/2026</t>
        </is>
      </c>
    </row>
    <row r="929">
      <c r="A929" s="8" t="inlineStr">
        <is>
          <t>PEND-AFD08C613C0D-A001</t>
        </is>
      </c>
      <c r="B929" s="8" t="inlineStr">
        <is>
          <t>ABIERTO_NUEVO</t>
        </is>
      </c>
      <c r="C929" s="8" t="inlineStr">
        <is>
          <t>Banco egreso no Flexxus</t>
        </is>
      </c>
      <c r="D929" s="8" t="inlineStr">
        <is>
          <t>20/04/2026</t>
        </is>
      </c>
      <c r="E929" s="8" t="inlineStr">
        <is>
          <t>107400</t>
        </is>
      </c>
      <c r="F929" s="8" t="inlineStr">
        <is>
          <t>GRAVAMEN LEY 25413 S/CRED</t>
        </is>
      </c>
      <c r="G929" s="8" t="inlineStr">
        <is>
          <t>Anticipo Ganancias Ley 25.413 créditos</t>
        </is>
      </c>
      <c r="H929" s="8" t="inlineStr">
        <is>
          <t>Anticipo Impuesto a las Ganancias</t>
        </is>
      </c>
      <c r="I929" s="9" t="n">
        <v>308.98</v>
      </c>
      <c r="J929" s="9" t="inlineStr"/>
      <c r="K929" s="8" t="inlineStr">
        <is>
          <t>Copiar en Flexxus: Tipo=MB-EXT | Movimiento=GRAVAMEN LEY 25.413 S/CRED | Monto=308,98 | Fecha: 20/04/2026</t>
        </is>
      </c>
    </row>
    <row r="930">
      <c r="A930" s="8" t="inlineStr">
        <is>
          <t>PEND-8FAF1E51E2AD-A001</t>
        </is>
      </c>
      <c r="B930" s="8" t="inlineStr">
        <is>
          <t>ABIERTO_NUEVO</t>
        </is>
      </c>
      <c r="C930" s="8" t="inlineStr">
        <is>
          <t>Banco egreso no Flexxus</t>
        </is>
      </c>
      <c r="D930" s="8" t="inlineStr">
        <is>
          <t>20/04/2026</t>
        </is>
      </c>
      <c r="E930" s="8" t="inlineStr">
        <is>
          <t>107399</t>
        </is>
      </c>
      <c r="F930" s="8" t="inlineStr">
        <is>
          <t>INGRESOS BRUTOS MENDOZA</t>
        </is>
      </c>
      <c r="G930" s="8" t="inlineStr">
        <is>
          <t>Retención Ingresos Brutos Mendoza</t>
        </is>
      </c>
      <c r="H930" s="8" t="inlineStr">
        <is>
          <t>Retención de Ingresos Brutos</t>
        </is>
      </c>
      <c r="I930" s="9" t="n">
        <v>554.58</v>
      </c>
      <c r="J930" s="9" t="inlineStr"/>
      <c r="K930" s="8" t="inlineStr">
        <is>
          <t>Copiar en Flexxus: Tipo=MB-EXT | Movimiento=INGRESOS BRUTOS MENDOZA | Monto=554,58 | Fecha: 20/04/2026</t>
        </is>
      </c>
    </row>
    <row r="931">
      <c r="A931" s="8" t="inlineStr">
        <is>
          <t>PEND-6274BCC05DF4-A001</t>
        </is>
      </c>
      <c r="B931" s="8" t="inlineStr">
        <is>
          <t>ABIERTO_NUEVO</t>
        </is>
      </c>
      <c r="C931" s="8" t="inlineStr">
        <is>
          <t>Banco egreso no Flexxus</t>
        </is>
      </c>
      <c r="D931" s="8" t="inlineStr">
        <is>
          <t>20/04/2026</t>
        </is>
      </c>
      <c r="E931" s="8" t="inlineStr">
        <is>
          <t>107399</t>
        </is>
      </c>
      <c r="F931" s="8" t="inlineStr">
        <is>
          <t>GRAVAMEN LEY 25413 S/CRED</t>
        </is>
      </c>
      <c r="G931" s="8" t="inlineStr">
        <is>
          <t>Anticipo Ganancias Ley 25.413 créditos</t>
        </is>
      </c>
      <c r="H931" s="8" t="inlineStr">
        <is>
          <t>Anticipo Impuesto a las Ganancias</t>
        </is>
      </c>
      <c r="I931" s="9" t="n">
        <v>332.75</v>
      </c>
      <c r="J931" s="9" t="inlineStr"/>
      <c r="K931" s="8" t="inlineStr">
        <is>
          <t>Copiar en Flexxus: Tipo=MB-EXT | Movimiento=GRAVAMEN LEY 25.413 S/CRED | Monto=332,75 | Fecha: 20/04/2026</t>
        </is>
      </c>
    </row>
    <row r="932">
      <c r="A932" s="8" t="inlineStr">
        <is>
          <t>PEND-1DC869FEE5F9-A001</t>
        </is>
      </c>
      <c r="B932" s="8" t="inlineStr">
        <is>
          <t>ABIERTO_NUEVO</t>
        </is>
      </c>
      <c r="C932" s="8" t="inlineStr">
        <is>
          <t>Banco egreso no Flexxus</t>
        </is>
      </c>
      <c r="D932" s="8" t="inlineStr">
        <is>
          <t>20/04/2026</t>
        </is>
      </c>
      <c r="E932" s="8" t="inlineStr">
        <is>
          <t>107398</t>
        </is>
      </c>
      <c r="F932" s="8" t="inlineStr">
        <is>
          <t>INGRESOS BRUTOS MENDOZA</t>
        </is>
      </c>
      <c r="G932" s="8" t="inlineStr">
        <is>
          <t>Retención Ingresos Brutos Mendoza</t>
        </is>
      </c>
      <c r="H932" s="8" t="inlineStr">
        <is>
          <t>Retención de Ingresos Brutos</t>
        </is>
      </c>
      <c r="I932" s="9" t="n">
        <v>321.85</v>
      </c>
      <c r="J932" s="9" t="inlineStr"/>
      <c r="K932" s="8" t="inlineStr">
        <is>
          <t>Copiar en Flexxus: Tipo=MB-EXT | Movimiento=INGRESOS BRUTOS MENDOZA | Monto=321,85 | Fecha: 20/04/2026</t>
        </is>
      </c>
    </row>
    <row r="933">
      <c r="A933" s="8" t="inlineStr">
        <is>
          <t>PEND-0FD0AA7A463B-A001</t>
        </is>
      </c>
      <c r="B933" s="8" t="inlineStr">
        <is>
          <t>ABIERTO_NUEVO</t>
        </is>
      </c>
      <c r="C933" s="8" t="inlineStr">
        <is>
          <t>Banco egreso no Flexxus</t>
        </is>
      </c>
      <c r="D933" s="8" t="inlineStr">
        <is>
          <t>20/04/2026</t>
        </is>
      </c>
      <c r="E933" s="8" t="inlineStr">
        <is>
          <t>107398</t>
        </is>
      </c>
      <c r="F933" s="8" t="inlineStr">
        <is>
          <t>GRAVAMEN LEY 25413 S/CRED</t>
        </is>
      </c>
      <c r="G933" s="8" t="inlineStr">
        <is>
          <t>Anticipo Ganancias Ley 25.413 créditos</t>
        </is>
      </c>
      <c r="H933" s="8" t="inlineStr">
        <is>
          <t>Anticipo Impuesto a las Ganancias</t>
        </is>
      </c>
      <c r="I933" s="9" t="n">
        <v>193.11</v>
      </c>
      <c r="J933" s="9" t="inlineStr"/>
      <c r="K933" s="8" t="inlineStr">
        <is>
          <t>Copiar en Flexxus: Tipo=MB-EXT | Movimiento=GRAVAMEN LEY 25.413 S/CRED | Monto=193,11 | Fecha: 20/04/2026</t>
        </is>
      </c>
    </row>
    <row r="934">
      <c r="A934" s="8" t="inlineStr">
        <is>
          <t>PEND-F962F8F5C3AA-A001</t>
        </is>
      </c>
      <c r="B934" s="8" t="inlineStr">
        <is>
          <t>ABIERTO_NUEVO</t>
        </is>
      </c>
      <c r="C934" s="8" t="inlineStr">
        <is>
          <t>Banco egreso no Flexxus</t>
        </is>
      </c>
      <c r="D934" s="8" t="inlineStr">
        <is>
          <t>20/04/2026</t>
        </is>
      </c>
      <c r="E934" s="8" t="inlineStr">
        <is>
          <t>107397</t>
        </is>
      </c>
      <c r="F934" s="8" t="inlineStr">
        <is>
          <t>INGRESOS BRUTOS MENDOZA</t>
        </is>
      </c>
      <c r="G934" s="8" t="inlineStr">
        <is>
          <t>Retención Ingresos Brutos Mendoza</t>
        </is>
      </c>
      <c r="H934" s="8" t="inlineStr">
        <is>
          <t>Retención de Ingresos Brutos</t>
        </is>
      </c>
      <c r="I934" s="9" t="n">
        <v>83.19</v>
      </c>
      <c r="J934" s="9" t="inlineStr"/>
      <c r="K934" s="8" t="inlineStr">
        <is>
          <t>Copiar en Flexxus: Tipo=MB-EXT | Movimiento=INGRESOS BRUTOS MENDOZA | Monto=83,19 | Fecha: 20/04/2026</t>
        </is>
      </c>
    </row>
    <row r="935">
      <c r="A935" s="8" t="inlineStr">
        <is>
          <t>PEND-B3F757B47DCD-A001</t>
        </is>
      </c>
      <c r="B935" s="8" t="inlineStr">
        <is>
          <t>ABIERTO_NUEVO</t>
        </is>
      </c>
      <c r="C935" s="8" t="inlineStr">
        <is>
          <t>Banco egreso no Flexxus</t>
        </is>
      </c>
      <c r="D935" s="8" t="inlineStr">
        <is>
          <t>20/04/2026</t>
        </is>
      </c>
      <c r="E935" s="8" t="inlineStr">
        <is>
          <t>107397</t>
        </is>
      </c>
      <c r="F935" s="8" t="inlineStr">
        <is>
          <t>GRAVAMEN LEY 25413 S/CRED</t>
        </is>
      </c>
      <c r="G935" s="8" t="inlineStr">
        <is>
          <t>Anticipo Ganancias Ley 25.413 créditos</t>
        </is>
      </c>
      <c r="H935" s="8" t="inlineStr">
        <is>
          <t>Anticipo Impuesto a las Ganancias</t>
        </is>
      </c>
      <c r="I935" s="9" t="n">
        <v>49.91</v>
      </c>
      <c r="J935" s="9" t="inlineStr"/>
      <c r="K935" s="8" t="inlineStr">
        <is>
          <t>Copiar en Flexxus: Tipo=MB-EXT | Movimiento=GRAVAMEN LEY 25.413 S/CRED | Monto=49,91 | Fecha: 20/04/2026</t>
        </is>
      </c>
    </row>
    <row r="936">
      <c r="A936" s="8" t="inlineStr">
        <is>
          <t>PEND-FCE508F3B85E-A001</t>
        </is>
      </c>
      <c r="B936" s="8" t="inlineStr">
        <is>
          <t>ABIERTO_NUEVO</t>
        </is>
      </c>
      <c r="C936" s="8" t="inlineStr">
        <is>
          <t>Banco egreso no Flexxus</t>
        </is>
      </c>
      <c r="D936" s="8" t="inlineStr">
        <is>
          <t>20/04/2026</t>
        </is>
      </c>
      <c r="E936" s="8" t="inlineStr">
        <is>
          <t>107396</t>
        </is>
      </c>
      <c r="F936" s="8" t="inlineStr">
        <is>
          <t>INGRESOS BRUTOS MENDOZA</t>
        </is>
      </c>
      <c r="G936" s="8" t="inlineStr">
        <is>
          <t>Retención Ingresos Brutos Mendoza</t>
        </is>
      </c>
      <c r="H936" s="8" t="inlineStr">
        <is>
          <t>Retención de Ingresos Brutos</t>
        </is>
      </c>
      <c r="I936" s="9" t="n">
        <v>133.69</v>
      </c>
      <c r="J936" s="9" t="inlineStr"/>
      <c r="K936" s="8" t="inlineStr">
        <is>
          <t>Copiar en Flexxus: Tipo=MB-EXT | Movimiento=INGRESOS BRUTOS MENDOZA | Monto=133,69 | Fecha: 20/04/2026</t>
        </is>
      </c>
    </row>
    <row r="937">
      <c r="A937" s="8" t="inlineStr">
        <is>
          <t>PEND-33AC9E3A3606-A001</t>
        </is>
      </c>
      <c r="B937" s="8" t="inlineStr">
        <is>
          <t>ABIERTO_NUEVO</t>
        </is>
      </c>
      <c r="C937" s="8" t="inlineStr">
        <is>
          <t>Banco egreso no Flexxus</t>
        </is>
      </c>
      <c r="D937" s="8" t="inlineStr">
        <is>
          <t>20/04/2026</t>
        </is>
      </c>
      <c r="E937" s="8" t="inlineStr">
        <is>
          <t>107396</t>
        </is>
      </c>
      <c r="F937" s="8" t="inlineStr">
        <is>
          <t>GRAVAMEN LEY 25413 S/CRED</t>
        </is>
      </c>
      <c r="G937" s="8" t="inlineStr">
        <is>
          <t>Anticipo Ganancias Ley 25.413 créditos</t>
        </is>
      </c>
      <c r="H937" s="8" t="inlineStr">
        <is>
          <t>Anticipo Impuesto a las Ganancias</t>
        </is>
      </c>
      <c r="I937" s="9" t="n">
        <v>80.22</v>
      </c>
      <c r="J937" s="9" t="inlineStr"/>
      <c r="K937" s="8" t="inlineStr">
        <is>
          <t>Copiar en Flexxus: Tipo=MB-EXT | Movimiento=GRAVAMEN LEY 25.413 S/CRED | Monto=80,22 | Fecha: 20/04/2026</t>
        </is>
      </c>
    </row>
    <row r="938">
      <c r="A938" s="8" t="inlineStr">
        <is>
          <t>PEND-0EEA20AAA05E-A001</t>
        </is>
      </c>
      <c r="B938" s="8" t="inlineStr">
        <is>
          <t>ABIERTO_NUEVO</t>
        </is>
      </c>
      <c r="C938" s="8" t="inlineStr">
        <is>
          <t>Banco egreso no Flexxus</t>
        </is>
      </c>
      <c r="D938" s="8" t="inlineStr">
        <is>
          <t>20/04/2026</t>
        </is>
      </c>
      <c r="E938" s="8" t="inlineStr">
        <is>
          <t>107395</t>
        </is>
      </c>
      <c r="F938" s="8" t="inlineStr">
        <is>
          <t>INGRESOS BRUTOS MENDOZA</t>
        </is>
      </c>
      <c r="G938" s="8" t="inlineStr">
        <is>
          <t>Retención Ingresos Brutos Mendoza</t>
        </is>
      </c>
      <c r="H938" s="8" t="inlineStr">
        <is>
          <t>Retención de Ingresos Brutos</t>
        </is>
      </c>
      <c r="I938" s="9" t="n">
        <v>113.89</v>
      </c>
      <c r="J938" s="9" t="inlineStr"/>
      <c r="K938" s="8" t="inlineStr">
        <is>
          <t>Copiar en Flexxus: Tipo=MB-EXT | Movimiento=INGRESOS BRUTOS MENDOZA | Monto=113,89 | Fecha: 20/04/2026</t>
        </is>
      </c>
    </row>
    <row r="939">
      <c r="A939" s="8" t="inlineStr">
        <is>
          <t>PEND-CE0497B50C74-A001</t>
        </is>
      </c>
      <c r="B939" s="8" t="inlineStr">
        <is>
          <t>ABIERTO_NUEVO</t>
        </is>
      </c>
      <c r="C939" s="8" t="inlineStr">
        <is>
          <t>Banco egreso no Flexxus</t>
        </is>
      </c>
      <c r="D939" s="8" t="inlineStr">
        <is>
          <t>20/04/2026</t>
        </is>
      </c>
      <c r="E939" s="8" t="inlineStr">
        <is>
          <t>107395</t>
        </is>
      </c>
      <c r="F939" s="8" t="inlineStr">
        <is>
          <t>GRAVAMEN LEY 25413 S/CRED</t>
        </is>
      </c>
      <c r="G939" s="8" t="inlineStr">
        <is>
          <t>Anticipo Ganancias Ley 25.413 créditos</t>
        </is>
      </c>
      <c r="H939" s="8" t="inlineStr">
        <is>
          <t>Anticipo Impuesto a las Ganancias</t>
        </is>
      </c>
      <c r="I939" s="9" t="n">
        <v>68.33</v>
      </c>
      <c r="J939" s="9" t="inlineStr"/>
      <c r="K939" s="8" t="inlineStr">
        <is>
          <t>Copiar en Flexxus: Tipo=MB-EXT | Movimiento=GRAVAMEN LEY 25.413 S/CRED | Monto=68,33 | Fecha: 20/04/2026</t>
        </is>
      </c>
    </row>
    <row r="940">
      <c r="A940" s="8" t="inlineStr">
        <is>
          <t>PEND-5060FAA2F353-A001</t>
        </is>
      </c>
      <c r="B940" s="8" t="inlineStr">
        <is>
          <t>ABIERTO_NUEVO</t>
        </is>
      </c>
      <c r="C940" s="8" t="inlineStr">
        <is>
          <t>Banco egreso no Flexxus</t>
        </is>
      </c>
      <c r="D940" s="8" t="inlineStr">
        <is>
          <t>20/04/2026</t>
        </is>
      </c>
      <c r="E940" s="8" t="inlineStr">
        <is>
          <t>107394</t>
        </is>
      </c>
      <c r="F940" s="8" t="inlineStr">
        <is>
          <t>INGRESOS BRUTOS MENDOZA</t>
        </is>
      </c>
      <c r="G940" s="8" t="inlineStr">
        <is>
          <t>Retención Ingresos Brutos Mendoza</t>
        </is>
      </c>
      <c r="H940" s="8" t="inlineStr">
        <is>
          <t>Retención de Ingresos Brutos</t>
        </is>
      </c>
      <c r="I940" s="9" t="n">
        <v>401.08</v>
      </c>
      <c r="J940" s="9" t="inlineStr"/>
      <c r="K940" s="8" t="inlineStr">
        <is>
          <t>Copiar en Flexxus: Tipo=MB-EXT | Movimiento=INGRESOS BRUTOS MENDOZA | Monto=401,08 | Fecha: 20/04/2026</t>
        </is>
      </c>
    </row>
    <row r="941">
      <c r="A941" s="8" t="inlineStr">
        <is>
          <t>PEND-B01BB3A563A7-A001</t>
        </is>
      </c>
      <c r="B941" s="8" t="inlineStr">
        <is>
          <t>ABIERTO_NUEVO</t>
        </is>
      </c>
      <c r="C941" s="8" t="inlineStr">
        <is>
          <t>Banco egreso no Flexxus</t>
        </is>
      </c>
      <c r="D941" s="8" t="inlineStr">
        <is>
          <t>20/04/2026</t>
        </is>
      </c>
      <c r="E941" s="8" t="inlineStr">
        <is>
          <t>107394</t>
        </is>
      </c>
      <c r="F941" s="8" t="inlineStr">
        <is>
          <t>GRAVAMEN LEY 25413 S/CRED</t>
        </is>
      </c>
      <c r="G941" s="8" t="inlineStr">
        <is>
          <t>Anticipo Ganancias Ley 25.413 créditos</t>
        </is>
      </c>
      <c r="H941" s="8" t="inlineStr">
        <is>
          <t>Anticipo Impuesto a las Ganancias</t>
        </is>
      </c>
      <c r="I941" s="9" t="n">
        <v>240.65</v>
      </c>
      <c r="J941" s="9" t="inlineStr"/>
      <c r="K941" s="8" t="inlineStr">
        <is>
          <t>Copiar en Flexxus: Tipo=MB-EXT | Movimiento=GRAVAMEN LEY 25.413 S/CRED | Monto=240,65 | Fecha: 20/04/2026</t>
        </is>
      </c>
    </row>
    <row r="942">
      <c r="A942" s="8" t="inlineStr">
        <is>
          <t>PEND-36AD88A341C4-A001</t>
        </is>
      </c>
      <c r="B942" s="8" t="inlineStr">
        <is>
          <t>ABIERTO_NUEVO</t>
        </is>
      </c>
      <c r="C942" s="8" t="inlineStr">
        <is>
          <t>Banco egreso no Flexxus</t>
        </is>
      </c>
      <c r="D942" s="8" t="inlineStr">
        <is>
          <t>20/04/2026</t>
        </is>
      </c>
      <c r="E942" s="8" t="inlineStr">
        <is>
          <t>107393</t>
        </is>
      </c>
      <c r="F942" s="8" t="inlineStr">
        <is>
          <t>INGRESOS BRUTOS MENDOZA</t>
        </is>
      </c>
      <c r="G942" s="8" t="inlineStr">
        <is>
          <t>Retención Ingresos Brutos Mendoza</t>
        </is>
      </c>
      <c r="H942" s="8" t="inlineStr">
        <is>
          <t>Retención de Ingresos Brutos</t>
        </is>
      </c>
      <c r="I942" s="9" t="n">
        <v>68.33</v>
      </c>
      <c r="J942" s="9" t="inlineStr"/>
      <c r="K942" s="8" t="inlineStr">
        <is>
          <t>Copiar en Flexxus: Tipo=MB-EXT | Movimiento=INGRESOS BRUTOS MENDOZA | Monto=68,33 | Fecha: 20/04/2026</t>
        </is>
      </c>
    </row>
    <row r="943">
      <c r="A943" s="8" t="inlineStr">
        <is>
          <t>PEND-75A0FE4DC6C8-A001</t>
        </is>
      </c>
      <c r="B943" s="8" t="inlineStr">
        <is>
          <t>ABIERTO_NUEVO</t>
        </is>
      </c>
      <c r="C943" s="8" t="inlineStr">
        <is>
          <t>Banco egreso no Flexxus</t>
        </is>
      </c>
      <c r="D943" s="8" t="inlineStr">
        <is>
          <t>20/04/2026</t>
        </is>
      </c>
      <c r="E943" s="8" t="inlineStr">
        <is>
          <t>107393</t>
        </is>
      </c>
      <c r="F943" s="8" t="inlineStr">
        <is>
          <t>GRAVAMEN LEY 25413 S/CRED</t>
        </is>
      </c>
      <c r="G943" s="8" t="inlineStr">
        <is>
          <t>Anticipo Ganancias Ley 25.413 créditos</t>
        </is>
      </c>
      <c r="H943" s="8" t="inlineStr">
        <is>
          <t>Anticipo Impuesto a las Ganancias</t>
        </is>
      </c>
      <c r="I943" s="9" t="n">
        <v>41</v>
      </c>
      <c r="J943" s="9" t="inlineStr"/>
      <c r="K943" s="8" t="inlineStr">
        <is>
          <t>Copiar en Flexxus: Tipo=MB-EXT | Movimiento=GRAVAMEN LEY 25.413 S/CRED | Monto=41,00 | Fecha: 20/04/2026</t>
        </is>
      </c>
    </row>
    <row r="944">
      <c r="A944" s="8" t="inlineStr">
        <is>
          <t>PEND-7AABAED5E661-A001</t>
        </is>
      </c>
      <c r="B944" s="8" t="inlineStr">
        <is>
          <t>ABIERTO_NUEVO</t>
        </is>
      </c>
      <c r="C944" s="8" t="inlineStr">
        <is>
          <t>Banco egreso no Flexxus</t>
        </is>
      </c>
      <c r="D944" s="8" t="inlineStr">
        <is>
          <t>20/04/2026</t>
        </is>
      </c>
      <c r="E944" s="8" t="inlineStr">
        <is>
          <t>107392</t>
        </is>
      </c>
      <c r="F944" s="8" t="inlineStr">
        <is>
          <t>INGRESOS BRUTOS MENDOZA</t>
        </is>
      </c>
      <c r="G944" s="8" t="inlineStr">
        <is>
          <t>Retención Ingresos Brutos Mendoza</t>
        </is>
      </c>
      <c r="H944" s="8" t="inlineStr">
        <is>
          <t>Retención de Ingresos Brutos</t>
        </is>
      </c>
      <c r="I944" s="9" t="n">
        <v>227.77</v>
      </c>
      <c r="J944" s="9" t="inlineStr"/>
      <c r="K944" s="8" t="inlineStr">
        <is>
          <t>Copiar en Flexxus: Tipo=MB-EXT | Movimiento=INGRESOS BRUTOS MENDOZA | Monto=227,77 | Fecha: 20/04/2026</t>
        </is>
      </c>
    </row>
    <row r="945">
      <c r="A945" s="8" t="inlineStr">
        <is>
          <t>PEND-21BD0B1EA15A-A001</t>
        </is>
      </c>
      <c r="B945" s="8" t="inlineStr">
        <is>
          <t>ABIERTO_NUEVO</t>
        </is>
      </c>
      <c r="C945" s="8" t="inlineStr">
        <is>
          <t>Banco egreso no Flexxus</t>
        </is>
      </c>
      <c r="D945" s="8" t="inlineStr">
        <is>
          <t>20/04/2026</t>
        </is>
      </c>
      <c r="E945" s="8" t="inlineStr">
        <is>
          <t>107392</t>
        </is>
      </c>
      <c r="F945" s="8" t="inlineStr">
        <is>
          <t>GRAVAMEN LEY 25413 S/CRED</t>
        </is>
      </c>
      <c r="G945" s="8" t="inlineStr">
        <is>
          <t>Anticipo Ganancias Ley 25.413 créditos</t>
        </is>
      </c>
      <c r="H945" s="8" t="inlineStr">
        <is>
          <t>Anticipo Impuesto a las Ganancias</t>
        </is>
      </c>
      <c r="I945" s="9" t="n">
        <v>136.66</v>
      </c>
      <c r="J945" s="9" t="inlineStr"/>
      <c r="K945" s="8" t="inlineStr">
        <is>
          <t>Copiar en Flexxus: Tipo=MB-EXT | Movimiento=GRAVAMEN LEY 25.413 S/CRED | Monto=136,66 | Fecha: 20/04/2026</t>
        </is>
      </c>
    </row>
    <row r="946">
      <c r="A946" s="8" t="inlineStr">
        <is>
          <t>PEND-21E4C210C028-A001</t>
        </is>
      </c>
      <c r="B946" s="8" t="inlineStr">
        <is>
          <t>ABIERTO_NUEVO</t>
        </is>
      </c>
      <c r="C946" s="8" t="inlineStr">
        <is>
          <t>Banco egreso no Flexxus</t>
        </is>
      </c>
      <c r="D946" s="8" t="inlineStr">
        <is>
          <t>20/04/2026</t>
        </is>
      </c>
      <c r="E946" s="8" t="inlineStr">
        <is>
          <t>107391</t>
        </is>
      </c>
      <c r="F946" s="8" t="inlineStr">
        <is>
          <t>INGRESOS BRUTOS MENDOZA</t>
        </is>
      </c>
      <c r="G946" s="8" t="inlineStr">
        <is>
          <t>Retención Ingresos Brutos Mendoza</t>
        </is>
      </c>
      <c r="H946" s="8" t="inlineStr">
        <is>
          <t>Retención de Ingresos Brutos</t>
        </is>
      </c>
      <c r="I946" s="9" t="n">
        <v>711.05</v>
      </c>
      <c r="J946" s="9" t="inlineStr"/>
      <c r="K946" s="8" t="inlineStr">
        <is>
          <t>Copiar en Flexxus: Tipo=MB-EXT | Movimiento=INGRESOS BRUTOS MENDOZA | Monto=711,05 | Fecha: 20/04/2026</t>
        </is>
      </c>
    </row>
    <row r="947">
      <c r="A947" s="8" t="inlineStr">
        <is>
          <t>PEND-12D9155A397C-A001</t>
        </is>
      </c>
      <c r="B947" s="8" t="inlineStr">
        <is>
          <t>ABIERTO_NUEVO</t>
        </is>
      </c>
      <c r="C947" s="8" t="inlineStr">
        <is>
          <t>Banco egreso no Flexxus</t>
        </is>
      </c>
      <c r="D947" s="8" t="inlineStr">
        <is>
          <t>20/04/2026</t>
        </is>
      </c>
      <c r="E947" s="8" t="inlineStr">
        <is>
          <t>107391</t>
        </is>
      </c>
      <c r="F947" s="8" t="inlineStr">
        <is>
          <t>GRAVAMEN LEY 25413 S/CRED</t>
        </is>
      </c>
      <c r="G947" s="8" t="inlineStr">
        <is>
          <t>Anticipo Ganancias Ley 25.413 créditos</t>
        </is>
      </c>
      <c r="H947" s="8" t="inlineStr">
        <is>
          <t>Anticipo Impuesto a las Ganancias</t>
        </is>
      </c>
      <c r="I947" s="9" t="n">
        <v>426.63</v>
      </c>
      <c r="J947" s="9" t="inlineStr"/>
      <c r="K947" s="8" t="inlineStr">
        <is>
          <t>Copiar en Flexxus: Tipo=MB-EXT | Movimiento=GRAVAMEN LEY 25.413 S/CRED | Monto=426,63 | Fecha: 20/04/2026</t>
        </is>
      </c>
    </row>
    <row r="948">
      <c r="A948" s="8" t="inlineStr">
        <is>
          <t>PEND-73C8734D73FA-A001</t>
        </is>
      </c>
      <c r="B948" s="8" t="inlineStr">
        <is>
          <t>ABIERTO_NUEVO</t>
        </is>
      </c>
      <c r="C948" s="8" t="inlineStr">
        <is>
          <t>Banco egreso no Flexxus</t>
        </is>
      </c>
      <c r="D948" s="8" t="inlineStr">
        <is>
          <t>20/04/2026</t>
        </is>
      </c>
      <c r="E948" s="8" t="inlineStr">
        <is>
          <t>107390</t>
        </is>
      </c>
      <c r="F948" s="8" t="inlineStr">
        <is>
          <t>INGRESOS BRUTOS MENDOZA</t>
        </is>
      </c>
      <c r="G948" s="8" t="inlineStr">
        <is>
          <t>Retención Ingresos Brutos Mendoza</t>
        </is>
      </c>
      <c r="H948" s="8" t="inlineStr">
        <is>
          <t>Retención de Ingresos Brutos</t>
        </is>
      </c>
      <c r="I948" s="9" t="n">
        <v>227.77</v>
      </c>
      <c r="J948" s="9" t="inlineStr"/>
      <c r="K948" s="8" t="inlineStr">
        <is>
          <t>Copiar en Flexxus: Tipo=MB-EXT | Movimiento=INGRESOS BRUTOS MENDOZA | Monto=227,77 | Fecha: 20/04/2026</t>
        </is>
      </c>
    </row>
    <row r="949">
      <c r="A949" s="8" t="inlineStr">
        <is>
          <t>PEND-6481B970DB48-A001</t>
        </is>
      </c>
      <c r="B949" s="8" t="inlineStr">
        <is>
          <t>ABIERTO_NUEVO</t>
        </is>
      </c>
      <c r="C949" s="8" t="inlineStr">
        <is>
          <t>Banco egreso no Flexxus</t>
        </is>
      </c>
      <c r="D949" s="8" t="inlineStr">
        <is>
          <t>20/04/2026</t>
        </is>
      </c>
      <c r="E949" s="8" t="inlineStr">
        <is>
          <t>107390</t>
        </is>
      </c>
      <c r="F949" s="8" t="inlineStr">
        <is>
          <t>GRAVAMEN LEY 25413 S/CRED</t>
        </is>
      </c>
      <c r="G949" s="8" t="inlineStr">
        <is>
          <t>Anticipo Ganancias Ley 25.413 créditos</t>
        </is>
      </c>
      <c r="H949" s="8" t="inlineStr">
        <is>
          <t>Anticipo Impuesto a las Ganancias</t>
        </is>
      </c>
      <c r="I949" s="9" t="n">
        <v>136.66</v>
      </c>
      <c r="J949" s="9" t="inlineStr"/>
      <c r="K949" s="8" t="inlineStr">
        <is>
          <t>Copiar en Flexxus: Tipo=MB-EXT | Movimiento=GRAVAMEN LEY 25.413 S/CRED | Monto=136,66 | Fecha: 20/04/2026</t>
        </is>
      </c>
    </row>
    <row r="950">
      <c r="A950" s="8" t="inlineStr">
        <is>
          <t>PEND-22D62676A7E9-A001</t>
        </is>
      </c>
      <c r="B950" s="8" t="inlineStr">
        <is>
          <t>ABIERTO_NUEVO</t>
        </is>
      </c>
      <c r="C950" s="8" t="inlineStr">
        <is>
          <t>Banco egreso no Flexxus</t>
        </is>
      </c>
      <c r="D950" s="8" t="inlineStr">
        <is>
          <t>20/04/2026</t>
        </is>
      </c>
      <c r="E950" s="8" t="inlineStr">
        <is>
          <t>107389</t>
        </is>
      </c>
      <c r="F950" s="8" t="inlineStr">
        <is>
          <t>INGRESOS BRUTOS MENDOZA</t>
        </is>
      </c>
      <c r="G950" s="8" t="inlineStr">
        <is>
          <t>Retención Ingresos Brutos Mendoza</t>
        </is>
      </c>
      <c r="H950" s="8" t="inlineStr">
        <is>
          <t>Retención de Ingresos Brutos</t>
        </is>
      </c>
      <c r="I950" s="9" t="n">
        <v>713.03</v>
      </c>
      <c r="J950" s="9" t="inlineStr"/>
      <c r="K950" s="8" t="inlineStr">
        <is>
          <t>Copiar en Flexxus: Tipo=MB-EXT | Movimiento=INGRESOS BRUTOS MENDOZA | Monto=713,03 | Fecha: 20/04/2026</t>
        </is>
      </c>
    </row>
    <row r="951">
      <c r="A951" s="8" t="inlineStr">
        <is>
          <t>PEND-EEAB8B888D99-A001</t>
        </is>
      </c>
      <c r="B951" s="8" t="inlineStr">
        <is>
          <t>ABIERTO_NUEVO</t>
        </is>
      </c>
      <c r="C951" s="8" t="inlineStr">
        <is>
          <t>Banco egreso no Flexxus</t>
        </is>
      </c>
      <c r="D951" s="8" t="inlineStr">
        <is>
          <t>20/04/2026</t>
        </is>
      </c>
      <c r="E951" s="8" t="inlineStr">
        <is>
          <t>107389</t>
        </is>
      </c>
      <c r="F951" s="8" t="inlineStr">
        <is>
          <t>GRAVAMEN LEY 25413 S/CRED</t>
        </is>
      </c>
      <c r="G951" s="8" t="inlineStr">
        <is>
          <t>Anticipo Ganancias Ley 25.413 créditos</t>
        </is>
      </c>
      <c r="H951" s="8" t="inlineStr">
        <is>
          <t>Anticipo Impuesto a las Ganancias</t>
        </is>
      </c>
      <c r="I951" s="9" t="n">
        <v>427.82</v>
      </c>
      <c r="J951" s="9" t="inlineStr"/>
      <c r="K951" s="8" t="inlineStr">
        <is>
          <t>Copiar en Flexxus: Tipo=MB-EXT | Movimiento=GRAVAMEN LEY 25.413 S/CRED | Monto=427,82 | Fecha: 20/04/2026</t>
        </is>
      </c>
    </row>
    <row r="952">
      <c r="A952" s="8" t="inlineStr">
        <is>
          <t>PEND-784B0DF2D8D5-A001</t>
        </is>
      </c>
      <c r="B952" s="8" t="inlineStr">
        <is>
          <t>ABIERTO_NUEVO</t>
        </is>
      </c>
      <c r="C952" s="8" t="inlineStr">
        <is>
          <t>Banco egreso no Flexxus</t>
        </is>
      </c>
      <c r="D952" s="8" t="inlineStr">
        <is>
          <t>20/04/2026</t>
        </is>
      </c>
      <c r="E952" s="8" t="inlineStr">
        <is>
          <t>107388</t>
        </is>
      </c>
      <c r="F952" s="8" t="inlineStr">
        <is>
          <t>INGRESOS BRUTOS MENDOZA</t>
        </is>
      </c>
      <c r="G952" s="8" t="inlineStr">
        <is>
          <t>Retención Ingresos Brutos Mendoza</t>
        </is>
      </c>
      <c r="H952" s="8" t="inlineStr">
        <is>
          <t>Retención de Ingresos Brutos</t>
        </is>
      </c>
      <c r="I952" s="9" t="n">
        <v>413.95</v>
      </c>
      <c r="J952" s="9" t="inlineStr"/>
      <c r="K952" s="8" t="inlineStr">
        <is>
          <t>Copiar en Flexxus: Tipo=MB-EXT | Movimiento=INGRESOS BRUTOS MENDOZA | Monto=413,95 | Fecha: 20/04/2026</t>
        </is>
      </c>
    </row>
    <row r="953">
      <c r="A953" s="8" t="inlineStr">
        <is>
          <t>PEND-3D6ADC4A8DE5-A001</t>
        </is>
      </c>
      <c r="B953" s="8" t="inlineStr">
        <is>
          <t>ABIERTO_NUEVO</t>
        </is>
      </c>
      <c r="C953" s="8" t="inlineStr">
        <is>
          <t>Banco egreso no Flexxus</t>
        </is>
      </c>
      <c r="D953" s="8" t="inlineStr">
        <is>
          <t>20/04/2026</t>
        </is>
      </c>
      <c r="E953" s="8" t="inlineStr">
        <is>
          <t>107388</t>
        </is>
      </c>
      <c r="F953" s="8" t="inlineStr">
        <is>
          <t>GRAVAMEN LEY 25413 S/CRED</t>
        </is>
      </c>
      <c r="G953" s="8" t="inlineStr">
        <is>
          <t>Anticipo Ganancias Ley 25.413 créditos</t>
        </is>
      </c>
      <c r="H953" s="8" t="inlineStr">
        <is>
          <t>Anticipo Impuesto a las Ganancias</t>
        </is>
      </c>
      <c r="I953" s="9" t="n">
        <v>248.37</v>
      </c>
      <c r="J953" s="9" t="inlineStr"/>
      <c r="K953" s="8" t="inlineStr">
        <is>
          <t>Copiar en Flexxus: Tipo=MB-EXT | Movimiento=GRAVAMEN LEY 25.413 S/CRED | Monto=248,37 | Fecha: 20/04/2026</t>
        </is>
      </c>
    </row>
    <row r="954">
      <c r="A954" s="8" t="inlineStr">
        <is>
          <t>PEND-9E17873D8B76-A001</t>
        </is>
      </c>
      <c r="B954" s="8" t="inlineStr">
        <is>
          <t>ABIERTO_NUEVO</t>
        </is>
      </c>
      <c r="C954" s="8" t="inlineStr">
        <is>
          <t>Banco egreso no Flexxus</t>
        </is>
      </c>
      <c r="D954" s="8" t="inlineStr">
        <is>
          <t>20/04/2026</t>
        </is>
      </c>
      <c r="E954" s="8" t="inlineStr">
        <is>
          <t>107387</t>
        </is>
      </c>
      <c r="F954" s="8" t="inlineStr">
        <is>
          <t>INGRESOS BRUTOS MENDOZA</t>
        </is>
      </c>
      <c r="G954" s="8" t="inlineStr">
        <is>
          <t>Retención Ingresos Brutos Mendoza</t>
        </is>
      </c>
      <c r="H954" s="8" t="inlineStr">
        <is>
          <t>Retención de Ingresos Brutos</t>
        </is>
      </c>
      <c r="I954" s="9" t="n">
        <v>83.19</v>
      </c>
      <c r="J954" s="9" t="inlineStr"/>
      <c r="K954" s="8" t="inlineStr">
        <is>
          <t>Copiar en Flexxus: Tipo=MB-EXT | Movimiento=INGRESOS BRUTOS MENDOZA | Monto=83,19 | Fecha: 20/04/2026</t>
        </is>
      </c>
    </row>
    <row r="955">
      <c r="A955" s="8" t="inlineStr">
        <is>
          <t>PEND-D0E2F6459C25-A001</t>
        </is>
      </c>
      <c r="B955" s="8" t="inlineStr">
        <is>
          <t>ABIERTO_NUEVO</t>
        </is>
      </c>
      <c r="C955" s="8" t="inlineStr">
        <is>
          <t>Banco egreso no Flexxus</t>
        </is>
      </c>
      <c r="D955" s="8" t="inlineStr">
        <is>
          <t>20/04/2026</t>
        </is>
      </c>
      <c r="E955" s="8" t="inlineStr">
        <is>
          <t>107387</t>
        </is>
      </c>
      <c r="F955" s="8" t="inlineStr">
        <is>
          <t>GRAVAMEN LEY 25413 S/CRED</t>
        </is>
      </c>
      <c r="G955" s="8" t="inlineStr">
        <is>
          <t>Anticipo Ganancias Ley 25.413 créditos</t>
        </is>
      </c>
      <c r="H955" s="8" t="inlineStr">
        <is>
          <t>Anticipo Impuesto a las Ganancias</t>
        </is>
      </c>
      <c r="I955" s="9" t="n">
        <v>49.91</v>
      </c>
      <c r="J955" s="9" t="inlineStr"/>
      <c r="K955" s="8" t="inlineStr">
        <is>
          <t>Copiar en Flexxus: Tipo=MB-EXT | Movimiento=GRAVAMEN LEY 25.413 S/CRED | Monto=49,91 | Fecha: 20/04/2026</t>
        </is>
      </c>
    </row>
    <row r="956">
      <c r="A956" s="8" t="inlineStr">
        <is>
          <t>PEND-5EAB39B9A733-A001</t>
        </is>
      </c>
      <c r="B956" s="8" t="inlineStr">
        <is>
          <t>ABIERTO_NUEVO</t>
        </is>
      </c>
      <c r="C956" s="8" t="inlineStr">
        <is>
          <t>Banco egreso no Flexxus</t>
        </is>
      </c>
      <c r="D956" s="8" t="inlineStr">
        <is>
          <t>20/04/2026</t>
        </is>
      </c>
      <c r="E956" s="8" t="inlineStr">
        <is>
          <t>107386</t>
        </is>
      </c>
      <c r="F956" s="8" t="inlineStr">
        <is>
          <t>INGRESOS BRUTOS MENDOZA</t>
        </is>
      </c>
      <c r="G956" s="8" t="inlineStr">
        <is>
          <t>Retención Ingresos Brutos Mendoza</t>
        </is>
      </c>
      <c r="H956" s="8" t="inlineStr">
        <is>
          <t>Retención de Ingresos Brutos</t>
        </is>
      </c>
      <c r="I956" s="9" t="n">
        <v>314.92</v>
      </c>
      <c r="J956" s="9" t="inlineStr"/>
      <c r="K956" s="8" t="inlineStr">
        <is>
          <t>Copiar en Flexxus: Tipo=MB-EXT | Movimiento=INGRESOS BRUTOS MENDOZA | Monto=314,92 | Fecha: 20/04/2026</t>
        </is>
      </c>
    </row>
    <row r="957">
      <c r="A957" s="8" t="inlineStr">
        <is>
          <t>PEND-F28C012FD742-A001</t>
        </is>
      </c>
      <c r="B957" s="8" t="inlineStr">
        <is>
          <t>ABIERTO_NUEVO</t>
        </is>
      </c>
      <c r="C957" s="8" t="inlineStr">
        <is>
          <t>Banco egreso no Flexxus</t>
        </is>
      </c>
      <c r="D957" s="8" t="inlineStr">
        <is>
          <t>20/04/2026</t>
        </is>
      </c>
      <c r="E957" s="8" t="inlineStr">
        <is>
          <t>107386</t>
        </is>
      </c>
      <c r="F957" s="8" t="inlineStr">
        <is>
          <t>GRAVAMEN LEY 25413 S/CRED</t>
        </is>
      </c>
      <c r="G957" s="8" t="inlineStr">
        <is>
          <t>Anticipo Ganancias Ley 25.413 créditos</t>
        </is>
      </c>
      <c r="H957" s="8" t="inlineStr">
        <is>
          <t>Anticipo Impuesto a las Ganancias</t>
        </is>
      </c>
      <c r="I957" s="9" t="n">
        <v>188.95</v>
      </c>
      <c r="J957" s="9" t="inlineStr"/>
      <c r="K957" s="8" t="inlineStr">
        <is>
          <t>Copiar en Flexxus: Tipo=MB-EXT | Movimiento=GRAVAMEN LEY 25.413 S/CRED | Monto=188,95 | Fecha: 20/04/2026</t>
        </is>
      </c>
    </row>
    <row r="958">
      <c r="A958" s="8" t="inlineStr">
        <is>
          <t>PEND-E933ECCEF1DD-A001</t>
        </is>
      </c>
      <c r="B958" s="8" t="inlineStr">
        <is>
          <t>ABIERTO_NUEVO</t>
        </is>
      </c>
      <c r="C958" s="8" t="inlineStr">
        <is>
          <t>Banco egreso no Flexxus</t>
        </is>
      </c>
      <c r="D958" s="8" t="inlineStr">
        <is>
          <t>20/04/2026</t>
        </is>
      </c>
      <c r="E958" s="8" t="inlineStr">
        <is>
          <t>107385</t>
        </is>
      </c>
      <c r="F958" s="8" t="inlineStr">
        <is>
          <t>INGRESOS BRUTOS MENDOZA</t>
        </is>
      </c>
      <c r="G958" s="8" t="inlineStr">
        <is>
          <t>Retención Ingresos Brutos Mendoza</t>
        </is>
      </c>
      <c r="H958" s="8" t="inlineStr">
        <is>
          <t>Retención de Ingresos Brutos</t>
        </is>
      </c>
      <c r="I958" s="9" t="n">
        <v>247.58</v>
      </c>
      <c r="J958" s="9" t="inlineStr"/>
      <c r="K958" s="8" t="inlineStr">
        <is>
          <t>Copiar en Flexxus: Tipo=MB-EXT | Movimiento=INGRESOS BRUTOS MENDOZA | Monto=247,58 | Fecha: 20/04/2026</t>
        </is>
      </c>
    </row>
    <row r="959">
      <c r="A959" s="8" t="inlineStr">
        <is>
          <t>PEND-4FEB63D9429F-A001</t>
        </is>
      </c>
      <c r="B959" s="8" t="inlineStr">
        <is>
          <t>ABIERTO_NUEVO</t>
        </is>
      </c>
      <c r="C959" s="8" t="inlineStr">
        <is>
          <t>Banco egreso no Flexxus</t>
        </is>
      </c>
      <c r="D959" s="8" t="inlineStr">
        <is>
          <t>20/04/2026</t>
        </is>
      </c>
      <c r="E959" s="8" t="inlineStr">
        <is>
          <t>107385</t>
        </is>
      </c>
      <c r="F959" s="8" t="inlineStr">
        <is>
          <t>GRAVAMEN LEY 25413 S/CRED</t>
        </is>
      </c>
      <c r="G959" s="8" t="inlineStr">
        <is>
          <t>Anticipo Ganancias Ley 25.413 créditos</t>
        </is>
      </c>
      <c r="H959" s="8" t="inlineStr">
        <is>
          <t>Anticipo Impuesto a las Ganancias</t>
        </is>
      </c>
      <c r="I959" s="9" t="n">
        <v>148.55</v>
      </c>
      <c r="J959" s="9" t="inlineStr"/>
      <c r="K959" s="8" t="inlineStr">
        <is>
          <t>Copiar en Flexxus: Tipo=MB-EXT | Movimiento=GRAVAMEN LEY 25.413 S/CRED | Monto=148,55 | Fecha: 20/04/2026</t>
        </is>
      </c>
    </row>
    <row r="960">
      <c r="A960" s="8" t="inlineStr">
        <is>
          <t>PEND-A13A0C96159B-A001</t>
        </is>
      </c>
      <c r="B960" s="8" t="inlineStr">
        <is>
          <t>ABIERTO_NUEVO</t>
        </is>
      </c>
      <c r="C960" s="8" t="inlineStr">
        <is>
          <t>Banco egreso no Flexxus</t>
        </is>
      </c>
      <c r="D960" s="8" t="inlineStr">
        <is>
          <t>20/04/2026</t>
        </is>
      </c>
      <c r="E960" s="8" t="inlineStr">
        <is>
          <t>107384</t>
        </is>
      </c>
      <c r="F960" s="8" t="inlineStr">
        <is>
          <t>INGRESOS BRUTOS MENDOZA</t>
        </is>
      </c>
      <c r="G960" s="8" t="inlineStr">
        <is>
          <t>Retención Ingresos Brutos Mendoza</t>
        </is>
      </c>
      <c r="H960" s="8" t="inlineStr">
        <is>
          <t>Retención de Ingresos Brutos</t>
        </is>
      </c>
      <c r="I960" s="9" t="n">
        <v>267.39</v>
      </c>
      <c r="J960" s="9" t="inlineStr"/>
      <c r="K960" s="8" t="inlineStr">
        <is>
          <t>Copiar en Flexxus: Tipo=MB-EXT | Movimiento=INGRESOS BRUTOS MENDOZA | Monto=267,39 | Fecha: 20/04/2026</t>
        </is>
      </c>
    </row>
    <row r="961">
      <c r="A961" s="8" t="inlineStr">
        <is>
          <t>PEND-0335DC521291-A001</t>
        </is>
      </c>
      <c r="B961" s="8" t="inlineStr">
        <is>
          <t>ABIERTO_NUEVO</t>
        </is>
      </c>
      <c r="C961" s="8" t="inlineStr">
        <is>
          <t>Banco egreso no Flexxus</t>
        </is>
      </c>
      <c r="D961" s="8" t="inlineStr">
        <is>
          <t>20/04/2026</t>
        </is>
      </c>
      <c r="E961" s="8" t="inlineStr">
        <is>
          <t>107384</t>
        </is>
      </c>
      <c r="F961" s="8" t="inlineStr">
        <is>
          <t>GRAVAMEN LEY 25413 S/CRED</t>
        </is>
      </c>
      <c r="G961" s="8" t="inlineStr">
        <is>
          <t>Anticipo Ganancias Ley 25.413 créditos</t>
        </is>
      </c>
      <c r="H961" s="8" t="inlineStr">
        <is>
          <t>Anticipo Impuesto a las Ganancias</t>
        </is>
      </c>
      <c r="I961" s="9" t="n">
        <v>160.43</v>
      </c>
      <c r="J961" s="9" t="inlineStr"/>
      <c r="K961" s="8" t="inlineStr">
        <is>
          <t>Copiar en Flexxus: Tipo=MB-EXT | Movimiento=GRAVAMEN LEY 25.413 S/CRED | Monto=160,43 | Fecha: 20/04/2026</t>
        </is>
      </c>
    </row>
    <row r="962">
      <c r="A962" s="8" t="inlineStr">
        <is>
          <t>PEND-58543F406674-A001</t>
        </is>
      </c>
      <c r="B962" s="8" t="inlineStr">
        <is>
          <t>ABIERTO_NUEVO</t>
        </is>
      </c>
      <c r="C962" s="8" t="inlineStr">
        <is>
          <t>Banco egreso no Flexxus</t>
        </is>
      </c>
      <c r="D962" s="8" t="inlineStr">
        <is>
          <t>20/04/2026</t>
        </is>
      </c>
      <c r="E962" s="8" t="inlineStr">
        <is>
          <t>107383</t>
        </is>
      </c>
      <c r="F962" s="8" t="inlineStr">
        <is>
          <t>INGRESOS BRUTOS MENDOZA</t>
        </is>
      </c>
      <c r="G962" s="8" t="inlineStr">
        <is>
          <t>Retención Ingresos Brutos Mendoza</t>
        </is>
      </c>
      <c r="H962" s="8" t="inlineStr">
        <is>
          <t>Retención de Ingresos Brutos</t>
        </is>
      </c>
      <c r="I962" s="9" t="n">
        <v>77.25</v>
      </c>
      <c r="J962" s="9" t="inlineStr"/>
      <c r="K962" s="8" t="inlineStr">
        <is>
          <t>Copiar en Flexxus: Tipo=MB-EXT | Movimiento=INGRESOS BRUTOS MENDOZA | Monto=77,25 | Fecha: 20/04/2026</t>
        </is>
      </c>
    </row>
    <row r="963">
      <c r="A963" s="8" t="inlineStr">
        <is>
          <t>PEND-BBD002BD472C-A001</t>
        </is>
      </c>
      <c r="B963" s="8" t="inlineStr">
        <is>
          <t>ABIERTO_NUEVO</t>
        </is>
      </c>
      <c r="C963" s="8" t="inlineStr">
        <is>
          <t>Banco egreso no Flexxus</t>
        </is>
      </c>
      <c r="D963" s="8" t="inlineStr">
        <is>
          <t>20/04/2026</t>
        </is>
      </c>
      <c r="E963" s="8" t="inlineStr">
        <is>
          <t>107383</t>
        </is>
      </c>
      <c r="F963" s="8" t="inlineStr">
        <is>
          <t>GRAVAMEN LEY 25413 S/CRED</t>
        </is>
      </c>
      <c r="G963" s="8" t="inlineStr">
        <is>
          <t>Anticipo Ganancias Ley 25.413 créditos</t>
        </is>
      </c>
      <c r="H963" s="8" t="inlineStr">
        <is>
          <t>Anticipo Impuesto a las Ganancias</t>
        </is>
      </c>
      <c r="I963" s="9" t="n">
        <v>46.35</v>
      </c>
      <c r="J963" s="9" t="inlineStr"/>
      <c r="K963" s="8" t="inlineStr">
        <is>
          <t>Copiar en Flexxus: Tipo=MB-EXT | Movimiento=GRAVAMEN LEY 25.413 S/CRED | Monto=46,35 | Fecha: 20/04/2026</t>
        </is>
      </c>
    </row>
    <row r="964">
      <c r="A964" s="8" t="inlineStr">
        <is>
          <t>PEND-EFE3FFFFD162-A001</t>
        </is>
      </c>
      <c r="B964" s="8" t="inlineStr">
        <is>
          <t>ABIERTO_NUEVO</t>
        </is>
      </c>
      <c r="C964" s="8" t="inlineStr">
        <is>
          <t>Banco egreso no Flexxus</t>
        </is>
      </c>
      <c r="D964" s="8" t="inlineStr">
        <is>
          <t>20/04/2026</t>
        </is>
      </c>
      <c r="E964" s="8" t="inlineStr">
        <is>
          <t>107382</t>
        </is>
      </c>
      <c r="F964" s="8" t="inlineStr">
        <is>
          <t>INGRESOS BRUTOS MENDOZA</t>
        </is>
      </c>
      <c r="G964" s="8" t="inlineStr">
        <is>
          <t>Retención Ingresos Brutos Mendoza</t>
        </is>
      </c>
      <c r="H964" s="8" t="inlineStr">
        <is>
          <t>Retención de Ingresos Brutos</t>
        </is>
      </c>
      <c r="I964" s="9" t="n">
        <v>267.39</v>
      </c>
      <c r="J964" s="9" t="inlineStr"/>
      <c r="K964" s="8" t="inlineStr">
        <is>
          <t>Copiar en Flexxus: Tipo=MB-EXT | Movimiento=INGRESOS BRUTOS MENDOZA | Monto=267,39 | Fecha: 20/04/2026</t>
        </is>
      </c>
    </row>
    <row r="965">
      <c r="A965" s="8" t="inlineStr">
        <is>
          <t>PEND-6760EB64C9B2-A001</t>
        </is>
      </c>
      <c r="B965" s="8" t="inlineStr">
        <is>
          <t>ABIERTO_NUEVO</t>
        </is>
      </c>
      <c r="C965" s="8" t="inlineStr">
        <is>
          <t>Banco egreso no Flexxus</t>
        </is>
      </c>
      <c r="D965" s="8" t="inlineStr">
        <is>
          <t>20/04/2026</t>
        </is>
      </c>
      <c r="E965" s="8" t="inlineStr">
        <is>
          <t>107382</t>
        </is>
      </c>
      <c r="F965" s="8" t="inlineStr">
        <is>
          <t>GRAVAMEN LEY 25413 S/CRED</t>
        </is>
      </c>
      <c r="G965" s="8" t="inlineStr">
        <is>
          <t>Anticipo Ganancias Ley 25.413 créditos</t>
        </is>
      </c>
      <c r="H965" s="8" t="inlineStr">
        <is>
          <t>Anticipo Impuesto a las Ganancias</t>
        </is>
      </c>
      <c r="I965" s="9" t="n">
        <v>160.43</v>
      </c>
      <c r="J965" s="9" t="inlineStr"/>
      <c r="K965" s="8" t="inlineStr">
        <is>
          <t>Copiar en Flexxus: Tipo=MB-EXT | Movimiento=GRAVAMEN LEY 25.413 S/CRED | Monto=160,43 | Fecha: 20/04/2026</t>
        </is>
      </c>
    </row>
    <row r="966">
      <c r="A966" s="8" t="inlineStr">
        <is>
          <t>PEND-A5DDD11D1694-A001</t>
        </is>
      </c>
      <c r="B966" s="8" t="inlineStr">
        <is>
          <t>ABIERTO_NUEVO</t>
        </is>
      </c>
      <c r="C966" s="8" t="inlineStr">
        <is>
          <t>Banco egreso no Flexxus</t>
        </is>
      </c>
      <c r="D966" s="8" t="inlineStr">
        <is>
          <t>20/04/2026</t>
        </is>
      </c>
      <c r="E966" s="8" t="inlineStr">
        <is>
          <t>107381</t>
        </is>
      </c>
      <c r="F966" s="8" t="inlineStr">
        <is>
          <t>INGRESOS BRUTOS MENDOZA</t>
        </is>
      </c>
      <c r="G966" s="8" t="inlineStr">
        <is>
          <t>Retención Ingresos Brutos Mendoza</t>
        </is>
      </c>
      <c r="H966" s="8" t="inlineStr">
        <is>
          <t>Retención de Ingresos Brutos</t>
        </is>
      </c>
      <c r="I966" s="9" t="n">
        <v>267.39</v>
      </c>
      <c r="J966" s="9" t="inlineStr"/>
      <c r="K966" s="8" t="inlineStr">
        <is>
          <t>Copiar en Flexxus: Tipo=MB-EXT | Movimiento=INGRESOS BRUTOS MENDOZA | Monto=267,39 | Fecha: 20/04/2026</t>
        </is>
      </c>
    </row>
    <row r="967">
      <c r="A967" s="8" t="inlineStr">
        <is>
          <t>PEND-0ECEFED690C3-A001</t>
        </is>
      </c>
      <c r="B967" s="8" t="inlineStr">
        <is>
          <t>ABIERTO_NUEVO</t>
        </is>
      </c>
      <c r="C967" s="8" t="inlineStr">
        <is>
          <t>Banco egreso no Flexxus</t>
        </is>
      </c>
      <c r="D967" s="8" t="inlineStr">
        <is>
          <t>20/04/2026</t>
        </is>
      </c>
      <c r="E967" s="8" t="inlineStr">
        <is>
          <t>107381</t>
        </is>
      </c>
      <c r="F967" s="8" t="inlineStr">
        <is>
          <t>GRAVAMEN LEY 25413 S/CRED</t>
        </is>
      </c>
      <c r="G967" s="8" t="inlineStr">
        <is>
          <t>Anticipo Ganancias Ley 25.413 créditos</t>
        </is>
      </c>
      <c r="H967" s="8" t="inlineStr">
        <is>
          <t>Anticipo Impuesto a las Ganancias</t>
        </is>
      </c>
      <c r="I967" s="9" t="n">
        <v>160.43</v>
      </c>
      <c r="J967" s="9" t="inlineStr"/>
      <c r="K967" s="8" t="inlineStr">
        <is>
          <t>Copiar en Flexxus: Tipo=MB-EXT | Movimiento=GRAVAMEN LEY 25.413 S/CRED | Monto=160,43 | Fecha: 20/04/2026</t>
        </is>
      </c>
    </row>
    <row r="968">
      <c r="A968" s="8" t="inlineStr">
        <is>
          <t>PEND-1F53E5293A25-A001</t>
        </is>
      </c>
      <c r="B968" s="8" t="inlineStr">
        <is>
          <t>ABIERTO_NUEVO</t>
        </is>
      </c>
      <c r="C968" s="8" t="inlineStr">
        <is>
          <t>Banco egreso no Flexxus</t>
        </is>
      </c>
      <c r="D968" s="8" t="inlineStr">
        <is>
          <t>20/04/2026</t>
        </is>
      </c>
      <c r="E968" s="8" t="inlineStr">
        <is>
          <t>107380</t>
        </is>
      </c>
      <c r="F968" s="8" t="inlineStr">
        <is>
          <t>INGRESOS BRUTOS MENDOZA</t>
        </is>
      </c>
      <c r="G968" s="8" t="inlineStr">
        <is>
          <t>Retención Ingresos Brutos Mendoza</t>
        </is>
      </c>
      <c r="H968" s="8" t="inlineStr">
        <is>
          <t>Retención de Ingresos Brutos</t>
        </is>
      </c>
      <c r="I968" s="9" t="n">
        <v>267.39</v>
      </c>
      <c r="J968" s="9" t="inlineStr"/>
      <c r="K968" s="8" t="inlineStr">
        <is>
          <t>Copiar en Flexxus: Tipo=MB-EXT | Movimiento=INGRESOS BRUTOS MENDOZA | Monto=267,39 | Fecha: 20/04/2026</t>
        </is>
      </c>
    </row>
    <row r="969">
      <c r="A969" s="8" t="inlineStr">
        <is>
          <t>PEND-DB253C4B33ED-A001</t>
        </is>
      </c>
      <c r="B969" s="8" t="inlineStr">
        <is>
          <t>ABIERTO_NUEVO</t>
        </is>
      </c>
      <c r="C969" s="8" t="inlineStr">
        <is>
          <t>Banco egreso no Flexxus</t>
        </is>
      </c>
      <c r="D969" s="8" t="inlineStr">
        <is>
          <t>20/04/2026</t>
        </is>
      </c>
      <c r="E969" s="8" t="inlineStr">
        <is>
          <t>107380</t>
        </is>
      </c>
      <c r="F969" s="8" t="inlineStr">
        <is>
          <t>GRAVAMEN LEY 25413 S/CRED</t>
        </is>
      </c>
      <c r="G969" s="8" t="inlineStr">
        <is>
          <t>Anticipo Ganancias Ley 25.413 créditos</t>
        </is>
      </c>
      <c r="H969" s="8" t="inlineStr">
        <is>
          <t>Anticipo Impuesto a las Ganancias</t>
        </is>
      </c>
      <c r="I969" s="9" t="n">
        <v>160.43</v>
      </c>
      <c r="J969" s="9" t="inlineStr"/>
      <c r="K969" s="8" t="inlineStr">
        <is>
          <t>Copiar en Flexxus: Tipo=MB-EXT | Movimiento=GRAVAMEN LEY 25.413 S/CRED | Monto=160,43 | Fecha: 20/04/2026</t>
        </is>
      </c>
    </row>
    <row r="970">
      <c r="A970" s="8" t="inlineStr">
        <is>
          <t>PEND-7508CB59B0AB-A001</t>
        </is>
      </c>
      <c r="B970" s="8" t="inlineStr">
        <is>
          <t>ABIERTO_NUEVO</t>
        </is>
      </c>
      <c r="C970" s="8" t="inlineStr">
        <is>
          <t>Banco egreso no Flexxus</t>
        </is>
      </c>
      <c r="D970" s="8" t="inlineStr">
        <is>
          <t>20/04/2026</t>
        </is>
      </c>
      <c r="E970" s="8" t="inlineStr">
        <is>
          <t>107379</t>
        </is>
      </c>
      <c r="F970" s="8" t="inlineStr">
        <is>
          <t>INGRESOS BRUTOS MENDOZA</t>
        </is>
      </c>
      <c r="G970" s="8" t="inlineStr">
        <is>
          <t>Retención Ingresos Brutos Mendoza</t>
        </is>
      </c>
      <c r="H970" s="8" t="inlineStr">
        <is>
          <t>Retención de Ingresos Brutos</t>
        </is>
      </c>
      <c r="I970" s="9" t="n">
        <v>113.89</v>
      </c>
      <c r="J970" s="9" t="inlineStr"/>
      <c r="K970" s="8" t="inlineStr">
        <is>
          <t>Copiar en Flexxus: Tipo=MB-EXT | Movimiento=INGRESOS BRUTOS MENDOZA | Monto=113,89 | Fecha: 20/04/2026</t>
        </is>
      </c>
    </row>
    <row r="971">
      <c r="A971" s="8" t="inlineStr">
        <is>
          <t>PEND-33AEE42A1C12-A001</t>
        </is>
      </c>
      <c r="B971" s="8" t="inlineStr">
        <is>
          <t>ABIERTO_NUEVO</t>
        </is>
      </c>
      <c r="C971" s="8" t="inlineStr">
        <is>
          <t>Banco egreso no Flexxus</t>
        </is>
      </c>
      <c r="D971" s="8" t="inlineStr">
        <is>
          <t>20/04/2026</t>
        </is>
      </c>
      <c r="E971" s="8" t="inlineStr">
        <is>
          <t>107379</t>
        </is>
      </c>
      <c r="F971" s="8" t="inlineStr">
        <is>
          <t>GRAVAMEN LEY 25413 S/CRED</t>
        </is>
      </c>
      <c r="G971" s="8" t="inlineStr">
        <is>
          <t>Anticipo Ganancias Ley 25.413 créditos</t>
        </is>
      </c>
      <c r="H971" s="8" t="inlineStr">
        <is>
          <t>Anticipo Impuesto a las Ganancias</t>
        </is>
      </c>
      <c r="I971" s="9" t="n">
        <v>68.33</v>
      </c>
      <c r="J971" s="9" t="inlineStr"/>
      <c r="K971" s="8" t="inlineStr">
        <is>
          <t>Copiar en Flexxus: Tipo=MB-EXT | Movimiento=GRAVAMEN LEY 25.413 S/CRED | Monto=68,33 | Fecha: 20/04/2026</t>
        </is>
      </c>
    </row>
    <row r="972">
      <c r="A972" s="8" t="inlineStr">
        <is>
          <t>PEND-270E2AC780C9-A001</t>
        </is>
      </c>
      <c r="B972" s="8" t="inlineStr">
        <is>
          <t>ABIERTO_NUEVO</t>
        </is>
      </c>
      <c r="C972" s="8" t="inlineStr">
        <is>
          <t>Banco egreso no Flexxus</t>
        </is>
      </c>
      <c r="D972" s="8" t="inlineStr">
        <is>
          <t>20/04/2026</t>
        </is>
      </c>
      <c r="E972" s="8" t="inlineStr">
        <is>
          <t>107378</t>
        </is>
      </c>
      <c r="F972" s="8" t="inlineStr">
        <is>
          <t>INGRESOS BRUTOS MENDOZA</t>
        </is>
      </c>
      <c r="G972" s="8" t="inlineStr">
        <is>
          <t>Retención Ingresos Brutos Mendoza</t>
        </is>
      </c>
      <c r="H972" s="8" t="inlineStr">
        <is>
          <t>Retención de Ingresos Brutos</t>
        </is>
      </c>
      <c r="I972" s="9" t="n">
        <v>263.33</v>
      </c>
      <c r="J972" s="9" t="inlineStr"/>
      <c r="K972" s="8" t="inlineStr">
        <is>
          <t>Copiar en Flexxus: Tipo=MB-EXT | Movimiento=INGRESOS BRUTOS MENDOZA | Monto=263,33 | Fecha: 20/04/2026</t>
        </is>
      </c>
    </row>
    <row r="973">
      <c r="A973" s="8" t="inlineStr">
        <is>
          <t>PEND-33B5014A898B-A001</t>
        </is>
      </c>
      <c r="B973" s="8" t="inlineStr">
        <is>
          <t>ABIERTO_NUEVO</t>
        </is>
      </c>
      <c r="C973" s="8" t="inlineStr">
        <is>
          <t>Banco egreso no Flexxus</t>
        </is>
      </c>
      <c r="D973" s="8" t="inlineStr">
        <is>
          <t>20/04/2026</t>
        </is>
      </c>
      <c r="E973" s="8" t="inlineStr">
        <is>
          <t>107378</t>
        </is>
      </c>
      <c r="F973" s="8" t="inlineStr">
        <is>
          <t>GRAVAMEN LEY 25413 S/CRED</t>
        </is>
      </c>
      <c r="G973" s="8" t="inlineStr">
        <is>
          <t>Anticipo Ganancias Ley 25.413 créditos</t>
        </is>
      </c>
      <c r="H973" s="8" t="inlineStr">
        <is>
          <t>Anticipo Impuesto a las Ganancias</t>
        </is>
      </c>
      <c r="I973" s="9" t="n">
        <v>158</v>
      </c>
      <c r="J973" s="9" t="inlineStr"/>
      <c r="K973" s="8" t="inlineStr">
        <is>
          <t>Copiar en Flexxus: Tipo=MB-EXT | Movimiento=GRAVAMEN LEY 25.413 S/CRED | Monto=158,00 | Fecha: 20/04/2026</t>
        </is>
      </c>
    </row>
    <row r="974">
      <c r="A974" s="8" t="inlineStr">
        <is>
          <t>PEND-E680A119BD42-A001</t>
        </is>
      </c>
      <c r="B974" s="8" t="inlineStr">
        <is>
          <t>ABIERTO_NUEVO</t>
        </is>
      </c>
      <c r="C974" s="8" t="inlineStr">
        <is>
          <t>Banco egreso no Flexxus</t>
        </is>
      </c>
      <c r="D974" s="8" t="inlineStr">
        <is>
          <t>20/04/2026</t>
        </is>
      </c>
      <c r="E974" s="8" t="inlineStr">
        <is>
          <t>107377</t>
        </is>
      </c>
      <c r="F974" s="8" t="inlineStr">
        <is>
          <t>INGRESOS BRUTOS MENDOZA</t>
        </is>
      </c>
      <c r="G974" s="8" t="inlineStr">
        <is>
          <t>Retención Ingresos Brutos Mendoza</t>
        </is>
      </c>
      <c r="H974" s="8" t="inlineStr">
        <is>
          <t>Retención de Ingresos Brutos</t>
        </is>
      </c>
      <c r="I974" s="9" t="n">
        <v>267.39</v>
      </c>
      <c r="J974" s="9" t="inlineStr"/>
      <c r="K974" s="8" t="inlineStr">
        <is>
          <t>Copiar en Flexxus: Tipo=MB-EXT | Movimiento=INGRESOS BRUTOS MENDOZA | Monto=267,39 | Fecha: 20/04/2026</t>
        </is>
      </c>
    </row>
    <row r="975">
      <c r="A975" s="8" t="inlineStr">
        <is>
          <t>PEND-3A88CDDC3630-A001</t>
        </is>
      </c>
      <c r="B975" s="8" t="inlineStr">
        <is>
          <t>ABIERTO_NUEVO</t>
        </is>
      </c>
      <c r="C975" s="8" t="inlineStr">
        <is>
          <t>Banco egreso no Flexxus</t>
        </is>
      </c>
      <c r="D975" s="8" t="inlineStr">
        <is>
          <t>20/04/2026</t>
        </is>
      </c>
      <c r="E975" s="8" t="inlineStr">
        <is>
          <t>107377</t>
        </is>
      </c>
      <c r="F975" s="8" t="inlineStr">
        <is>
          <t>GRAVAMEN LEY 25413 S/CRED</t>
        </is>
      </c>
      <c r="G975" s="8" t="inlineStr">
        <is>
          <t>Anticipo Ganancias Ley 25.413 créditos</t>
        </is>
      </c>
      <c r="H975" s="8" t="inlineStr">
        <is>
          <t>Anticipo Impuesto a las Ganancias</t>
        </is>
      </c>
      <c r="I975" s="9" t="n">
        <v>160.43</v>
      </c>
      <c r="J975" s="9" t="inlineStr"/>
      <c r="K975" s="8" t="inlineStr">
        <is>
          <t>Copiar en Flexxus: Tipo=MB-EXT | Movimiento=GRAVAMEN LEY 25.413 S/CRED | Monto=160,43 | Fecha: 20/04/2026</t>
        </is>
      </c>
    </row>
    <row r="976">
      <c r="A976" s="8" t="inlineStr">
        <is>
          <t>PEND-06ECFCD98FC5-A001</t>
        </is>
      </c>
      <c r="B976" s="8" t="inlineStr">
        <is>
          <t>ABIERTO_NUEVO</t>
        </is>
      </c>
      <c r="C976" s="8" t="inlineStr">
        <is>
          <t>Banco egreso no Flexxus</t>
        </is>
      </c>
      <c r="D976" s="8" t="inlineStr">
        <is>
          <t>20/04/2026</t>
        </is>
      </c>
      <c r="E976" s="8" t="inlineStr">
        <is>
          <t>107376</t>
        </is>
      </c>
      <c r="F976" s="8" t="inlineStr">
        <is>
          <t>INGRESOS BRUTOS MENDOZA</t>
        </is>
      </c>
      <c r="G976" s="8" t="inlineStr">
        <is>
          <t>Retención Ingresos Brutos Mendoza</t>
        </is>
      </c>
      <c r="H976" s="8" t="inlineStr">
        <is>
          <t>Retención de Ingresos Brutos</t>
        </is>
      </c>
      <c r="I976" s="9" t="n">
        <v>697.1900000000001</v>
      </c>
      <c r="J976" s="9" t="inlineStr"/>
      <c r="K976" s="8" t="inlineStr">
        <is>
          <t>Copiar en Flexxus: Tipo=MB-EXT | Movimiento=INGRESOS BRUTOS MENDOZA | Monto=697,19 | Fecha: 20/04/2026</t>
        </is>
      </c>
    </row>
    <row r="977">
      <c r="A977" s="8" t="inlineStr">
        <is>
          <t>PEND-789D4D395317-A001</t>
        </is>
      </c>
      <c r="B977" s="8" t="inlineStr">
        <is>
          <t>ABIERTO_NUEVO</t>
        </is>
      </c>
      <c r="C977" s="8" t="inlineStr">
        <is>
          <t>Banco egreso no Flexxus</t>
        </is>
      </c>
      <c r="D977" s="8" t="inlineStr">
        <is>
          <t>20/04/2026</t>
        </is>
      </c>
      <c r="E977" s="8" t="inlineStr">
        <is>
          <t>107376</t>
        </is>
      </c>
      <c r="F977" s="8" t="inlineStr">
        <is>
          <t>GRAVAMEN LEY 25413 S/CRED</t>
        </is>
      </c>
      <c r="G977" s="8" t="inlineStr">
        <is>
          <t>Anticipo Ganancias Ley 25.413 créditos</t>
        </is>
      </c>
      <c r="H977" s="8" t="inlineStr">
        <is>
          <t>Anticipo Impuesto a las Ganancias</t>
        </is>
      </c>
      <c r="I977" s="9" t="n">
        <v>418.31</v>
      </c>
      <c r="J977" s="9" t="inlineStr"/>
      <c r="K977" s="8" t="inlineStr">
        <is>
          <t>Copiar en Flexxus: Tipo=MB-EXT | Movimiento=GRAVAMEN LEY 25.413 S/CRED | Monto=418,31 | Fecha: 20/04/2026</t>
        </is>
      </c>
    </row>
    <row r="978">
      <c r="A978" s="8" t="inlineStr">
        <is>
          <t>PEND-700B22D5137B-A001</t>
        </is>
      </c>
      <c r="B978" s="8" t="inlineStr">
        <is>
          <t>ABIERTO_NUEVO</t>
        </is>
      </c>
      <c r="C978" s="8" t="inlineStr">
        <is>
          <t>Banco egreso no Flexxus</t>
        </is>
      </c>
      <c r="D978" s="8" t="inlineStr">
        <is>
          <t>20/04/2026</t>
        </is>
      </c>
      <c r="E978" s="8" t="inlineStr">
        <is>
          <t>107375</t>
        </is>
      </c>
      <c r="F978" s="8" t="inlineStr">
        <is>
          <t>INGRESOS BRUTOS MENDOZA</t>
        </is>
      </c>
      <c r="G978" s="8" t="inlineStr">
        <is>
          <t>Retención Ingresos Brutos Mendoza</t>
        </is>
      </c>
      <c r="H978" s="8" t="inlineStr">
        <is>
          <t>Retención de Ingresos Brutos</t>
        </is>
      </c>
      <c r="I978" s="9" t="n">
        <v>320.86</v>
      </c>
      <c r="J978" s="9" t="inlineStr"/>
      <c r="K978" s="8" t="inlineStr">
        <is>
          <t>Copiar en Flexxus: Tipo=MB-EXT | Movimiento=INGRESOS BRUTOS MENDOZA | Monto=320,86 | Fecha: 20/04/2026</t>
        </is>
      </c>
    </row>
    <row r="979">
      <c r="A979" s="8" t="inlineStr">
        <is>
          <t>PEND-9FB77BCB41F7-A001</t>
        </is>
      </c>
      <c r="B979" s="8" t="inlineStr">
        <is>
          <t>ABIERTO_NUEVO</t>
        </is>
      </c>
      <c r="C979" s="8" t="inlineStr">
        <is>
          <t>Banco egreso no Flexxus</t>
        </is>
      </c>
      <c r="D979" s="8" t="inlineStr">
        <is>
          <t>20/04/2026</t>
        </is>
      </c>
      <c r="E979" s="8" t="inlineStr">
        <is>
          <t>107375</t>
        </is>
      </c>
      <c r="F979" s="8" t="inlineStr">
        <is>
          <t>GRAVAMEN LEY 25413 S/CRED</t>
        </is>
      </c>
      <c r="G979" s="8" t="inlineStr">
        <is>
          <t>Anticipo Ganancias Ley 25.413 créditos</t>
        </is>
      </c>
      <c r="H979" s="8" t="inlineStr">
        <is>
          <t>Anticipo Impuesto a las Ganancias</t>
        </is>
      </c>
      <c r="I979" s="9" t="n">
        <v>192.52</v>
      </c>
      <c r="J979" s="9" t="inlineStr"/>
      <c r="K979" s="8" t="inlineStr">
        <is>
          <t>Copiar en Flexxus: Tipo=MB-EXT | Movimiento=GRAVAMEN LEY 25.413 S/CRED | Monto=192,52 | Fecha: 20/04/2026</t>
        </is>
      </c>
    </row>
    <row r="980">
      <c r="A980" s="8" t="inlineStr">
        <is>
          <t>PEND-DB0B0E8CF11A-A001</t>
        </is>
      </c>
      <c r="B980" s="8" t="inlineStr">
        <is>
          <t>ABIERTO_NUEVO</t>
        </is>
      </c>
      <c r="C980" s="8" t="inlineStr">
        <is>
          <t>Banco egreso no Flexxus</t>
        </is>
      </c>
      <c r="D980" s="8" t="inlineStr">
        <is>
          <t>20/04/2026</t>
        </is>
      </c>
      <c r="E980" s="8" t="inlineStr">
        <is>
          <t>107374</t>
        </is>
      </c>
      <c r="F980" s="8" t="inlineStr">
        <is>
          <t>INGRESOS BRUTOS MENDOZA</t>
        </is>
      </c>
      <c r="G980" s="8" t="inlineStr">
        <is>
          <t>Retención Ingresos Brutos Mendoza</t>
        </is>
      </c>
      <c r="H980" s="8" t="inlineStr">
        <is>
          <t>Retención de Ingresos Brutos</t>
        </is>
      </c>
      <c r="I980" s="9" t="n">
        <v>113.89</v>
      </c>
      <c r="J980" s="9" t="inlineStr"/>
      <c r="K980" s="8" t="inlineStr">
        <is>
          <t>Copiar en Flexxus: Tipo=MB-EXT | Movimiento=INGRESOS BRUTOS MENDOZA | Monto=113,89 | Fecha: 20/04/2026</t>
        </is>
      </c>
    </row>
    <row r="981">
      <c r="A981" s="8" t="inlineStr">
        <is>
          <t>PEND-29358FFD58D1-A001</t>
        </is>
      </c>
      <c r="B981" s="8" t="inlineStr">
        <is>
          <t>ABIERTO_NUEVO</t>
        </is>
      </c>
      <c r="C981" s="8" t="inlineStr">
        <is>
          <t>Banco egreso no Flexxus</t>
        </is>
      </c>
      <c r="D981" s="8" t="inlineStr">
        <is>
          <t>20/04/2026</t>
        </is>
      </c>
      <c r="E981" s="8" t="inlineStr">
        <is>
          <t>107374</t>
        </is>
      </c>
      <c r="F981" s="8" t="inlineStr">
        <is>
          <t>GRAVAMEN LEY 25413 S/CRED</t>
        </is>
      </c>
      <c r="G981" s="8" t="inlineStr">
        <is>
          <t>Anticipo Ganancias Ley 25.413 créditos</t>
        </is>
      </c>
      <c r="H981" s="8" t="inlineStr">
        <is>
          <t>Anticipo Impuesto a las Ganancias</t>
        </is>
      </c>
      <c r="I981" s="9" t="n">
        <v>68.33</v>
      </c>
      <c r="J981" s="9" t="inlineStr"/>
      <c r="K981" s="8" t="inlineStr">
        <is>
          <t>Copiar en Flexxus: Tipo=MB-EXT | Movimiento=GRAVAMEN LEY 25.413 S/CRED | Monto=68,33 | Fecha: 20/04/2026</t>
        </is>
      </c>
    </row>
    <row r="982">
      <c r="A982" s="8" t="inlineStr">
        <is>
          <t>PEND-6DD87C6D8CFE-A001</t>
        </is>
      </c>
      <c r="B982" s="8" t="inlineStr">
        <is>
          <t>ABIERTO_NUEVO</t>
        </is>
      </c>
      <c r="C982" s="8" t="inlineStr">
        <is>
          <t>Banco egreso no Flexxus</t>
        </is>
      </c>
      <c r="D982" s="8" t="inlineStr">
        <is>
          <t>20/04/2026</t>
        </is>
      </c>
      <c r="E982" s="8" t="inlineStr">
        <is>
          <t>107373</t>
        </is>
      </c>
      <c r="F982" s="8" t="inlineStr">
        <is>
          <t>INGRESOS BRUTOS MENDOZA</t>
        </is>
      </c>
      <c r="G982" s="8" t="inlineStr">
        <is>
          <t>Retención Ingresos Brutos Mendoza</t>
        </is>
      </c>
      <c r="H982" s="8" t="inlineStr">
        <is>
          <t>Retención de Ingresos Brutos</t>
        </is>
      </c>
      <c r="I982" s="9" t="n">
        <v>603.1</v>
      </c>
      <c r="J982" s="9" t="inlineStr"/>
      <c r="K982" s="8" t="inlineStr">
        <is>
          <t>Copiar en Flexxus: Tipo=MB-EXT | Movimiento=INGRESOS BRUTOS MENDOZA | Monto=603,10 | Fecha: 20/04/2026</t>
        </is>
      </c>
    </row>
    <row r="983">
      <c r="A983" s="8" t="inlineStr">
        <is>
          <t>PEND-75D440E92E66-A001</t>
        </is>
      </c>
      <c r="B983" s="8" t="inlineStr">
        <is>
          <t>ABIERTO_NUEVO</t>
        </is>
      </c>
      <c r="C983" s="8" t="inlineStr">
        <is>
          <t>Banco egreso no Flexxus</t>
        </is>
      </c>
      <c r="D983" s="8" t="inlineStr">
        <is>
          <t>20/04/2026</t>
        </is>
      </c>
      <c r="E983" s="8" t="inlineStr">
        <is>
          <t>107373</t>
        </is>
      </c>
      <c r="F983" s="8" t="inlineStr">
        <is>
          <t>GRAVAMEN LEY 25413 S/CRED</t>
        </is>
      </c>
      <c r="G983" s="8" t="inlineStr">
        <is>
          <t>Anticipo Ganancias Ley 25.413 créditos</t>
        </is>
      </c>
      <c r="H983" s="8" t="inlineStr">
        <is>
          <t>Anticipo Impuesto a las Ganancias</t>
        </is>
      </c>
      <c r="I983" s="9" t="n">
        <v>361.86</v>
      </c>
      <c r="J983" s="9" t="inlineStr"/>
      <c r="K983" s="8" t="inlineStr">
        <is>
          <t>Copiar en Flexxus: Tipo=MB-EXT | Movimiento=GRAVAMEN LEY 25.413 S/CRED | Monto=361,86 | Fecha: 20/04/2026</t>
        </is>
      </c>
    </row>
    <row r="984">
      <c r="A984" s="8" t="inlineStr">
        <is>
          <t>PEND-13074A28B204-A001</t>
        </is>
      </c>
      <c r="B984" s="8" t="inlineStr">
        <is>
          <t>ABIERTO_NUEVO</t>
        </is>
      </c>
      <c r="C984" s="8" t="inlineStr">
        <is>
          <t>Banco egreso no Flexxus</t>
        </is>
      </c>
      <c r="D984" s="8" t="inlineStr">
        <is>
          <t>20/04/2026</t>
        </is>
      </c>
      <c r="E984" s="8" t="inlineStr">
        <is>
          <t>107372</t>
        </is>
      </c>
      <c r="F984" s="8" t="inlineStr">
        <is>
          <t>INGRESOS BRUTOS MENDOZA</t>
        </is>
      </c>
      <c r="G984" s="8" t="inlineStr">
        <is>
          <t>Retención Ingresos Brutos Mendoza</t>
        </is>
      </c>
      <c r="H984" s="8" t="inlineStr">
        <is>
          <t>Retención de Ingresos Brutos</t>
        </is>
      </c>
      <c r="I984" s="9" t="n">
        <v>330.77</v>
      </c>
      <c r="J984" s="9" t="inlineStr"/>
      <c r="K984" s="8" t="inlineStr">
        <is>
          <t>Copiar en Flexxus: Tipo=MB-EXT | Movimiento=INGRESOS BRUTOS MENDOZA | Monto=330,77 | Fecha: 20/04/2026</t>
        </is>
      </c>
    </row>
    <row r="985">
      <c r="A985" s="8" t="inlineStr">
        <is>
          <t>PEND-F34940ECC8A8-A001</t>
        </is>
      </c>
      <c r="B985" s="8" t="inlineStr">
        <is>
          <t>ABIERTO_NUEVO</t>
        </is>
      </c>
      <c r="C985" s="8" t="inlineStr">
        <is>
          <t>Banco egreso no Flexxus</t>
        </is>
      </c>
      <c r="D985" s="8" t="inlineStr">
        <is>
          <t>20/04/2026</t>
        </is>
      </c>
      <c r="E985" s="8" t="inlineStr">
        <is>
          <t>107372</t>
        </is>
      </c>
      <c r="F985" s="8" t="inlineStr">
        <is>
          <t>GRAVAMEN LEY 25413 S/CRED</t>
        </is>
      </c>
      <c r="G985" s="8" t="inlineStr">
        <is>
          <t>Anticipo Ganancias Ley 25.413 créditos</t>
        </is>
      </c>
      <c r="H985" s="8" t="inlineStr">
        <is>
          <t>Anticipo Impuesto a las Ganancias</t>
        </is>
      </c>
      <c r="I985" s="9" t="n">
        <v>198.46</v>
      </c>
      <c r="J985" s="9" t="inlineStr"/>
      <c r="K985" s="8" t="inlineStr">
        <is>
          <t>Copiar en Flexxus: Tipo=MB-EXT | Movimiento=GRAVAMEN LEY 25.413 S/CRED | Monto=198,46 | Fecha: 20/04/2026</t>
        </is>
      </c>
    </row>
    <row r="986">
      <c r="A986" s="8" t="inlineStr">
        <is>
          <t>PEND-0DCFDA4AF6B4-A001</t>
        </is>
      </c>
      <c r="B986" s="8" t="inlineStr">
        <is>
          <t>ABIERTO_NUEVO</t>
        </is>
      </c>
      <c r="C986" s="8" t="inlineStr">
        <is>
          <t>Banco egreso no Flexxus</t>
        </is>
      </c>
      <c r="D986" s="8" t="inlineStr">
        <is>
          <t>20/04/2026</t>
        </is>
      </c>
      <c r="E986" s="8" t="inlineStr">
        <is>
          <t>107371</t>
        </is>
      </c>
      <c r="F986" s="8" t="inlineStr">
        <is>
          <t>INGRESOS BRUTOS MENDOZA</t>
        </is>
      </c>
      <c r="G986" s="8" t="inlineStr">
        <is>
          <t>Retención Ingresos Brutos Mendoza</t>
        </is>
      </c>
      <c r="H986" s="8" t="inlineStr">
        <is>
          <t>Retención de Ingresos Brutos</t>
        </is>
      </c>
      <c r="I986" s="9" t="n">
        <v>159.44</v>
      </c>
      <c r="J986" s="9" t="inlineStr"/>
      <c r="K986" s="8" t="inlineStr">
        <is>
          <t>Copiar en Flexxus: Tipo=MB-EXT | Movimiento=INGRESOS BRUTOS MENDOZA | Monto=159,44 | Fecha: 20/04/2026</t>
        </is>
      </c>
    </row>
    <row r="987">
      <c r="A987" s="8" t="inlineStr">
        <is>
          <t>PEND-D8FEEACF175F-A001</t>
        </is>
      </c>
      <c r="B987" s="8" t="inlineStr">
        <is>
          <t>ABIERTO_NUEVO</t>
        </is>
      </c>
      <c r="C987" s="8" t="inlineStr">
        <is>
          <t>Banco egreso no Flexxus</t>
        </is>
      </c>
      <c r="D987" s="8" t="inlineStr">
        <is>
          <t>20/04/2026</t>
        </is>
      </c>
      <c r="E987" s="8" t="inlineStr">
        <is>
          <t>107371</t>
        </is>
      </c>
      <c r="F987" s="8" t="inlineStr">
        <is>
          <t>GRAVAMEN LEY 25413 S/CRED</t>
        </is>
      </c>
      <c r="G987" s="8" t="inlineStr">
        <is>
          <t>Anticipo Ganancias Ley 25.413 créditos</t>
        </is>
      </c>
      <c r="H987" s="8" t="inlineStr">
        <is>
          <t>Anticipo Impuesto a las Ganancias</t>
        </is>
      </c>
      <c r="I987" s="9" t="n">
        <v>95.66</v>
      </c>
      <c r="J987" s="9" t="inlineStr"/>
      <c r="K987" s="8" t="inlineStr">
        <is>
          <t>Copiar en Flexxus: Tipo=MB-EXT | Movimiento=GRAVAMEN LEY 25.413 S/CRED | Monto=95,66 | Fecha: 20/04/2026</t>
        </is>
      </c>
    </row>
    <row r="988">
      <c r="A988" s="8" t="inlineStr">
        <is>
          <t>PEND-BD612C6D7E71-A001</t>
        </is>
      </c>
      <c r="B988" s="8" t="inlineStr">
        <is>
          <t>ABIERTO_NUEVO</t>
        </is>
      </c>
      <c r="C988" s="8" t="inlineStr">
        <is>
          <t>Banco egreso no Flexxus</t>
        </is>
      </c>
      <c r="D988" s="8" t="inlineStr">
        <is>
          <t>20/04/2026</t>
        </is>
      </c>
      <c r="E988" s="8" t="inlineStr">
        <is>
          <t>107370</t>
        </is>
      </c>
      <c r="F988" s="8" t="inlineStr">
        <is>
          <t>INGRESOS BRUTOS MENDOZA</t>
        </is>
      </c>
      <c r="G988" s="8" t="inlineStr">
        <is>
          <t>Retención Ingresos Brutos Mendoza</t>
        </is>
      </c>
      <c r="H988" s="8" t="inlineStr">
        <is>
          <t>Retención de Ingresos Brutos</t>
        </is>
      </c>
      <c r="I988" s="9" t="n">
        <v>76.25</v>
      </c>
      <c r="J988" s="9" t="inlineStr"/>
      <c r="K988" s="8" t="inlineStr">
        <is>
          <t>Copiar en Flexxus: Tipo=MB-EXT | Movimiento=INGRESOS BRUTOS MENDOZA | Monto=76,25 | Fecha: 20/04/2026</t>
        </is>
      </c>
    </row>
    <row r="989">
      <c r="A989" s="8" t="inlineStr">
        <is>
          <t>PEND-49637E1B2937-A001</t>
        </is>
      </c>
      <c r="B989" s="8" t="inlineStr">
        <is>
          <t>ABIERTO_NUEVO</t>
        </is>
      </c>
      <c r="C989" s="8" t="inlineStr">
        <is>
          <t>Banco egreso no Flexxus</t>
        </is>
      </c>
      <c r="D989" s="8" t="inlineStr">
        <is>
          <t>20/04/2026</t>
        </is>
      </c>
      <c r="E989" s="8" t="inlineStr">
        <is>
          <t>107370</t>
        </is>
      </c>
      <c r="F989" s="8" t="inlineStr">
        <is>
          <t>GRAVAMEN LEY 25413 S/CRED</t>
        </is>
      </c>
      <c r="G989" s="8" t="inlineStr">
        <is>
          <t>Anticipo Ganancias Ley 25.413 créditos</t>
        </is>
      </c>
      <c r="H989" s="8" t="inlineStr">
        <is>
          <t>Anticipo Impuesto a las Ganancias</t>
        </is>
      </c>
      <c r="I989" s="9" t="n">
        <v>45.75</v>
      </c>
      <c r="J989" s="9" t="inlineStr"/>
      <c r="K989" s="8" t="inlineStr">
        <is>
          <t>Copiar en Flexxus: Tipo=MB-EXT | Movimiento=GRAVAMEN LEY 25.413 S/CRED | Monto=45,75 | Fecha: 20/04/2026</t>
        </is>
      </c>
    </row>
    <row r="990">
      <c r="A990" s="8" t="inlineStr">
        <is>
          <t>PEND-1585A7634E4A-A001</t>
        </is>
      </c>
      <c r="B990" s="8" t="inlineStr">
        <is>
          <t>ABIERTO_NUEVO</t>
        </is>
      </c>
      <c r="C990" s="8" t="inlineStr">
        <is>
          <t>Banco egreso no Flexxus</t>
        </is>
      </c>
      <c r="D990" s="8" t="inlineStr">
        <is>
          <t>20/04/2026</t>
        </is>
      </c>
      <c r="E990" s="8" t="inlineStr">
        <is>
          <t>107369</t>
        </is>
      </c>
      <c r="F990" s="8" t="inlineStr">
        <is>
          <t>INGRESOS BRUTOS MENDOZA</t>
        </is>
      </c>
      <c r="G990" s="8" t="inlineStr">
        <is>
          <t>Retención Ingresos Brutos Mendoza</t>
        </is>
      </c>
      <c r="H990" s="8" t="inlineStr">
        <is>
          <t>Retención de Ingresos Brutos</t>
        </is>
      </c>
      <c r="I990" s="9" t="n">
        <v>232.73</v>
      </c>
      <c r="J990" s="9" t="inlineStr"/>
      <c r="K990" s="8" t="inlineStr">
        <is>
          <t>Copiar en Flexxus: Tipo=MB-EXT | Movimiento=INGRESOS BRUTOS MENDOZA | Monto=232,73 | Fecha: 20/04/2026</t>
        </is>
      </c>
    </row>
    <row r="991">
      <c r="A991" s="8" t="inlineStr">
        <is>
          <t>PEND-4825C2E6FE34-A001</t>
        </is>
      </c>
      <c r="B991" s="8" t="inlineStr">
        <is>
          <t>ABIERTO_NUEVO</t>
        </is>
      </c>
      <c r="C991" s="8" t="inlineStr">
        <is>
          <t>Banco egreso no Flexxus</t>
        </is>
      </c>
      <c r="D991" s="8" t="inlineStr">
        <is>
          <t>20/04/2026</t>
        </is>
      </c>
      <c r="E991" s="8" t="inlineStr">
        <is>
          <t>107369</t>
        </is>
      </c>
      <c r="F991" s="8" t="inlineStr">
        <is>
          <t>GRAVAMEN LEY 25413 S/CRED</t>
        </is>
      </c>
      <c r="G991" s="8" t="inlineStr">
        <is>
          <t>Anticipo Ganancias Ley 25.413 créditos</t>
        </is>
      </c>
      <c r="H991" s="8" t="inlineStr">
        <is>
          <t>Anticipo Impuesto a las Ganancias</t>
        </is>
      </c>
      <c r="I991" s="9" t="n">
        <v>139.64</v>
      </c>
      <c r="J991" s="9" t="inlineStr"/>
      <c r="K991" s="8" t="inlineStr">
        <is>
          <t>Copiar en Flexxus: Tipo=MB-EXT | Movimiento=GRAVAMEN LEY 25.413 S/CRED | Monto=139,64 | Fecha: 20/04/2026</t>
        </is>
      </c>
    </row>
    <row r="992">
      <c r="A992" s="8" t="inlineStr">
        <is>
          <t>PEND-101925A0FEF9-A001</t>
        </is>
      </c>
      <c r="B992" s="8" t="inlineStr">
        <is>
          <t>ABIERTO_NUEVO</t>
        </is>
      </c>
      <c r="C992" s="8" t="inlineStr">
        <is>
          <t>Banco egreso no Flexxus</t>
        </is>
      </c>
      <c r="D992" s="8" t="inlineStr">
        <is>
          <t>20/04/2026</t>
        </is>
      </c>
      <c r="E992" s="8" t="inlineStr">
        <is>
          <t>107368</t>
        </is>
      </c>
      <c r="F992" s="8" t="inlineStr">
        <is>
          <t>INGRESOS BRUTOS MENDOZA</t>
        </is>
      </c>
      <c r="G992" s="8" t="inlineStr">
        <is>
          <t>Retención Ingresos Brutos Mendoza</t>
        </is>
      </c>
      <c r="H992" s="8" t="inlineStr">
        <is>
          <t>Retención de Ingresos Brutos</t>
        </is>
      </c>
      <c r="I992" s="9" t="n">
        <v>273.33</v>
      </c>
      <c r="J992" s="9" t="inlineStr"/>
      <c r="K992" s="8" t="inlineStr">
        <is>
          <t>Copiar en Flexxus: Tipo=MB-EXT | Movimiento=INGRESOS BRUTOS MENDOZA | Monto=273,33 | Fecha: 20/04/2026</t>
        </is>
      </c>
    </row>
    <row r="993">
      <c r="A993" s="8" t="inlineStr">
        <is>
          <t>PEND-EC7102E5AA52-A001</t>
        </is>
      </c>
      <c r="B993" s="8" t="inlineStr">
        <is>
          <t>ABIERTO_NUEVO</t>
        </is>
      </c>
      <c r="C993" s="8" t="inlineStr">
        <is>
          <t>Banco egreso no Flexxus</t>
        </is>
      </c>
      <c r="D993" s="8" t="inlineStr">
        <is>
          <t>20/04/2026</t>
        </is>
      </c>
      <c r="E993" s="8" t="inlineStr">
        <is>
          <t>107368</t>
        </is>
      </c>
      <c r="F993" s="8" t="inlineStr">
        <is>
          <t>GRAVAMEN LEY 25413 S/CRED</t>
        </is>
      </c>
      <c r="G993" s="8" t="inlineStr">
        <is>
          <t>Anticipo Ganancias Ley 25.413 créditos</t>
        </is>
      </c>
      <c r="H993" s="8" t="inlineStr">
        <is>
          <t>Anticipo Impuesto a las Ganancias</t>
        </is>
      </c>
      <c r="I993" s="9" t="n">
        <v>164</v>
      </c>
      <c r="J993" s="9" t="inlineStr"/>
      <c r="K993" s="8" t="inlineStr">
        <is>
          <t>Copiar en Flexxus: Tipo=MB-EXT | Movimiento=GRAVAMEN LEY 25.413 S/CRED | Monto=164,00 | Fecha: 20/04/2026</t>
        </is>
      </c>
    </row>
    <row r="994">
      <c r="A994" s="8" t="inlineStr">
        <is>
          <t>PEND-CE3E09E30D67-A001</t>
        </is>
      </c>
      <c r="B994" s="8" t="inlineStr">
        <is>
          <t>ABIERTO_NUEVO</t>
        </is>
      </c>
      <c r="C994" s="8" t="inlineStr">
        <is>
          <t>Banco egreso no Flexxus</t>
        </is>
      </c>
      <c r="D994" s="8" t="inlineStr">
        <is>
          <t>20/04/2026</t>
        </is>
      </c>
      <c r="E994" s="8" t="inlineStr">
        <is>
          <t>107367</t>
        </is>
      </c>
      <c r="F994" s="8" t="inlineStr">
        <is>
          <t>INGRESOS BRUTOS MENDOZA</t>
        </is>
      </c>
      <c r="G994" s="8" t="inlineStr">
        <is>
          <t>Retención Ingresos Brutos Mendoza</t>
        </is>
      </c>
      <c r="H994" s="8" t="inlineStr">
        <is>
          <t>Retención de Ingresos Brutos</t>
        </is>
      </c>
      <c r="I994" s="9" t="n">
        <v>482.19</v>
      </c>
      <c r="J994" s="9" t="inlineStr"/>
      <c r="K994" s="8" t="inlineStr">
        <is>
          <t>Copiar en Flexxus: Tipo=MB-EXT | Movimiento=INGRESOS BRUTOS MENDOZA | Monto=482,19 | Fecha: 20/04/2026</t>
        </is>
      </c>
    </row>
    <row r="995">
      <c r="A995" s="8" t="inlineStr">
        <is>
          <t>PEND-EDCDEF51D7EB-A001</t>
        </is>
      </c>
      <c r="B995" s="8" t="inlineStr">
        <is>
          <t>ABIERTO_NUEVO</t>
        </is>
      </c>
      <c r="C995" s="8" t="inlineStr">
        <is>
          <t>Banco egreso no Flexxus</t>
        </is>
      </c>
      <c r="D995" s="8" t="inlineStr">
        <is>
          <t>20/04/2026</t>
        </is>
      </c>
      <c r="E995" s="8" t="inlineStr">
        <is>
          <t>107367</t>
        </is>
      </c>
      <c r="F995" s="8" t="inlineStr">
        <is>
          <t>GRAVAMEN LEY 25413 S/CRED</t>
        </is>
      </c>
      <c r="G995" s="8" t="inlineStr">
        <is>
          <t>Anticipo Ganancias Ley 25.413 créditos</t>
        </is>
      </c>
      <c r="H995" s="8" t="inlineStr">
        <is>
          <t>Anticipo Impuesto a las Ganancias</t>
        </is>
      </c>
      <c r="I995" s="9" t="n">
        <v>289.31</v>
      </c>
      <c r="J995" s="9" t="inlineStr"/>
      <c r="K995" s="8" t="inlineStr">
        <is>
          <t>Copiar en Flexxus: Tipo=MB-EXT | Movimiento=GRAVAMEN LEY 25.413 S/CRED | Monto=289,31 | Fecha: 20/04/2026</t>
        </is>
      </c>
    </row>
    <row r="996">
      <c r="A996" s="8" t="inlineStr">
        <is>
          <t>PEND-0A716936BE66-A001</t>
        </is>
      </c>
      <c r="B996" s="8" t="inlineStr">
        <is>
          <t>ABIERTO_NUEVO</t>
        </is>
      </c>
      <c r="C996" s="8" t="inlineStr">
        <is>
          <t>Banco egreso no Flexxus</t>
        </is>
      </c>
      <c r="D996" s="8" t="inlineStr">
        <is>
          <t>20/04/2026</t>
        </is>
      </c>
      <c r="E996" s="8" t="inlineStr">
        <is>
          <t>107366</t>
        </is>
      </c>
      <c r="F996" s="8" t="inlineStr">
        <is>
          <t>INGRESOS BRUTOS MENDOZA</t>
        </is>
      </c>
      <c r="G996" s="8" t="inlineStr">
        <is>
          <t>Retención Ingresos Brutos Mendoza</t>
        </is>
      </c>
      <c r="H996" s="8" t="inlineStr">
        <is>
          <t>Retención de Ingresos Brutos</t>
        </is>
      </c>
      <c r="I996" s="9" t="n">
        <v>113.89</v>
      </c>
      <c r="J996" s="9" t="inlineStr"/>
      <c r="K996" s="8" t="inlineStr">
        <is>
          <t>Copiar en Flexxus: Tipo=MB-EXT | Movimiento=INGRESOS BRUTOS MENDOZA | Monto=113,89 | Fecha: 20/04/2026</t>
        </is>
      </c>
    </row>
    <row r="997">
      <c r="A997" s="8" t="inlineStr">
        <is>
          <t>PEND-93146AEC06C9-A001</t>
        </is>
      </c>
      <c r="B997" s="8" t="inlineStr">
        <is>
          <t>ABIERTO_NUEVO</t>
        </is>
      </c>
      <c r="C997" s="8" t="inlineStr">
        <is>
          <t>Banco egreso no Flexxus</t>
        </is>
      </c>
      <c r="D997" s="8" t="inlineStr">
        <is>
          <t>20/04/2026</t>
        </is>
      </c>
      <c r="E997" s="8" t="inlineStr">
        <is>
          <t>107366</t>
        </is>
      </c>
      <c r="F997" s="8" t="inlineStr">
        <is>
          <t>GRAVAMEN LEY 25413 S/CRED</t>
        </is>
      </c>
      <c r="G997" s="8" t="inlineStr">
        <is>
          <t>Anticipo Ganancias Ley 25.413 créditos</t>
        </is>
      </c>
      <c r="H997" s="8" t="inlineStr">
        <is>
          <t>Anticipo Impuesto a las Ganancias</t>
        </is>
      </c>
      <c r="I997" s="9" t="n">
        <v>68.33</v>
      </c>
      <c r="J997" s="9" t="inlineStr"/>
      <c r="K997" s="8" t="inlineStr">
        <is>
          <t>Copiar en Flexxus: Tipo=MB-EXT | Movimiento=GRAVAMEN LEY 25.413 S/CRED | Monto=68,33 | Fecha: 20/04/2026</t>
        </is>
      </c>
    </row>
    <row r="998">
      <c r="A998" s="8" t="inlineStr">
        <is>
          <t>PEND-88F9F8A77000-A001</t>
        </is>
      </c>
      <c r="B998" s="8" t="inlineStr">
        <is>
          <t>ABIERTO_NUEVO</t>
        </is>
      </c>
      <c r="C998" s="8" t="inlineStr">
        <is>
          <t>Banco egreso no Flexxus</t>
        </is>
      </c>
      <c r="D998" s="8" t="inlineStr">
        <is>
          <t>20/04/2026</t>
        </is>
      </c>
      <c r="E998" s="8" t="inlineStr">
        <is>
          <t>107365</t>
        </is>
      </c>
      <c r="F998" s="8" t="inlineStr">
        <is>
          <t>INGRESOS BRUTOS MENDOZA</t>
        </is>
      </c>
      <c r="G998" s="8" t="inlineStr">
        <is>
          <t>Retención Ingresos Brutos Mendoza</t>
        </is>
      </c>
      <c r="H998" s="8" t="inlineStr">
        <is>
          <t>Retención de Ingresos Brutos</t>
        </is>
      </c>
      <c r="I998" s="9" t="n">
        <v>407.02</v>
      </c>
      <c r="J998" s="9" t="inlineStr"/>
      <c r="K998" s="8" t="inlineStr">
        <is>
          <t>Copiar en Flexxus: Tipo=MB-EXT | Movimiento=INGRESOS BRUTOS MENDOZA | Monto=407,02 | Fecha: 20/04/2026</t>
        </is>
      </c>
    </row>
    <row r="999">
      <c r="A999" s="8" t="inlineStr">
        <is>
          <t>PEND-EFB5DC3E804D-A001</t>
        </is>
      </c>
      <c r="B999" s="8" t="inlineStr">
        <is>
          <t>ABIERTO_NUEVO</t>
        </is>
      </c>
      <c r="C999" s="8" t="inlineStr">
        <is>
          <t>Banco egreso no Flexxus</t>
        </is>
      </c>
      <c r="D999" s="8" t="inlineStr">
        <is>
          <t>20/04/2026</t>
        </is>
      </c>
      <c r="E999" s="8" t="inlineStr">
        <is>
          <t>107365</t>
        </is>
      </c>
      <c r="F999" s="8" t="inlineStr">
        <is>
          <t>GRAVAMEN LEY 25413 S/CRED</t>
        </is>
      </c>
      <c r="G999" s="8" t="inlineStr">
        <is>
          <t>Anticipo Ganancias Ley 25.413 créditos</t>
        </is>
      </c>
      <c r="H999" s="8" t="inlineStr">
        <is>
          <t>Anticipo Impuesto a las Ganancias</t>
        </is>
      </c>
      <c r="I999" s="9" t="n">
        <v>244.21</v>
      </c>
      <c r="J999" s="9" t="inlineStr"/>
      <c r="K999" s="8" t="inlineStr">
        <is>
          <t>Copiar en Flexxus: Tipo=MB-EXT | Movimiento=GRAVAMEN LEY 25.413 S/CRED | Monto=244,21 | Fecha: 20/04/2026</t>
        </is>
      </c>
    </row>
    <row r="1000">
      <c r="A1000" s="8" t="inlineStr">
        <is>
          <t>PEND-F590C4D43E0C-A001</t>
        </is>
      </c>
      <c r="B1000" s="8" t="inlineStr">
        <is>
          <t>ABIERTO_NUEVO</t>
        </is>
      </c>
      <c r="C1000" s="8" t="inlineStr">
        <is>
          <t>Banco egreso no Flexxus</t>
        </is>
      </c>
      <c r="D1000" s="8" t="inlineStr">
        <is>
          <t>20/04/2026</t>
        </is>
      </c>
      <c r="E1000" s="8" t="inlineStr">
        <is>
          <t>107364</t>
        </is>
      </c>
      <c r="F1000" s="8" t="inlineStr">
        <is>
          <t>INGRESOS BRUTOS MENDOZA</t>
        </is>
      </c>
      <c r="G1000" s="8" t="inlineStr">
        <is>
          <t>Retención Ingresos Brutos Mendoza</t>
        </is>
      </c>
      <c r="H1000" s="8" t="inlineStr">
        <is>
          <t>Retención de Ingresos Brutos</t>
        </is>
      </c>
      <c r="I1000" s="9" t="n">
        <v>341.66</v>
      </c>
      <c r="J1000" s="9" t="inlineStr"/>
      <c r="K1000" s="8" t="inlineStr">
        <is>
          <t>Copiar en Flexxus: Tipo=MB-EXT | Movimiento=INGRESOS BRUTOS MENDOZA | Monto=341,66 | Fecha: 20/04/2026</t>
        </is>
      </c>
    </row>
    <row r="1001">
      <c r="A1001" s="8" t="inlineStr">
        <is>
          <t>PEND-90443001633A-A001</t>
        </is>
      </c>
      <c r="B1001" s="8" t="inlineStr">
        <is>
          <t>ABIERTO_NUEVO</t>
        </is>
      </c>
      <c r="C1001" s="8" t="inlineStr">
        <is>
          <t>Banco egreso no Flexxus</t>
        </is>
      </c>
      <c r="D1001" s="8" t="inlineStr">
        <is>
          <t>20/04/2026</t>
        </is>
      </c>
      <c r="E1001" s="8" t="inlineStr">
        <is>
          <t>107364</t>
        </is>
      </c>
      <c r="F1001" s="8" t="inlineStr">
        <is>
          <t>GRAVAMEN LEY 25413 S/CRED</t>
        </is>
      </c>
      <c r="G1001" s="8" t="inlineStr">
        <is>
          <t>Anticipo Ganancias Ley 25.413 créditos</t>
        </is>
      </c>
      <c r="H1001" s="8" t="inlineStr">
        <is>
          <t>Anticipo Impuesto a las Ganancias</t>
        </is>
      </c>
      <c r="I1001" s="9" t="n">
        <v>205</v>
      </c>
      <c r="J1001" s="9" t="inlineStr"/>
      <c r="K1001" s="8" t="inlineStr">
        <is>
          <t>Copiar en Flexxus: Tipo=MB-EXT | Movimiento=GRAVAMEN LEY 25.413 S/CRED | Monto=205,00 | Fecha: 20/04/2026</t>
        </is>
      </c>
    </row>
    <row r="1002">
      <c r="A1002" s="8" t="inlineStr">
        <is>
          <t>PEND-C8F3F68DA84C-A001</t>
        </is>
      </c>
      <c r="B1002" s="8" t="inlineStr">
        <is>
          <t>ABIERTO_NUEVO</t>
        </is>
      </c>
      <c r="C1002" s="8" t="inlineStr">
        <is>
          <t>Banco egreso no Flexxus</t>
        </is>
      </c>
      <c r="D1002" s="8" t="inlineStr">
        <is>
          <t>20/04/2026</t>
        </is>
      </c>
      <c r="E1002" s="8" t="inlineStr">
        <is>
          <t>107363</t>
        </is>
      </c>
      <c r="F1002" s="8" t="inlineStr">
        <is>
          <t>INGRESOS BRUTOS MENDOZA</t>
        </is>
      </c>
      <c r="G1002" s="8" t="inlineStr">
        <is>
          <t>Retención Ingresos Brutos Mendoza</t>
        </is>
      </c>
      <c r="H1002" s="8" t="inlineStr">
        <is>
          <t>Retención de Ingresos Brutos</t>
        </is>
      </c>
      <c r="I1002" s="9" t="n">
        <v>608.0599999999999</v>
      </c>
      <c r="J1002" s="9" t="inlineStr"/>
      <c r="K1002" s="8" t="inlineStr">
        <is>
          <t>Copiar en Flexxus: Tipo=MB-EXT | Movimiento=INGRESOS BRUTOS MENDOZA | Monto=608,06 | Fecha: 20/04/2026</t>
        </is>
      </c>
    </row>
    <row r="1003">
      <c r="A1003" s="8" t="inlineStr">
        <is>
          <t>PEND-49A2B92A54EF-A001</t>
        </is>
      </c>
      <c r="B1003" s="8" t="inlineStr">
        <is>
          <t>ABIERTO_NUEVO</t>
        </is>
      </c>
      <c r="C1003" s="8" t="inlineStr">
        <is>
          <t>Banco egreso no Flexxus</t>
        </is>
      </c>
      <c r="D1003" s="8" t="inlineStr">
        <is>
          <t>20/04/2026</t>
        </is>
      </c>
      <c r="E1003" s="8" t="inlineStr">
        <is>
          <t>107363</t>
        </is>
      </c>
      <c r="F1003" s="8" t="inlineStr">
        <is>
          <t>GRAVAMEN LEY 25413 S/CRED</t>
        </is>
      </c>
      <c r="G1003" s="8" t="inlineStr">
        <is>
          <t>Anticipo Ganancias Ley 25.413 créditos</t>
        </is>
      </c>
      <c r="H1003" s="8" t="inlineStr">
        <is>
          <t>Anticipo Impuesto a las Ganancias</t>
        </is>
      </c>
      <c r="I1003" s="9" t="n">
        <v>364.83</v>
      </c>
      <c r="J1003" s="9" t="inlineStr"/>
      <c r="K1003" s="8" t="inlineStr">
        <is>
          <t>Copiar en Flexxus: Tipo=MB-EXT | Movimiento=GRAVAMEN LEY 25.413 S/CRED | Monto=364,83 | Fecha: 20/04/2026</t>
        </is>
      </c>
    </row>
    <row r="1004">
      <c r="A1004" s="8" t="inlineStr">
        <is>
          <t>PEND-AD8A9626C635-A001</t>
        </is>
      </c>
      <c r="B1004" s="8" t="inlineStr">
        <is>
          <t>ABIERTO_NUEVO</t>
        </is>
      </c>
      <c r="C1004" s="8" t="inlineStr">
        <is>
          <t>Banco egreso no Flexxus</t>
        </is>
      </c>
      <c r="D1004" s="8" t="inlineStr">
        <is>
          <t>20/04/2026</t>
        </is>
      </c>
      <c r="E1004" s="8" t="inlineStr">
        <is>
          <t>107362</t>
        </is>
      </c>
      <c r="F1004" s="8" t="inlineStr">
        <is>
          <t>INGRESOS BRUTOS MENDOZA</t>
        </is>
      </c>
      <c r="G1004" s="8" t="inlineStr">
        <is>
          <t>Retención Ingresos Brutos Mendoza</t>
        </is>
      </c>
      <c r="H1004" s="8" t="inlineStr">
        <is>
          <t>Retención de Ingresos Brutos</t>
        </is>
      </c>
      <c r="I1004" s="9" t="n">
        <v>198.06</v>
      </c>
      <c r="J1004" s="9" t="inlineStr"/>
      <c r="K1004" s="8" t="inlineStr">
        <is>
          <t>Copiar en Flexxus: Tipo=MB-EXT | Movimiento=INGRESOS BRUTOS MENDOZA | Monto=198,06 | Fecha: 20/04/2026</t>
        </is>
      </c>
    </row>
    <row r="1005">
      <c r="A1005" s="8" t="inlineStr">
        <is>
          <t>PEND-FD7ECE179C77-A001</t>
        </is>
      </c>
      <c r="B1005" s="8" t="inlineStr">
        <is>
          <t>ABIERTO_NUEVO</t>
        </is>
      </c>
      <c r="C1005" s="8" t="inlineStr">
        <is>
          <t>Banco egreso no Flexxus</t>
        </is>
      </c>
      <c r="D1005" s="8" t="inlineStr">
        <is>
          <t>20/04/2026</t>
        </is>
      </c>
      <c r="E1005" s="8" t="inlineStr">
        <is>
          <t>107362</t>
        </is>
      </c>
      <c r="F1005" s="8" t="inlineStr">
        <is>
          <t>GRAVAMEN LEY 25413 S/CRED</t>
        </is>
      </c>
      <c r="G1005" s="8" t="inlineStr">
        <is>
          <t>Anticipo Ganancias Ley 25.413 créditos</t>
        </is>
      </c>
      <c r="H1005" s="8" t="inlineStr">
        <is>
          <t>Anticipo Impuesto a las Ganancias</t>
        </is>
      </c>
      <c r="I1005" s="9" t="n">
        <v>118.84</v>
      </c>
      <c r="J1005" s="9" t="inlineStr"/>
      <c r="K1005" s="8" t="inlineStr">
        <is>
          <t>Copiar en Flexxus: Tipo=MB-EXT | Movimiento=GRAVAMEN LEY 25.413 S/CRED | Monto=118,84 | Fecha: 20/04/2026</t>
        </is>
      </c>
    </row>
    <row r="1006">
      <c r="A1006" s="8" t="inlineStr">
        <is>
          <t>PEND-C07ADE850769-A001</t>
        </is>
      </c>
      <c r="B1006" s="8" t="inlineStr">
        <is>
          <t>ABIERTO_NUEVO</t>
        </is>
      </c>
      <c r="C1006" s="8" t="inlineStr">
        <is>
          <t>Banco egreso no Flexxus</t>
        </is>
      </c>
      <c r="D1006" s="8" t="inlineStr">
        <is>
          <t>20/04/2026</t>
        </is>
      </c>
      <c r="E1006" s="8" t="inlineStr">
        <is>
          <t>107361</t>
        </is>
      </c>
      <c r="F1006" s="8" t="inlineStr">
        <is>
          <t>INGRESOS BRUTOS MENDOZA</t>
        </is>
      </c>
      <c r="G1006" s="8" t="inlineStr">
        <is>
          <t>Retención Ingresos Brutos Mendoza</t>
        </is>
      </c>
      <c r="H1006" s="8" t="inlineStr">
        <is>
          <t>Retención de Ingresos Brutos</t>
        </is>
      </c>
      <c r="I1006" s="9" t="n">
        <v>974.47</v>
      </c>
      <c r="J1006" s="9" t="inlineStr"/>
      <c r="K1006" s="8" t="inlineStr">
        <is>
          <t>Copiar en Flexxus: Tipo=MB-EXT | Movimiento=INGRESOS BRUTOS MENDOZA | Monto=974,47 | Fecha: 20/04/2026</t>
        </is>
      </c>
    </row>
    <row r="1007">
      <c r="A1007" s="8" t="inlineStr">
        <is>
          <t>PEND-EE1CF6C34EE6-A001</t>
        </is>
      </c>
      <c r="B1007" s="8" t="inlineStr">
        <is>
          <t>ABIERTO_NUEVO</t>
        </is>
      </c>
      <c r="C1007" s="8" t="inlineStr">
        <is>
          <t>Banco egreso no Flexxus</t>
        </is>
      </c>
      <c r="D1007" s="8" t="inlineStr">
        <is>
          <t>20/04/2026</t>
        </is>
      </c>
      <c r="E1007" s="8" t="inlineStr">
        <is>
          <t>107361</t>
        </is>
      </c>
      <c r="F1007" s="8" t="inlineStr">
        <is>
          <t>GRAVAMEN LEY 25413 S/CRED</t>
        </is>
      </c>
      <c r="G1007" s="8" t="inlineStr">
        <is>
          <t>Anticipo Ganancias Ley 25.413 créditos</t>
        </is>
      </c>
      <c r="H1007" s="8" t="inlineStr">
        <is>
          <t>Anticipo Impuesto a las Ganancias</t>
        </is>
      </c>
      <c r="I1007" s="9" t="n">
        <v>584.6799999999999</v>
      </c>
      <c r="J1007" s="9" t="inlineStr"/>
      <c r="K1007" s="8" t="inlineStr">
        <is>
          <t>Copiar en Flexxus: Tipo=MB-EXT | Movimiento=GRAVAMEN LEY 25.413 S/CRED | Monto=584,68 | Fecha: 20/04/2026</t>
        </is>
      </c>
    </row>
    <row r="1008">
      <c r="A1008" s="8" t="inlineStr">
        <is>
          <t>PEND-690160D95E5C-A001</t>
        </is>
      </c>
      <c r="B1008" s="8" t="inlineStr">
        <is>
          <t>ABIERTO_NUEVO</t>
        </is>
      </c>
      <c r="C1008" s="8" t="inlineStr">
        <is>
          <t>Banco egreso no Flexxus</t>
        </is>
      </c>
      <c r="D1008" s="8" t="inlineStr">
        <is>
          <t>20/04/2026</t>
        </is>
      </c>
      <c r="E1008" s="8" t="inlineStr">
        <is>
          <t>107360</t>
        </is>
      </c>
      <c r="F1008" s="8" t="inlineStr">
        <is>
          <t>INGRESOS BRUTOS MENDOZA</t>
        </is>
      </c>
      <c r="G1008" s="8" t="inlineStr">
        <is>
          <t>Retención Ingresos Brutos Mendoza</t>
        </is>
      </c>
      <c r="H1008" s="8" t="inlineStr">
        <is>
          <t>Retención de Ingresos Brutos</t>
        </is>
      </c>
      <c r="I1008" s="9" t="n">
        <v>678.37</v>
      </c>
      <c r="J1008" s="9" t="inlineStr"/>
      <c r="K1008" s="8" t="inlineStr">
        <is>
          <t>Copiar en Flexxus: Tipo=MB-EXT | Movimiento=INGRESOS BRUTOS MENDOZA | Monto=678,37 | Fecha: 20/04/2026</t>
        </is>
      </c>
    </row>
    <row r="1009">
      <c r="A1009" s="8" t="inlineStr">
        <is>
          <t>PEND-BA1D34002D85-A001</t>
        </is>
      </c>
      <c r="B1009" s="8" t="inlineStr">
        <is>
          <t>ABIERTO_NUEVO</t>
        </is>
      </c>
      <c r="C1009" s="8" t="inlineStr">
        <is>
          <t>Banco egreso no Flexxus</t>
        </is>
      </c>
      <c r="D1009" s="8" t="inlineStr">
        <is>
          <t>20/04/2026</t>
        </is>
      </c>
      <c r="E1009" s="8" t="inlineStr">
        <is>
          <t>107360</t>
        </is>
      </c>
      <c r="F1009" s="8" t="inlineStr">
        <is>
          <t>GRAVAMEN LEY 25413 S/CRED</t>
        </is>
      </c>
      <c r="G1009" s="8" t="inlineStr">
        <is>
          <t>Anticipo Ganancias Ley 25.413 créditos</t>
        </is>
      </c>
      <c r="H1009" s="8" t="inlineStr">
        <is>
          <t>Anticipo Impuesto a las Ganancias</t>
        </is>
      </c>
      <c r="I1009" s="9" t="n">
        <v>407.02</v>
      </c>
      <c r="J1009" s="9" t="inlineStr"/>
      <c r="K1009" s="8" t="inlineStr">
        <is>
          <t>Copiar en Flexxus: Tipo=MB-EXT | Movimiento=GRAVAMEN LEY 25.413 S/CRED | Monto=407,02 | Fecha: 20/04/2026</t>
        </is>
      </c>
    </row>
    <row r="1010">
      <c r="A1010" s="8" t="inlineStr">
        <is>
          <t>PEND-91ADB1156C47-A001</t>
        </is>
      </c>
      <c r="B1010" s="8" t="inlineStr">
        <is>
          <t>ABIERTO_NUEVO</t>
        </is>
      </c>
      <c r="C1010" s="8" t="inlineStr">
        <is>
          <t>Banco egreso no Flexxus</t>
        </is>
      </c>
      <c r="D1010" s="8" t="inlineStr">
        <is>
          <t>20/04/2026</t>
        </is>
      </c>
      <c r="E1010" s="8" t="inlineStr">
        <is>
          <t>107359</t>
        </is>
      </c>
      <c r="F1010" s="8" t="inlineStr">
        <is>
          <t>INGRESOS BRUTOS MENDOZA</t>
        </is>
      </c>
      <c r="G1010" s="8" t="inlineStr">
        <is>
          <t>Retención Ingresos Brutos Mendoza</t>
        </is>
      </c>
      <c r="H1010" s="8" t="inlineStr">
        <is>
          <t>Retención de Ingresos Brutos</t>
        </is>
      </c>
      <c r="I1010" s="9" t="n">
        <v>326.81</v>
      </c>
      <c r="J1010" s="9" t="inlineStr"/>
      <c r="K1010" s="8" t="inlineStr">
        <is>
          <t>Copiar en Flexxus: Tipo=MB-EXT | Movimiento=INGRESOS BRUTOS MENDOZA | Monto=326,81 | Fecha: 20/04/2026</t>
        </is>
      </c>
    </row>
    <row r="1011">
      <c r="A1011" s="8" t="inlineStr">
        <is>
          <t>PEND-9DC4C65C62CE-A001</t>
        </is>
      </c>
      <c r="B1011" s="8" t="inlineStr">
        <is>
          <t>ABIERTO_NUEVO</t>
        </is>
      </c>
      <c r="C1011" s="8" t="inlineStr">
        <is>
          <t>Banco egreso no Flexxus</t>
        </is>
      </c>
      <c r="D1011" s="8" t="inlineStr">
        <is>
          <t>20/04/2026</t>
        </is>
      </c>
      <c r="E1011" s="8" t="inlineStr">
        <is>
          <t>107359</t>
        </is>
      </c>
      <c r="F1011" s="8" t="inlineStr">
        <is>
          <t>GRAVAMEN LEY 25413 S/CRED</t>
        </is>
      </c>
      <c r="G1011" s="8" t="inlineStr">
        <is>
          <t>Anticipo Ganancias Ley 25.413 créditos</t>
        </is>
      </c>
      <c r="H1011" s="8" t="inlineStr">
        <is>
          <t>Anticipo Impuesto a las Ganancias</t>
        </is>
      </c>
      <c r="I1011" s="9" t="n">
        <v>196.08</v>
      </c>
      <c r="J1011" s="9" t="inlineStr"/>
      <c r="K1011" s="8" t="inlineStr">
        <is>
          <t>Copiar en Flexxus: Tipo=MB-EXT | Movimiento=GRAVAMEN LEY 25.413 S/CRED | Monto=196,08 | Fecha: 20/04/2026</t>
        </is>
      </c>
    </row>
    <row r="1012">
      <c r="A1012" s="8" t="inlineStr">
        <is>
          <t>PEND-DC61F72ADFC2-A001</t>
        </is>
      </c>
      <c r="B1012" s="8" t="inlineStr">
        <is>
          <t>ABIERTO_NUEVO</t>
        </is>
      </c>
      <c r="C1012" s="8" t="inlineStr">
        <is>
          <t>Banco egreso no Flexxus</t>
        </is>
      </c>
      <c r="D1012" s="8" t="inlineStr">
        <is>
          <t>20/04/2026</t>
        </is>
      </c>
      <c r="E1012" s="8" t="inlineStr">
        <is>
          <t>107358</t>
        </is>
      </c>
      <c r="F1012" s="8" t="inlineStr">
        <is>
          <t>INGRESOS BRUTOS MENDOZA</t>
        </is>
      </c>
      <c r="G1012" s="8" t="inlineStr">
        <is>
          <t>Retención Ingresos Brutos Mendoza</t>
        </is>
      </c>
      <c r="H1012" s="8" t="inlineStr">
        <is>
          <t>Retención de Ingresos Brutos</t>
        </is>
      </c>
      <c r="I1012" s="9" t="n">
        <v>308.98</v>
      </c>
      <c r="J1012" s="9" t="inlineStr"/>
      <c r="K1012" s="8" t="inlineStr">
        <is>
          <t>Copiar en Flexxus: Tipo=MB-EXT | Movimiento=INGRESOS BRUTOS MENDOZA | Monto=308,98 | Fecha: 20/04/2026</t>
        </is>
      </c>
    </row>
    <row r="1013">
      <c r="A1013" s="8" t="inlineStr">
        <is>
          <t>PEND-0527C26195B0-A001</t>
        </is>
      </c>
      <c r="B1013" s="8" t="inlineStr">
        <is>
          <t>ABIERTO_NUEVO</t>
        </is>
      </c>
      <c r="C1013" s="8" t="inlineStr">
        <is>
          <t>Banco egreso no Flexxus</t>
        </is>
      </c>
      <c r="D1013" s="8" t="inlineStr">
        <is>
          <t>20/04/2026</t>
        </is>
      </c>
      <c r="E1013" s="8" t="inlineStr">
        <is>
          <t>107358</t>
        </is>
      </c>
      <c r="F1013" s="8" t="inlineStr">
        <is>
          <t>GRAVAMEN LEY 25413 S/CRED</t>
        </is>
      </c>
      <c r="G1013" s="8" t="inlineStr">
        <is>
          <t>Anticipo Ganancias Ley 25.413 créditos</t>
        </is>
      </c>
      <c r="H1013" s="8" t="inlineStr">
        <is>
          <t>Anticipo Impuesto a las Ganancias</t>
        </is>
      </c>
      <c r="I1013" s="9" t="n">
        <v>185.39</v>
      </c>
      <c r="J1013" s="9" t="inlineStr"/>
      <c r="K1013" s="8" t="inlineStr">
        <is>
          <t>Copiar en Flexxus: Tipo=MB-EXT | Movimiento=GRAVAMEN LEY 25.413 S/CRED | Monto=185,39 | Fecha: 20/04/2026</t>
        </is>
      </c>
    </row>
    <row r="1014">
      <c r="A1014" s="8" t="inlineStr">
        <is>
          <t>PEND-9F42C0C52572-A001</t>
        </is>
      </c>
      <c r="B1014" s="8" t="inlineStr">
        <is>
          <t>ABIERTO_NUEVO</t>
        </is>
      </c>
      <c r="C1014" s="8" t="inlineStr">
        <is>
          <t>Banco egreso no Flexxus</t>
        </is>
      </c>
      <c r="D1014" s="8" t="inlineStr">
        <is>
          <t>20/04/2026</t>
        </is>
      </c>
      <c r="E1014" s="8" t="inlineStr">
        <is>
          <t>107357</t>
        </is>
      </c>
      <c r="F1014" s="8" t="inlineStr">
        <is>
          <t>INGRESOS BRUTOS MENDOZA</t>
        </is>
      </c>
      <c r="G1014" s="8" t="inlineStr">
        <is>
          <t>Retención Ingresos Brutos Mendoza</t>
        </is>
      </c>
      <c r="H1014" s="8" t="inlineStr">
        <is>
          <t>Retención de Ingresos Brutos</t>
        </is>
      </c>
      <c r="I1014" s="9" t="n">
        <v>295.12</v>
      </c>
      <c r="J1014" s="9" t="inlineStr"/>
      <c r="K1014" s="8" t="inlineStr">
        <is>
          <t>Copiar en Flexxus: Tipo=MB-EXT | Movimiento=INGRESOS BRUTOS MENDOZA | Monto=295,12 | Fecha: 20/04/2026</t>
        </is>
      </c>
    </row>
    <row r="1015">
      <c r="A1015" s="8" t="inlineStr">
        <is>
          <t>PEND-9B41DB699E7B-A001</t>
        </is>
      </c>
      <c r="B1015" s="8" t="inlineStr">
        <is>
          <t>ABIERTO_NUEVO</t>
        </is>
      </c>
      <c r="C1015" s="8" t="inlineStr">
        <is>
          <t>Banco egreso no Flexxus</t>
        </is>
      </c>
      <c r="D1015" s="8" t="inlineStr">
        <is>
          <t>20/04/2026</t>
        </is>
      </c>
      <c r="E1015" s="8" t="inlineStr">
        <is>
          <t>107357</t>
        </is>
      </c>
      <c r="F1015" s="8" t="inlineStr">
        <is>
          <t>GRAVAMEN LEY 25413 S/CRED</t>
        </is>
      </c>
      <c r="G1015" s="8" t="inlineStr">
        <is>
          <t>Anticipo Ganancias Ley 25.413 créditos</t>
        </is>
      </c>
      <c r="H1015" s="8" t="inlineStr">
        <is>
          <t>Anticipo Impuesto a las Ganancias</t>
        </is>
      </c>
      <c r="I1015" s="9" t="n">
        <v>177.07</v>
      </c>
      <c r="J1015" s="9" t="inlineStr"/>
      <c r="K1015" s="8" t="inlineStr">
        <is>
          <t>Copiar en Flexxus: Tipo=MB-EXT | Movimiento=GRAVAMEN LEY 25.413 S/CRED | Monto=177,07 | Fecha: 20/04/2026</t>
        </is>
      </c>
    </row>
    <row r="1016">
      <c r="A1016" s="8" t="inlineStr">
        <is>
          <t>PEND-F766157FB448-A001</t>
        </is>
      </c>
      <c r="B1016" s="8" t="inlineStr">
        <is>
          <t>ABIERTO_NUEVO</t>
        </is>
      </c>
      <c r="C1016" s="8" t="inlineStr">
        <is>
          <t>Banco egreso no Flexxus</t>
        </is>
      </c>
      <c r="D1016" s="8" t="inlineStr">
        <is>
          <t>20/04/2026</t>
        </is>
      </c>
      <c r="E1016" s="8" t="inlineStr">
        <is>
          <t>107356</t>
        </is>
      </c>
      <c r="F1016" s="8" t="inlineStr">
        <is>
          <t>INGRESOS BRUTOS MENDOZA</t>
        </is>
      </c>
      <c r="G1016" s="8" t="inlineStr">
        <is>
          <t>Retención Ingresos Brutos Mendoza</t>
        </is>
      </c>
      <c r="H1016" s="8" t="inlineStr">
        <is>
          <t>Retención de Ingresos Brutos</t>
        </is>
      </c>
      <c r="I1016" s="9" t="n">
        <v>346.61</v>
      </c>
      <c r="J1016" s="9" t="inlineStr"/>
      <c r="K1016" s="8" t="inlineStr">
        <is>
          <t>Copiar en Flexxus: Tipo=MB-EXT | Movimiento=INGRESOS BRUTOS MENDOZA | Monto=346,61 | Fecha: 20/04/2026</t>
        </is>
      </c>
    </row>
    <row r="1017">
      <c r="A1017" s="8" t="inlineStr">
        <is>
          <t>PEND-93DBC7C05B47-A001</t>
        </is>
      </c>
      <c r="B1017" s="8" t="inlineStr">
        <is>
          <t>ABIERTO_NUEVO</t>
        </is>
      </c>
      <c r="C1017" s="8" t="inlineStr">
        <is>
          <t>Banco egreso no Flexxus</t>
        </is>
      </c>
      <c r="D1017" s="8" t="inlineStr">
        <is>
          <t>20/04/2026</t>
        </is>
      </c>
      <c r="E1017" s="8" t="inlineStr">
        <is>
          <t>107356</t>
        </is>
      </c>
      <c r="F1017" s="8" t="inlineStr">
        <is>
          <t>GRAVAMEN LEY 25413 S/CRED</t>
        </is>
      </c>
      <c r="G1017" s="8" t="inlineStr">
        <is>
          <t>Anticipo Ganancias Ley 25.413 créditos</t>
        </is>
      </c>
      <c r="H1017" s="8" t="inlineStr">
        <is>
          <t>Anticipo Impuesto a las Ganancias</t>
        </is>
      </c>
      <c r="I1017" s="9" t="n">
        <v>207.97</v>
      </c>
      <c r="J1017" s="9" t="inlineStr"/>
      <c r="K1017" s="8" t="inlineStr">
        <is>
          <t>Copiar en Flexxus: Tipo=MB-EXT | Movimiento=GRAVAMEN LEY 25.413 S/CRED | Monto=207,97 | Fecha: 20/04/2026</t>
        </is>
      </c>
    </row>
    <row r="1018">
      <c r="A1018" s="8" t="inlineStr">
        <is>
          <t>PEND-0DEAFEE41836-A001</t>
        </is>
      </c>
      <c r="B1018" s="8" t="inlineStr">
        <is>
          <t>ABIERTO_NUEVO</t>
        </is>
      </c>
      <c r="C1018" s="8" t="inlineStr">
        <is>
          <t>Banco egreso no Flexxus</t>
        </is>
      </c>
      <c r="D1018" s="8" t="inlineStr">
        <is>
          <t>20/04/2026</t>
        </is>
      </c>
      <c r="E1018" s="8" t="inlineStr">
        <is>
          <t>107355</t>
        </is>
      </c>
      <c r="F1018" s="8" t="inlineStr">
        <is>
          <t>INGRESOS BRUTOS MENDOZA</t>
        </is>
      </c>
      <c r="G1018" s="8" t="inlineStr">
        <is>
          <t>Retención Ingresos Brutos Mendoza</t>
        </is>
      </c>
      <c r="H1018" s="8" t="inlineStr">
        <is>
          <t>Retención de Ingresos Brutos</t>
        </is>
      </c>
      <c r="I1018" s="9" t="n">
        <v>719.96</v>
      </c>
      <c r="J1018" s="9" t="inlineStr"/>
      <c r="K1018" s="8" t="inlineStr">
        <is>
          <t>Copiar en Flexxus: Tipo=MB-EXT | Movimiento=INGRESOS BRUTOS MENDOZA | Monto=719,96 | Fecha: 20/04/2026</t>
        </is>
      </c>
    </row>
    <row r="1019">
      <c r="A1019" s="8" t="inlineStr">
        <is>
          <t>PEND-6EBC7A903BAF-A001</t>
        </is>
      </c>
      <c r="B1019" s="8" t="inlineStr">
        <is>
          <t>ABIERTO_NUEVO</t>
        </is>
      </c>
      <c r="C1019" s="8" t="inlineStr">
        <is>
          <t>Banco egreso no Flexxus</t>
        </is>
      </c>
      <c r="D1019" s="8" t="inlineStr">
        <is>
          <t>20/04/2026</t>
        </is>
      </c>
      <c r="E1019" s="8" t="inlineStr">
        <is>
          <t>107355</t>
        </is>
      </c>
      <c r="F1019" s="8" t="inlineStr">
        <is>
          <t>GRAVAMEN LEY 25413 S/CRED</t>
        </is>
      </c>
      <c r="G1019" s="8" t="inlineStr">
        <is>
          <t>Anticipo Ganancias Ley 25.413 créditos</t>
        </is>
      </c>
      <c r="H1019" s="8" t="inlineStr">
        <is>
          <t>Anticipo Impuesto a las Ganancias</t>
        </is>
      </c>
      <c r="I1019" s="9" t="n">
        <v>431.98</v>
      </c>
      <c r="J1019" s="9" t="inlineStr"/>
      <c r="K1019" s="8" t="inlineStr">
        <is>
          <t>Copiar en Flexxus: Tipo=MB-EXT | Movimiento=GRAVAMEN LEY 25.413 S/CRED | Monto=431,98 | Fecha: 20/04/2026</t>
        </is>
      </c>
    </row>
    <row r="1020">
      <c r="A1020" s="8" t="inlineStr">
        <is>
          <t>PEND-245BFB49A95A-A001</t>
        </is>
      </c>
      <c r="B1020" s="8" t="inlineStr">
        <is>
          <t>ABIERTO_NUEVO</t>
        </is>
      </c>
      <c r="C1020" s="8" t="inlineStr">
        <is>
          <t>Banco egreso no Flexxus</t>
        </is>
      </c>
      <c r="D1020" s="8" t="inlineStr">
        <is>
          <t>20/04/2026</t>
        </is>
      </c>
      <c r="E1020" s="8" t="inlineStr">
        <is>
          <t>107354</t>
        </is>
      </c>
      <c r="F1020" s="8" t="inlineStr">
        <is>
          <t>INGRESOS BRUTOS MENDOZA</t>
        </is>
      </c>
      <c r="G1020" s="8" t="inlineStr">
        <is>
          <t>Retención Ingresos Brutos Mendoza</t>
        </is>
      </c>
      <c r="H1020" s="8" t="inlineStr">
        <is>
          <t>Retención de Ingresos Brutos</t>
        </is>
      </c>
      <c r="I1020" s="9" t="n">
        <v>301.06</v>
      </c>
      <c r="J1020" s="9" t="inlineStr"/>
      <c r="K1020" s="8" t="inlineStr">
        <is>
          <t>Copiar en Flexxus: Tipo=MB-EXT | Movimiento=INGRESOS BRUTOS MENDOZA | Monto=301,06 | Fecha: 20/04/2026</t>
        </is>
      </c>
    </row>
    <row r="1021">
      <c r="A1021" s="8" t="inlineStr">
        <is>
          <t>PEND-04C733BDC8AB-A001</t>
        </is>
      </c>
      <c r="B1021" s="8" t="inlineStr">
        <is>
          <t>ABIERTO_NUEVO</t>
        </is>
      </c>
      <c r="C1021" s="8" t="inlineStr">
        <is>
          <t>Banco egreso no Flexxus</t>
        </is>
      </c>
      <c r="D1021" s="8" t="inlineStr">
        <is>
          <t>20/04/2026</t>
        </is>
      </c>
      <c r="E1021" s="8" t="inlineStr">
        <is>
          <t>107354</t>
        </is>
      </c>
      <c r="F1021" s="8" t="inlineStr">
        <is>
          <t>GRAVAMEN LEY 25413 S/CRED</t>
        </is>
      </c>
      <c r="G1021" s="8" t="inlineStr">
        <is>
          <t>Anticipo Ganancias Ley 25.413 créditos</t>
        </is>
      </c>
      <c r="H1021" s="8" t="inlineStr">
        <is>
          <t>Anticipo Impuesto a las Ganancias</t>
        </is>
      </c>
      <c r="I1021" s="9" t="n">
        <v>180.63</v>
      </c>
      <c r="J1021" s="9" t="inlineStr"/>
      <c r="K1021" s="8" t="inlineStr">
        <is>
          <t>Copiar en Flexxus: Tipo=MB-EXT | Movimiento=GRAVAMEN LEY 25.413 S/CRED | Monto=180,63 | Fecha: 20/04/2026</t>
        </is>
      </c>
    </row>
    <row r="1022">
      <c r="A1022" s="8" t="inlineStr">
        <is>
          <t>PEND-AAABFB00C9F5-A001</t>
        </is>
      </c>
      <c r="B1022" s="8" t="inlineStr">
        <is>
          <t>ABIERTO_NUEVO</t>
        </is>
      </c>
      <c r="C1022" s="8" t="inlineStr">
        <is>
          <t>Banco egreso no Flexxus</t>
        </is>
      </c>
      <c r="D1022" s="8" t="inlineStr">
        <is>
          <t>20/04/2026</t>
        </is>
      </c>
      <c r="E1022" s="8" t="inlineStr">
        <is>
          <t>107353</t>
        </is>
      </c>
      <c r="F1022" s="8" t="inlineStr">
        <is>
          <t>INGRESOS BRUTOS MENDOZA</t>
        </is>
      </c>
      <c r="G1022" s="8" t="inlineStr">
        <is>
          <t>Retención Ingresos Brutos Mendoza</t>
        </is>
      </c>
      <c r="H1022" s="8" t="inlineStr">
        <is>
          <t>Retención de Ingresos Brutos</t>
        </is>
      </c>
      <c r="I1022" s="9" t="n">
        <v>260.45</v>
      </c>
      <c r="J1022" s="9" t="inlineStr"/>
      <c r="K1022" s="8" t="inlineStr">
        <is>
          <t>Copiar en Flexxus: Tipo=MB-EXT | Movimiento=INGRESOS BRUTOS MENDOZA | Monto=260,45 | Fecha: 20/04/2026</t>
        </is>
      </c>
    </row>
    <row r="1023">
      <c r="A1023" s="8" t="inlineStr">
        <is>
          <t>PEND-71DFE6F4D595-A001</t>
        </is>
      </c>
      <c r="B1023" s="8" t="inlineStr">
        <is>
          <t>ABIERTO_NUEVO</t>
        </is>
      </c>
      <c r="C1023" s="8" t="inlineStr">
        <is>
          <t>Banco egreso no Flexxus</t>
        </is>
      </c>
      <c r="D1023" s="8" t="inlineStr">
        <is>
          <t>20/04/2026</t>
        </is>
      </c>
      <c r="E1023" s="8" t="inlineStr">
        <is>
          <t>107353</t>
        </is>
      </c>
      <c r="F1023" s="8" t="inlineStr">
        <is>
          <t>GRAVAMEN LEY 25413 S/CRED</t>
        </is>
      </c>
      <c r="G1023" s="8" t="inlineStr">
        <is>
          <t>Anticipo Ganancias Ley 25.413 créditos</t>
        </is>
      </c>
      <c r="H1023" s="8" t="inlineStr">
        <is>
          <t>Anticipo Impuesto a las Ganancias</t>
        </is>
      </c>
      <c r="I1023" s="9" t="n">
        <v>156.27</v>
      </c>
      <c r="J1023" s="9" t="inlineStr"/>
      <c r="K1023" s="8" t="inlineStr">
        <is>
          <t>Copiar en Flexxus: Tipo=MB-EXT | Movimiento=GRAVAMEN LEY 25.413 S/CRED | Monto=156,27 | Fecha: 20/04/2026</t>
        </is>
      </c>
    </row>
    <row r="1024">
      <c r="A1024" s="8" t="inlineStr">
        <is>
          <t>PEND-FE9F7610633E-A001</t>
        </is>
      </c>
      <c r="B1024" s="8" t="inlineStr">
        <is>
          <t>ABIERTO_NUEVO</t>
        </is>
      </c>
      <c r="C1024" s="8" t="inlineStr">
        <is>
          <t>Banco egreso no Flexxus</t>
        </is>
      </c>
      <c r="D1024" s="8" t="inlineStr">
        <is>
          <t>20/04/2026</t>
        </is>
      </c>
      <c r="E1024" s="8" t="inlineStr">
        <is>
          <t>107352</t>
        </is>
      </c>
      <c r="F1024" s="8" t="inlineStr">
        <is>
          <t>INGRESOS BRUTOS MENDOZA</t>
        </is>
      </c>
      <c r="G1024" s="8" t="inlineStr">
        <is>
          <t>Retención Ingresos Brutos Mendoza</t>
        </is>
      </c>
      <c r="H1024" s="8" t="inlineStr">
        <is>
          <t>Retención de Ingresos Brutos</t>
        </is>
      </c>
      <c r="I1024" s="9" t="n">
        <v>647.67</v>
      </c>
      <c r="J1024" s="9" t="inlineStr"/>
      <c r="K1024" s="8" t="inlineStr">
        <is>
          <t>Copiar en Flexxus: Tipo=MB-EXT | Movimiento=INGRESOS BRUTOS MENDOZA | Monto=647,67 | Fecha: 20/04/2026</t>
        </is>
      </c>
    </row>
    <row r="1025">
      <c r="A1025" s="8" t="inlineStr">
        <is>
          <t>PEND-DAC10843D1E0-A001</t>
        </is>
      </c>
      <c r="B1025" s="8" t="inlineStr">
        <is>
          <t>ABIERTO_NUEVO</t>
        </is>
      </c>
      <c r="C1025" s="8" t="inlineStr">
        <is>
          <t>Banco egreso no Flexxus</t>
        </is>
      </c>
      <c r="D1025" s="8" t="inlineStr">
        <is>
          <t>20/04/2026</t>
        </is>
      </c>
      <c r="E1025" s="8" t="inlineStr">
        <is>
          <t>107352</t>
        </is>
      </c>
      <c r="F1025" s="8" t="inlineStr">
        <is>
          <t>GRAVAMEN LEY 25413 S/CRED</t>
        </is>
      </c>
      <c r="G1025" s="8" t="inlineStr">
        <is>
          <t>Anticipo Ganancias Ley 25.413 créditos</t>
        </is>
      </c>
      <c r="H1025" s="8" t="inlineStr">
        <is>
          <t>Anticipo Impuesto a las Ganancias</t>
        </is>
      </c>
      <c r="I1025" s="9" t="n">
        <v>388.6</v>
      </c>
      <c r="J1025" s="9" t="inlineStr"/>
      <c r="K1025" s="8" t="inlineStr">
        <is>
          <t>Copiar en Flexxus: Tipo=MB-EXT | Movimiento=GRAVAMEN LEY 25.413 S/CRED | Monto=388,60 | Fecha: 20/04/2026</t>
        </is>
      </c>
    </row>
    <row r="1026">
      <c r="A1026" s="8" t="inlineStr">
        <is>
          <t>PEND-92A1F7C1DCAC-A001</t>
        </is>
      </c>
      <c r="B1026" s="8" t="inlineStr">
        <is>
          <t>ABIERTO_NUEVO</t>
        </is>
      </c>
      <c r="C1026" s="8" t="inlineStr">
        <is>
          <t>Banco egreso no Flexxus</t>
        </is>
      </c>
      <c r="D1026" s="8" t="inlineStr">
        <is>
          <t>20/04/2026</t>
        </is>
      </c>
      <c r="E1026" s="8" t="inlineStr">
        <is>
          <t>107351</t>
        </is>
      </c>
      <c r="F1026" s="8" t="inlineStr">
        <is>
          <t>INGRESOS BRUTOS MENDOZA</t>
        </is>
      </c>
      <c r="G1026" s="8" t="inlineStr">
        <is>
          <t>Retención Ingresos Brutos Mendoza</t>
        </is>
      </c>
      <c r="H1026" s="8" t="inlineStr">
        <is>
          <t>Retención de Ingresos Brutos</t>
        </is>
      </c>
      <c r="I1026" s="9" t="n">
        <v>145.58</v>
      </c>
      <c r="J1026" s="9" t="inlineStr"/>
      <c r="K1026" s="8" t="inlineStr">
        <is>
          <t>Copiar en Flexxus: Tipo=MB-EXT | Movimiento=INGRESOS BRUTOS MENDOZA | Monto=145,58 | Fecha: 20/04/2026</t>
        </is>
      </c>
    </row>
    <row r="1027">
      <c r="A1027" s="8" t="inlineStr">
        <is>
          <t>PEND-BCC3EF5E596C-A001</t>
        </is>
      </c>
      <c r="B1027" s="8" t="inlineStr">
        <is>
          <t>ABIERTO_NUEVO</t>
        </is>
      </c>
      <c r="C1027" s="8" t="inlineStr">
        <is>
          <t>Banco egreso no Flexxus</t>
        </is>
      </c>
      <c r="D1027" s="8" t="inlineStr">
        <is>
          <t>20/04/2026</t>
        </is>
      </c>
      <c r="E1027" s="8" t="inlineStr">
        <is>
          <t>107351</t>
        </is>
      </c>
      <c r="F1027" s="8" t="inlineStr">
        <is>
          <t>GRAVAMEN LEY 25413 S/CRED</t>
        </is>
      </c>
      <c r="G1027" s="8" t="inlineStr">
        <is>
          <t>Anticipo Ganancias Ley 25.413 créditos</t>
        </is>
      </c>
      <c r="H1027" s="8" t="inlineStr">
        <is>
          <t>Anticipo Impuesto a las Ganancias</t>
        </is>
      </c>
      <c r="I1027" s="9" t="n">
        <v>87.34999999999999</v>
      </c>
      <c r="J1027" s="9" t="inlineStr"/>
      <c r="K1027" s="8" t="inlineStr">
        <is>
          <t>Copiar en Flexxus: Tipo=MB-EXT | Movimiento=GRAVAMEN LEY 25.413 S/CRED | Monto=87,35 | Fecha: 20/04/2026</t>
        </is>
      </c>
    </row>
    <row r="1028">
      <c r="A1028" s="8" t="inlineStr">
        <is>
          <t>PEND-C34F55548BFB-A001</t>
        </is>
      </c>
      <c r="B1028" s="8" t="inlineStr">
        <is>
          <t>ABIERTO_NUEVO</t>
        </is>
      </c>
      <c r="C1028" s="8" t="inlineStr">
        <is>
          <t>Banco egreso no Flexxus</t>
        </is>
      </c>
      <c r="D1028" s="8" t="inlineStr">
        <is>
          <t>20/04/2026</t>
        </is>
      </c>
      <c r="E1028" s="8" t="inlineStr">
        <is>
          <t>107350</t>
        </is>
      </c>
      <c r="F1028" s="8" t="inlineStr">
        <is>
          <t>INGRESOS BRUTOS MENDOZA</t>
        </is>
      </c>
      <c r="G1028" s="8" t="inlineStr">
        <is>
          <t>Retención Ingresos Brutos Mendoza</t>
        </is>
      </c>
      <c r="H1028" s="8" t="inlineStr">
        <is>
          <t>Retención de Ingresos Brutos</t>
        </is>
      </c>
      <c r="I1028" s="9" t="n">
        <v>350.57</v>
      </c>
      <c r="J1028" s="9" t="inlineStr"/>
      <c r="K1028" s="8" t="inlineStr">
        <is>
          <t>Copiar en Flexxus: Tipo=MB-EXT | Movimiento=INGRESOS BRUTOS MENDOZA | Monto=350,57 | Fecha: 20/04/2026</t>
        </is>
      </c>
    </row>
    <row r="1029">
      <c r="A1029" s="8" t="inlineStr">
        <is>
          <t>PEND-8CDA95359351-A001</t>
        </is>
      </c>
      <c r="B1029" s="8" t="inlineStr">
        <is>
          <t>ABIERTO_NUEVO</t>
        </is>
      </c>
      <c r="C1029" s="8" t="inlineStr">
        <is>
          <t>Banco egreso no Flexxus</t>
        </is>
      </c>
      <c r="D1029" s="8" t="inlineStr">
        <is>
          <t>20/04/2026</t>
        </is>
      </c>
      <c r="E1029" s="8" t="inlineStr">
        <is>
          <t>107350</t>
        </is>
      </c>
      <c r="F1029" s="8" t="inlineStr">
        <is>
          <t>GRAVAMEN LEY 25413 S/CRED</t>
        </is>
      </c>
      <c r="G1029" s="8" t="inlineStr">
        <is>
          <t>Anticipo Ganancias Ley 25.413 créditos</t>
        </is>
      </c>
      <c r="H1029" s="8" t="inlineStr">
        <is>
          <t>Anticipo Impuesto a las Ganancias</t>
        </is>
      </c>
      <c r="I1029" s="9" t="n">
        <v>210.34</v>
      </c>
      <c r="J1029" s="9" t="inlineStr"/>
      <c r="K1029" s="8" t="inlineStr">
        <is>
          <t>Copiar en Flexxus: Tipo=MB-EXT | Movimiento=GRAVAMEN LEY 25.413 S/CRED | Monto=210,34 | Fecha: 20/04/2026</t>
        </is>
      </c>
    </row>
    <row r="1030">
      <c r="A1030" s="8" t="inlineStr">
        <is>
          <t>PEND-5A62E2B2551A-A001</t>
        </is>
      </c>
      <c r="B1030" s="8" t="inlineStr">
        <is>
          <t>ABIERTO_NUEVO</t>
        </is>
      </c>
      <c r="C1030" s="8" t="inlineStr">
        <is>
          <t>Banco egreso no Flexxus</t>
        </is>
      </c>
      <c r="D1030" s="8" t="inlineStr">
        <is>
          <t>20/04/2026</t>
        </is>
      </c>
      <c r="E1030" s="8" t="inlineStr">
        <is>
          <t>107349</t>
        </is>
      </c>
      <c r="F1030" s="8" t="inlineStr">
        <is>
          <t>INGRESOS BRUTOS MENDOZA</t>
        </is>
      </c>
      <c r="G1030" s="8" t="inlineStr">
        <is>
          <t>Retención Ingresos Brutos Mendoza</t>
        </is>
      </c>
      <c r="H1030" s="8" t="inlineStr">
        <is>
          <t>Retención de Ingresos Brutos</t>
        </is>
      </c>
      <c r="I1030" s="9" t="n">
        <v>113.89</v>
      </c>
      <c r="J1030" s="9" t="inlineStr"/>
      <c r="K1030" s="8" t="inlineStr">
        <is>
          <t>Copiar en Flexxus: Tipo=MB-EXT | Movimiento=INGRESOS BRUTOS MENDOZA | Monto=113,89 | Fecha: 20/04/2026</t>
        </is>
      </c>
    </row>
    <row r="1031">
      <c r="A1031" s="8" t="inlineStr">
        <is>
          <t>PEND-5D5AA52F4532-A001</t>
        </is>
      </c>
      <c r="B1031" s="8" t="inlineStr">
        <is>
          <t>ABIERTO_NUEVO</t>
        </is>
      </c>
      <c r="C1031" s="8" t="inlineStr">
        <is>
          <t>Banco egreso no Flexxus</t>
        </is>
      </c>
      <c r="D1031" s="8" t="inlineStr">
        <is>
          <t>20/04/2026</t>
        </is>
      </c>
      <c r="E1031" s="8" t="inlineStr">
        <is>
          <t>107349</t>
        </is>
      </c>
      <c r="F1031" s="8" t="inlineStr">
        <is>
          <t>GRAVAMEN LEY 25413 S/CRED</t>
        </is>
      </c>
      <c r="G1031" s="8" t="inlineStr">
        <is>
          <t>Anticipo Ganancias Ley 25.413 créditos</t>
        </is>
      </c>
      <c r="H1031" s="8" t="inlineStr">
        <is>
          <t>Anticipo Impuesto a las Ganancias</t>
        </is>
      </c>
      <c r="I1031" s="9" t="n">
        <v>68.33</v>
      </c>
      <c r="J1031" s="9" t="inlineStr"/>
      <c r="K1031" s="8" t="inlineStr">
        <is>
          <t>Copiar en Flexxus: Tipo=MB-EXT | Movimiento=GRAVAMEN LEY 25.413 S/CRED | Monto=68,33 | Fecha: 20/04/2026</t>
        </is>
      </c>
    </row>
    <row r="1032">
      <c r="A1032" s="8" t="inlineStr">
        <is>
          <t>PEND-D6E7149329D5-A001</t>
        </is>
      </c>
      <c r="B1032" s="8" t="inlineStr">
        <is>
          <t>ABIERTO_NUEVO</t>
        </is>
      </c>
      <c r="C1032" s="8" t="inlineStr">
        <is>
          <t>Banco egreso no Flexxus</t>
        </is>
      </c>
      <c r="D1032" s="8" t="inlineStr">
        <is>
          <t>20/04/2026</t>
        </is>
      </c>
      <c r="E1032" s="8" t="inlineStr">
        <is>
          <t>107348</t>
        </is>
      </c>
      <c r="F1032" s="8" t="inlineStr">
        <is>
          <t>INGRESOS BRUTOS MENDOZA</t>
        </is>
      </c>
      <c r="G1032" s="8" t="inlineStr">
        <is>
          <t>Retención Ingresos Brutos Mendoza</t>
        </is>
      </c>
      <c r="H1032" s="8" t="inlineStr">
        <is>
          <t>Retención de Ingresos Brutos</t>
        </is>
      </c>
      <c r="I1032" s="9" t="n">
        <v>133.69</v>
      </c>
      <c r="J1032" s="9" t="inlineStr"/>
      <c r="K1032" s="8" t="inlineStr">
        <is>
          <t>Copiar en Flexxus: Tipo=MB-EXT | Movimiento=INGRESOS BRUTOS MENDOZA | Monto=133,69 | Fecha: 20/04/2026</t>
        </is>
      </c>
    </row>
    <row r="1033">
      <c r="A1033" s="8" t="inlineStr">
        <is>
          <t>PEND-939D700F780C-A001</t>
        </is>
      </c>
      <c r="B1033" s="8" t="inlineStr">
        <is>
          <t>ABIERTO_NUEVO</t>
        </is>
      </c>
      <c r="C1033" s="8" t="inlineStr">
        <is>
          <t>Banco egreso no Flexxus</t>
        </is>
      </c>
      <c r="D1033" s="8" t="inlineStr">
        <is>
          <t>20/04/2026</t>
        </is>
      </c>
      <c r="E1033" s="8" t="inlineStr">
        <is>
          <t>107348</t>
        </is>
      </c>
      <c r="F1033" s="8" t="inlineStr">
        <is>
          <t>GRAVAMEN LEY 25413 S/CRED</t>
        </is>
      </c>
      <c r="G1033" s="8" t="inlineStr">
        <is>
          <t>Anticipo Ganancias Ley 25.413 créditos</t>
        </is>
      </c>
      <c r="H1033" s="8" t="inlineStr">
        <is>
          <t>Anticipo Impuesto a las Ganancias</t>
        </is>
      </c>
      <c r="I1033" s="9" t="n">
        <v>80.22</v>
      </c>
      <c r="J1033" s="9" t="inlineStr"/>
      <c r="K1033" s="8" t="inlineStr">
        <is>
          <t>Copiar en Flexxus: Tipo=MB-EXT | Movimiento=GRAVAMEN LEY 25.413 S/CRED | Monto=80,22 | Fecha: 20/04/2026</t>
        </is>
      </c>
    </row>
    <row r="1034">
      <c r="A1034" s="8" t="inlineStr">
        <is>
          <t>PEND-58305BEC8C77-A001</t>
        </is>
      </c>
      <c r="B1034" s="8" t="inlineStr">
        <is>
          <t>ABIERTO_NUEVO</t>
        </is>
      </c>
      <c r="C1034" s="8" t="inlineStr">
        <is>
          <t>Banco egreso no Flexxus</t>
        </is>
      </c>
      <c r="D1034" s="8" t="inlineStr">
        <is>
          <t>20/04/2026</t>
        </is>
      </c>
      <c r="E1034" s="8" t="inlineStr">
        <is>
          <t>107347</t>
        </is>
      </c>
      <c r="F1034" s="8" t="inlineStr">
        <is>
          <t>INGRESOS BRUTOS MENDOZA</t>
        </is>
      </c>
      <c r="G1034" s="8" t="inlineStr">
        <is>
          <t>Retención Ingresos Brutos Mendoza</t>
        </is>
      </c>
      <c r="H1034" s="8" t="inlineStr">
        <is>
          <t>Retención de Ingresos Brutos</t>
        </is>
      </c>
      <c r="I1034" s="9" t="n">
        <v>361.47</v>
      </c>
      <c r="J1034" s="9" t="inlineStr"/>
      <c r="K1034" s="8" t="inlineStr">
        <is>
          <t>Copiar en Flexxus: Tipo=MB-EXT | Movimiento=INGRESOS BRUTOS MENDOZA | Monto=361,47 | Fecha: 20/04/2026</t>
        </is>
      </c>
    </row>
    <row r="1035">
      <c r="A1035" s="8" t="inlineStr">
        <is>
          <t>PEND-8778D371FE75-A001</t>
        </is>
      </c>
      <c r="B1035" s="8" t="inlineStr">
        <is>
          <t>ABIERTO_NUEVO</t>
        </is>
      </c>
      <c r="C1035" s="8" t="inlineStr">
        <is>
          <t>Banco egreso no Flexxus</t>
        </is>
      </c>
      <c r="D1035" s="8" t="inlineStr">
        <is>
          <t>20/04/2026</t>
        </is>
      </c>
      <c r="E1035" s="8" t="inlineStr">
        <is>
          <t>107347</t>
        </is>
      </c>
      <c r="F1035" s="8" t="inlineStr">
        <is>
          <t>GRAVAMEN LEY 25413 S/CRED</t>
        </is>
      </c>
      <c r="G1035" s="8" t="inlineStr">
        <is>
          <t>Anticipo Ganancias Ley 25.413 créditos</t>
        </is>
      </c>
      <c r="H1035" s="8" t="inlineStr">
        <is>
          <t>Anticipo Impuesto a las Ganancias</t>
        </is>
      </c>
      <c r="I1035" s="9" t="n">
        <v>216.88</v>
      </c>
      <c r="J1035" s="9" t="inlineStr"/>
      <c r="K1035" s="8" t="inlineStr">
        <is>
          <t>Copiar en Flexxus: Tipo=MB-EXT | Movimiento=GRAVAMEN LEY 25.413 S/CRED | Monto=216,88 | Fecha: 20/04/2026</t>
        </is>
      </c>
    </row>
    <row r="1036">
      <c r="A1036" s="8" t="inlineStr">
        <is>
          <t>PEND-4EC2F505A6F8-A001</t>
        </is>
      </c>
      <c r="B1036" s="8" t="inlineStr">
        <is>
          <t>ABIERTO_NUEVO</t>
        </is>
      </c>
      <c r="C1036" s="8" t="inlineStr">
        <is>
          <t>Banco egreso no Flexxus</t>
        </is>
      </c>
      <c r="D1036" s="8" t="inlineStr">
        <is>
          <t>20/04/2026</t>
        </is>
      </c>
      <c r="E1036" s="8" t="inlineStr">
        <is>
          <t>107346</t>
        </is>
      </c>
      <c r="F1036" s="8" t="inlineStr">
        <is>
          <t>INGRESOS BRUTOS MENDOZA</t>
        </is>
      </c>
      <c r="G1036" s="8" t="inlineStr">
        <is>
          <t>Retención Ingresos Brutos Mendoza</t>
        </is>
      </c>
      <c r="H1036" s="8" t="inlineStr">
        <is>
          <t>Retención de Ingresos Brutos</t>
        </is>
      </c>
      <c r="I1036" s="9" t="n">
        <v>418.01</v>
      </c>
      <c r="J1036" s="9" t="inlineStr"/>
      <c r="K1036" s="8" t="inlineStr">
        <is>
          <t>Copiar en Flexxus: Tipo=MB-EXT | Movimiento=INGRESOS BRUTOS MENDOZA | Monto=418,01 | Fecha: 20/04/2026</t>
        </is>
      </c>
    </row>
    <row r="1037">
      <c r="A1037" s="8" t="inlineStr">
        <is>
          <t>PEND-92552C39B065-A001</t>
        </is>
      </c>
      <c r="B1037" s="8" t="inlineStr">
        <is>
          <t>ABIERTO_NUEVO</t>
        </is>
      </c>
      <c r="C1037" s="8" t="inlineStr">
        <is>
          <t>Banco egreso no Flexxus</t>
        </is>
      </c>
      <c r="D1037" s="8" t="inlineStr">
        <is>
          <t>20/04/2026</t>
        </is>
      </c>
      <c r="E1037" s="8" t="inlineStr">
        <is>
          <t>107346</t>
        </is>
      </c>
      <c r="F1037" s="8" t="inlineStr">
        <is>
          <t>GRAVAMEN LEY 25413 S/CRED</t>
        </is>
      </c>
      <c r="G1037" s="8" t="inlineStr">
        <is>
          <t>Anticipo Ganancias Ley 25.413 créditos</t>
        </is>
      </c>
      <c r="H1037" s="8" t="inlineStr">
        <is>
          <t>Anticipo Impuesto a las Ganancias</t>
        </is>
      </c>
      <c r="I1037" s="9" t="n">
        <v>250.81</v>
      </c>
      <c r="J1037" s="9" t="inlineStr"/>
      <c r="K1037" s="8" t="inlineStr">
        <is>
          <t>Copiar en Flexxus: Tipo=MB-EXT | Movimiento=GRAVAMEN LEY 25.413 S/CRED | Monto=250,81 | Fecha: 20/04/2026</t>
        </is>
      </c>
    </row>
    <row r="1038">
      <c r="A1038" s="8" t="inlineStr">
        <is>
          <t>PEND-F6D7DD4BAC3D-A001</t>
        </is>
      </c>
      <c r="B1038" s="8" t="inlineStr">
        <is>
          <t>ABIERTO_NUEVO</t>
        </is>
      </c>
      <c r="C1038" s="8" t="inlineStr">
        <is>
          <t>Banco egreso no Flexxus</t>
        </is>
      </c>
      <c r="D1038" s="8" t="inlineStr">
        <is>
          <t>20/04/2026</t>
        </is>
      </c>
      <c r="E1038" s="8" t="inlineStr">
        <is>
          <t>107345</t>
        </is>
      </c>
      <c r="F1038" s="8" t="inlineStr">
        <is>
          <t>INGRESOS BRUTOS MENDOZA</t>
        </is>
      </c>
      <c r="G1038" s="8" t="inlineStr">
        <is>
          <t>Retención Ingresos Brutos Mendoza</t>
        </is>
      </c>
      <c r="H1038" s="8" t="inlineStr">
        <is>
          <t>Retención de Ingresos Brutos</t>
        </is>
      </c>
      <c r="I1038" s="9" t="n">
        <v>320.86</v>
      </c>
      <c r="J1038" s="9" t="inlineStr"/>
      <c r="K1038" s="8" t="inlineStr">
        <is>
          <t>Copiar en Flexxus: Tipo=MB-EXT | Movimiento=INGRESOS BRUTOS MENDOZA | Monto=320,86 | Fecha: 20/04/2026</t>
        </is>
      </c>
    </row>
    <row r="1039">
      <c r="A1039" s="8" t="inlineStr">
        <is>
          <t>PEND-1AD93CEC280B-A001</t>
        </is>
      </c>
      <c r="B1039" s="8" t="inlineStr">
        <is>
          <t>ABIERTO_NUEVO</t>
        </is>
      </c>
      <c r="C1039" s="8" t="inlineStr">
        <is>
          <t>Banco egreso no Flexxus</t>
        </is>
      </c>
      <c r="D1039" s="8" t="inlineStr">
        <is>
          <t>20/04/2026</t>
        </is>
      </c>
      <c r="E1039" s="8" t="inlineStr">
        <is>
          <t>107345</t>
        </is>
      </c>
      <c r="F1039" s="8" t="inlineStr">
        <is>
          <t>GRAVAMEN LEY 25413 S/CRED</t>
        </is>
      </c>
      <c r="G1039" s="8" t="inlineStr">
        <is>
          <t>Anticipo Ganancias Ley 25.413 créditos</t>
        </is>
      </c>
      <c r="H1039" s="8" t="inlineStr">
        <is>
          <t>Anticipo Impuesto a las Ganancias</t>
        </is>
      </c>
      <c r="I1039" s="9" t="n">
        <v>192.52</v>
      </c>
      <c r="J1039" s="9" t="inlineStr"/>
      <c r="K1039" s="8" t="inlineStr">
        <is>
          <t>Copiar en Flexxus: Tipo=MB-EXT | Movimiento=GRAVAMEN LEY 25.413 S/CRED | Monto=192,52 | Fecha: 20/04/2026</t>
        </is>
      </c>
    </row>
    <row r="1040">
      <c r="A1040" s="8" t="inlineStr">
        <is>
          <t>PEND-D2A0ADB6445D-A001</t>
        </is>
      </c>
      <c r="B1040" s="8" t="inlineStr">
        <is>
          <t>ABIERTO_NUEVO</t>
        </is>
      </c>
      <c r="C1040" s="8" t="inlineStr">
        <is>
          <t>Banco egreso no Flexxus</t>
        </is>
      </c>
      <c r="D1040" s="8" t="inlineStr">
        <is>
          <t>20/04/2026</t>
        </is>
      </c>
      <c r="E1040" s="8" t="inlineStr">
        <is>
          <t>107344</t>
        </is>
      </c>
      <c r="F1040" s="8" t="inlineStr">
        <is>
          <t>INGRESOS BRUTOS MENDOZA</t>
        </is>
      </c>
      <c r="G1040" s="8" t="inlineStr">
        <is>
          <t>Retención Ingresos Brutos Mendoza</t>
        </is>
      </c>
      <c r="H1040" s="8" t="inlineStr">
        <is>
          <t>Retención de Ingresos Brutos</t>
        </is>
      </c>
      <c r="I1040" s="9" t="n">
        <v>60.31</v>
      </c>
      <c r="J1040" s="9" t="inlineStr"/>
      <c r="K1040" s="8" t="inlineStr">
        <is>
          <t>Copiar en Flexxus: Tipo=MB-EXT | Movimiento=INGRESOS BRUTOS MENDOZA | Monto=60,31 | Fecha: 20/04/2026</t>
        </is>
      </c>
    </row>
    <row r="1041">
      <c r="A1041" s="8" t="inlineStr">
        <is>
          <t>PEND-2EB96F529ABC-A001</t>
        </is>
      </c>
      <c r="B1041" s="8" t="inlineStr">
        <is>
          <t>ABIERTO_NUEVO</t>
        </is>
      </c>
      <c r="C1041" s="8" t="inlineStr">
        <is>
          <t>Banco egreso no Flexxus</t>
        </is>
      </c>
      <c r="D1041" s="8" t="inlineStr">
        <is>
          <t>20/04/2026</t>
        </is>
      </c>
      <c r="E1041" s="8" t="inlineStr">
        <is>
          <t>107344</t>
        </is>
      </c>
      <c r="F1041" s="8" t="inlineStr">
        <is>
          <t>GRAVAMEN LEY 25413 S/CRED</t>
        </is>
      </c>
      <c r="G1041" s="8" t="inlineStr">
        <is>
          <t>Anticipo Ganancias Ley 25.413 créditos</t>
        </is>
      </c>
      <c r="H1041" s="8" t="inlineStr">
        <is>
          <t>Anticipo Impuesto a las Ganancias</t>
        </is>
      </c>
      <c r="I1041" s="9" t="n">
        <v>36.19</v>
      </c>
      <c r="J1041" s="9" t="inlineStr"/>
      <c r="K1041" s="8" t="inlineStr">
        <is>
          <t>Copiar en Flexxus: Tipo=MB-EXT | Movimiento=GRAVAMEN LEY 25.413 S/CRED | Monto=36,19 | Fecha: 20/04/2026</t>
        </is>
      </c>
    </row>
    <row r="1042">
      <c r="A1042" s="8" t="inlineStr">
        <is>
          <t>PEND-614D0DD771C2-A001</t>
        </is>
      </c>
      <c r="B1042" s="8" t="inlineStr">
        <is>
          <t>ABIERTO_NUEVO</t>
        </is>
      </c>
      <c r="C1042" s="8" t="inlineStr">
        <is>
          <t>Banco egreso no Flexxus</t>
        </is>
      </c>
      <c r="D1042" s="8" t="inlineStr">
        <is>
          <t>20/04/2026</t>
        </is>
      </c>
      <c r="E1042" s="8" t="inlineStr">
        <is>
          <t>107343</t>
        </is>
      </c>
      <c r="F1042" s="8" t="inlineStr">
        <is>
          <t>INGRESOS BRUTOS MENDOZA</t>
        </is>
      </c>
      <c r="G1042" s="8" t="inlineStr">
        <is>
          <t>Retención Ingresos Brutos Mendoza</t>
        </is>
      </c>
      <c r="H1042" s="8" t="inlineStr">
        <is>
          <t>Retención de Ingresos Brutos</t>
        </is>
      </c>
      <c r="I1042" s="9" t="n">
        <v>173.7</v>
      </c>
      <c r="J1042" s="9" t="inlineStr"/>
      <c r="K1042" s="8" t="inlineStr">
        <is>
          <t>Copiar en Flexxus: Tipo=MB-EXT | Movimiento=INGRESOS BRUTOS MENDOZA | Monto=173,70 | Fecha: 20/04/2026</t>
        </is>
      </c>
    </row>
    <row r="1043">
      <c r="A1043" s="8" t="inlineStr">
        <is>
          <t>PEND-DA169CECEF5F-A001</t>
        </is>
      </c>
      <c r="B1043" s="8" t="inlineStr">
        <is>
          <t>ABIERTO_NUEVO</t>
        </is>
      </c>
      <c r="C1043" s="8" t="inlineStr">
        <is>
          <t>Banco egreso no Flexxus</t>
        </is>
      </c>
      <c r="D1043" s="8" t="inlineStr">
        <is>
          <t>20/04/2026</t>
        </is>
      </c>
      <c r="E1043" s="8" t="inlineStr">
        <is>
          <t>107343</t>
        </is>
      </c>
      <c r="F1043" s="8" t="inlineStr">
        <is>
          <t>GRAVAMEN LEY 25413 S/CRED</t>
        </is>
      </c>
      <c r="G1043" s="8" t="inlineStr">
        <is>
          <t>Anticipo Ganancias Ley 25.413 créditos</t>
        </is>
      </c>
      <c r="H1043" s="8" t="inlineStr">
        <is>
          <t>Anticipo Impuesto a las Ganancias</t>
        </is>
      </c>
      <c r="I1043" s="9" t="n">
        <v>104.22</v>
      </c>
      <c r="J1043" s="9" t="inlineStr"/>
      <c r="K1043" s="8" t="inlineStr">
        <is>
          <t>Copiar en Flexxus: Tipo=MB-EXT | Movimiento=GRAVAMEN LEY 25.413 S/CRED | Monto=104,22 | Fecha: 20/04/2026</t>
        </is>
      </c>
    </row>
    <row r="1044">
      <c r="A1044" s="8" t="inlineStr">
        <is>
          <t>PEND-E8C15BCA6801-A001</t>
        </is>
      </c>
      <c r="B1044" s="8" t="inlineStr">
        <is>
          <t>ABIERTO_NUEVO</t>
        </is>
      </c>
      <c r="C1044" s="8" t="inlineStr">
        <is>
          <t>Banco egreso no Flexxus</t>
        </is>
      </c>
      <c r="D1044" s="8" t="inlineStr">
        <is>
          <t>20/04/2026</t>
        </is>
      </c>
      <c r="E1044" s="8" t="inlineStr">
        <is>
          <t>107342</t>
        </is>
      </c>
      <c r="F1044" s="8" t="inlineStr">
        <is>
          <t>INGRESOS BRUTOS MENDOZA</t>
        </is>
      </c>
      <c r="G1044" s="8" t="inlineStr">
        <is>
          <t>Retención Ingresos Brutos Mendoza</t>
        </is>
      </c>
      <c r="H1044" s="8" t="inlineStr">
        <is>
          <t>Retención de Ingresos Brutos</t>
        </is>
      </c>
      <c r="I1044" s="9" t="n">
        <v>113.89</v>
      </c>
      <c r="J1044" s="9" t="inlineStr"/>
      <c r="K1044" s="8" t="inlineStr">
        <is>
          <t>Copiar en Flexxus: Tipo=MB-EXT | Movimiento=INGRESOS BRUTOS MENDOZA | Monto=113,89 | Fecha: 20/04/2026</t>
        </is>
      </c>
    </row>
    <row r="1045">
      <c r="A1045" s="8" t="inlineStr">
        <is>
          <t>PEND-F245A23FC31A-A001</t>
        </is>
      </c>
      <c r="B1045" s="8" t="inlineStr">
        <is>
          <t>ABIERTO_NUEVO</t>
        </is>
      </c>
      <c r="C1045" s="8" t="inlineStr">
        <is>
          <t>Banco egreso no Flexxus</t>
        </is>
      </c>
      <c r="D1045" s="8" t="inlineStr">
        <is>
          <t>20/04/2026</t>
        </is>
      </c>
      <c r="E1045" s="8" t="inlineStr">
        <is>
          <t>107342</t>
        </is>
      </c>
      <c r="F1045" s="8" t="inlineStr">
        <is>
          <t>GRAVAMEN LEY 25413 S/CRED</t>
        </is>
      </c>
      <c r="G1045" s="8" t="inlineStr">
        <is>
          <t>Anticipo Ganancias Ley 25.413 créditos</t>
        </is>
      </c>
      <c r="H1045" s="8" t="inlineStr">
        <is>
          <t>Anticipo Impuesto a las Ganancias</t>
        </is>
      </c>
      <c r="I1045" s="9" t="n">
        <v>68.33</v>
      </c>
      <c r="J1045" s="9" t="inlineStr"/>
      <c r="K1045" s="8" t="inlineStr">
        <is>
          <t>Copiar en Flexxus: Tipo=MB-EXT | Movimiento=GRAVAMEN LEY 25.413 S/CRED | Monto=68,33 | Fecha: 20/04/2026</t>
        </is>
      </c>
    </row>
    <row r="1046">
      <c r="A1046" s="8" t="inlineStr">
        <is>
          <t>PEND-09E59577A903-A001</t>
        </is>
      </c>
      <c r="B1046" s="8" t="inlineStr">
        <is>
          <t>ABIERTO_NUEVO</t>
        </is>
      </c>
      <c r="C1046" s="8" t="inlineStr">
        <is>
          <t>Banco egreso no Flexxus</t>
        </is>
      </c>
      <c r="D1046" s="8" t="inlineStr">
        <is>
          <t>20/04/2026</t>
        </is>
      </c>
      <c r="E1046" s="8" t="inlineStr">
        <is>
          <t>107341</t>
        </is>
      </c>
      <c r="F1046" s="8" t="inlineStr">
        <is>
          <t>INGRESOS BRUTOS MENDOZA</t>
        </is>
      </c>
      <c r="G1046" s="8" t="inlineStr">
        <is>
          <t>Retención Ingresos Brutos Mendoza</t>
        </is>
      </c>
      <c r="H1046" s="8" t="inlineStr">
        <is>
          <t>Retención de Ingresos Brutos</t>
        </is>
      </c>
      <c r="I1046" s="9" t="n">
        <v>121.81</v>
      </c>
      <c r="J1046" s="9" t="inlineStr"/>
      <c r="K1046" s="8" t="inlineStr">
        <is>
          <t>Copiar en Flexxus: Tipo=MB-EXT | Movimiento=INGRESOS BRUTOS MENDOZA | Monto=121,81 | Fecha: 20/04/2026</t>
        </is>
      </c>
    </row>
    <row r="1047">
      <c r="A1047" s="8" t="inlineStr">
        <is>
          <t>PEND-7CBDBBAEFEBF-A001</t>
        </is>
      </c>
      <c r="B1047" s="8" t="inlineStr">
        <is>
          <t>ABIERTO_NUEVO</t>
        </is>
      </c>
      <c r="C1047" s="8" t="inlineStr">
        <is>
          <t>Banco egreso no Flexxus</t>
        </is>
      </c>
      <c r="D1047" s="8" t="inlineStr">
        <is>
          <t>20/04/2026</t>
        </is>
      </c>
      <c r="E1047" s="8" t="inlineStr">
        <is>
          <t>107341</t>
        </is>
      </c>
      <c r="F1047" s="8" t="inlineStr">
        <is>
          <t>GRAVAMEN LEY 25413 S/CRED</t>
        </is>
      </c>
      <c r="G1047" s="8" t="inlineStr">
        <is>
          <t>Anticipo Ganancias Ley 25.413 créditos</t>
        </is>
      </c>
      <c r="H1047" s="8" t="inlineStr">
        <is>
          <t>Anticipo Impuesto a las Ganancias</t>
        </is>
      </c>
      <c r="I1047" s="9" t="n">
        <v>73.09</v>
      </c>
      <c r="J1047" s="9" t="inlineStr"/>
      <c r="K1047" s="8" t="inlineStr">
        <is>
          <t>Copiar en Flexxus: Tipo=MB-EXT | Movimiento=GRAVAMEN LEY 25.413 S/CRED | Monto=73,09 | Fecha: 20/04/2026</t>
        </is>
      </c>
    </row>
    <row r="1048">
      <c r="A1048" s="8" t="inlineStr">
        <is>
          <t>PEND-5566A87E71BF-A001</t>
        </is>
      </c>
      <c r="B1048" s="8" t="inlineStr">
        <is>
          <t>ABIERTO_NUEVO</t>
        </is>
      </c>
      <c r="C1048" s="8" t="inlineStr">
        <is>
          <t>Banco egreso no Flexxus</t>
        </is>
      </c>
      <c r="D1048" s="8" t="inlineStr">
        <is>
          <t>20/04/2026</t>
        </is>
      </c>
      <c r="E1048" s="8" t="inlineStr">
        <is>
          <t>107340</t>
        </is>
      </c>
      <c r="F1048" s="8" t="inlineStr">
        <is>
          <t>INGRESOS BRUTOS MENDOZA</t>
        </is>
      </c>
      <c r="G1048" s="8" t="inlineStr">
        <is>
          <t>Retención Ingresos Brutos Mendoza</t>
        </is>
      </c>
      <c r="H1048" s="8" t="inlineStr">
        <is>
          <t>Retención de Ingresos Brutos</t>
        </is>
      </c>
      <c r="I1048" s="9" t="n">
        <v>133.69</v>
      </c>
      <c r="J1048" s="9" t="inlineStr"/>
      <c r="K1048" s="8" t="inlineStr">
        <is>
          <t>Copiar en Flexxus: Tipo=MB-EXT | Movimiento=INGRESOS BRUTOS MENDOZA | Monto=133,69 | Fecha: 20/04/2026</t>
        </is>
      </c>
    </row>
    <row r="1049">
      <c r="A1049" s="8" t="inlineStr">
        <is>
          <t>PEND-46CFAB38D615-A001</t>
        </is>
      </c>
      <c r="B1049" s="8" t="inlineStr">
        <is>
          <t>ABIERTO_NUEVO</t>
        </is>
      </c>
      <c r="C1049" s="8" t="inlineStr">
        <is>
          <t>Banco egreso no Flexxus</t>
        </is>
      </c>
      <c r="D1049" s="8" t="inlineStr">
        <is>
          <t>20/04/2026</t>
        </is>
      </c>
      <c r="E1049" s="8" t="inlineStr">
        <is>
          <t>107340</t>
        </is>
      </c>
      <c r="F1049" s="8" t="inlineStr">
        <is>
          <t>GRAVAMEN LEY 25413 S/CRED</t>
        </is>
      </c>
      <c r="G1049" s="8" t="inlineStr">
        <is>
          <t>Anticipo Ganancias Ley 25.413 créditos</t>
        </is>
      </c>
      <c r="H1049" s="8" t="inlineStr">
        <is>
          <t>Anticipo Impuesto a las Ganancias</t>
        </is>
      </c>
      <c r="I1049" s="9" t="n">
        <v>80.22</v>
      </c>
      <c r="J1049" s="9" t="inlineStr"/>
      <c r="K1049" s="8" t="inlineStr">
        <is>
          <t>Copiar en Flexxus: Tipo=MB-EXT | Movimiento=GRAVAMEN LEY 25.413 S/CRED | Monto=80,22 | Fecha: 20/04/2026</t>
        </is>
      </c>
    </row>
    <row r="1050">
      <c r="A1050" s="8" t="inlineStr">
        <is>
          <t>PEND-00461C3DA67C-A001</t>
        </is>
      </c>
      <c r="B1050" s="8" t="inlineStr">
        <is>
          <t>ABIERTO_NUEVO</t>
        </is>
      </c>
      <c r="C1050" s="8" t="inlineStr">
        <is>
          <t>Banco egreso no Flexxus</t>
        </is>
      </c>
      <c r="D1050" s="8" t="inlineStr">
        <is>
          <t>20/04/2026</t>
        </is>
      </c>
      <c r="E1050" s="8" t="inlineStr">
        <is>
          <t>107339</t>
        </is>
      </c>
      <c r="F1050" s="8" t="inlineStr">
        <is>
          <t>INGRESOS BRUTOS MENDOZA</t>
        </is>
      </c>
      <c r="G1050" s="8" t="inlineStr">
        <is>
          <t>Retención Ingresos Brutos Mendoza</t>
        </is>
      </c>
      <c r="H1050" s="8" t="inlineStr">
        <is>
          <t>Retención de Ingresos Brutos</t>
        </is>
      </c>
      <c r="I1050" s="9" t="n">
        <v>117.85</v>
      </c>
      <c r="J1050" s="9" t="inlineStr"/>
      <c r="K1050" s="8" t="inlineStr">
        <is>
          <t>Copiar en Flexxus: Tipo=MB-EXT | Movimiento=INGRESOS BRUTOS MENDOZA | Monto=117,85 | Fecha: 20/04/2026</t>
        </is>
      </c>
    </row>
    <row r="1051">
      <c r="A1051" s="8" t="inlineStr">
        <is>
          <t>PEND-61765B1CDD1D-A001</t>
        </is>
      </c>
      <c r="B1051" s="8" t="inlineStr">
        <is>
          <t>ABIERTO_NUEVO</t>
        </is>
      </c>
      <c r="C1051" s="8" t="inlineStr">
        <is>
          <t>Banco egreso no Flexxus</t>
        </is>
      </c>
      <c r="D1051" s="8" t="inlineStr">
        <is>
          <t>20/04/2026</t>
        </is>
      </c>
      <c r="E1051" s="8" t="inlineStr">
        <is>
          <t>107339</t>
        </is>
      </c>
      <c r="F1051" s="8" t="inlineStr">
        <is>
          <t>GRAVAMEN LEY 25413 S/CRED</t>
        </is>
      </c>
      <c r="G1051" s="8" t="inlineStr">
        <is>
          <t>Anticipo Ganancias Ley 25.413 créditos</t>
        </is>
      </c>
      <c r="H1051" s="8" t="inlineStr">
        <is>
          <t>Anticipo Impuesto a las Ganancias</t>
        </is>
      </c>
      <c r="I1051" s="9" t="n">
        <v>70.70999999999999</v>
      </c>
      <c r="J1051" s="9" t="inlineStr"/>
      <c r="K1051" s="8" t="inlineStr">
        <is>
          <t>Copiar en Flexxus: Tipo=MB-EXT | Movimiento=GRAVAMEN LEY 25.413 S/CRED | Monto=70,71 | Fecha: 20/04/2026</t>
        </is>
      </c>
    </row>
    <row r="1052">
      <c r="A1052" s="8" t="inlineStr">
        <is>
          <t>PEND-FEB7F675D5B6-A001</t>
        </is>
      </c>
      <c r="B1052" s="8" t="inlineStr">
        <is>
          <t>ABIERTO_NUEVO</t>
        </is>
      </c>
      <c r="C1052" s="8" t="inlineStr">
        <is>
          <t>Banco egreso no Flexxus</t>
        </is>
      </c>
      <c r="D1052" s="8" t="inlineStr">
        <is>
          <t>20/04/2026</t>
        </is>
      </c>
      <c r="E1052" s="8" t="inlineStr">
        <is>
          <t>107337</t>
        </is>
      </c>
      <c r="F1052" s="8" t="inlineStr">
        <is>
          <t>INGRESOS BRUTOS MENDOZA</t>
        </is>
      </c>
      <c r="G1052" s="8" t="inlineStr">
        <is>
          <t>Retención Ingresos Brutos Mendoza</t>
        </is>
      </c>
      <c r="H1052" s="8" t="inlineStr">
        <is>
          <t>Retención de Ingresos Brutos</t>
        </is>
      </c>
      <c r="I1052" s="9" t="n">
        <v>544.6799999999999</v>
      </c>
      <c r="J1052" s="9" t="inlineStr"/>
      <c r="K1052" s="8" t="inlineStr">
        <is>
          <t>Copiar en Flexxus: Tipo=MB-EXT | Movimiento=INGRESOS BRUTOS MENDOZA | Monto=544,68 | Fecha: 20/04/2026</t>
        </is>
      </c>
    </row>
    <row r="1053">
      <c r="A1053" s="8" t="inlineStr">
        <is>
          <t>PEND-BC3284C83F87-A001</t>
        </is>
      </c>
      <c r="B1053" s="8" t="inlineStr">
        <is>
          <t>ABIERTO_NUEVO</t>
        </is>
      </c>
      <c r="C1053" s="8" t="inlineStr">
        <is>
          <t>Banco egreso no Flexxus</t>
        </is>
      </c>
      <c r="D1053" s="8" t="inlineStr">
        <is>
          <t>20/04/2026</t>
        </is>
      </c>
      <c r="E1053" s="8" t="inlineStr">
        <is>
          <t>107337</t>
        </is>
      </c>
      <c r="F1053" s="8" t="inlineStr">
        <is>
          <t>GRAVAMEN LEY 25413 S/CRED</t>
        </is>
      </c>
      <c r="G1053" s="8" t="inlineStr">
        <is>
          <t>Anticipo Ganancias Ley 25.413 créditos</t>
        </is>
      </c>
      <c r="H1053" s="8" t="inlineStr">
        <is>
          <t>Anticipo Impuesto a las Ganancias</t>
        </is>
      </c>
      <c r="I1053" s="9" t="n">
        <v>326.81</v>
      </c>
      <c r="J1053" s="9" t="inlineStr"/>
      <c r="K1053" s="8" t="inlineStr">
        <is>
          <t>Copiar en Flexxus: Tipo=MB-EXT | Movimiento=GRAVAMEN LEY 25.413 S/CRED | Monto=326,81 | Fecha: 20/04/2026</t>
        </is>
      </c>
    </row>
    <row r="1054">
      <c r="A1054" s="8" t="inlineStr">
        <is>
          <t>PEND-A562BC4CF22D-A001</t>
        </is>
      </c>
      <c r="B1054" s="8" t="inlineStr">
        <is>
          <t>ABIERTO_NUEVO</t>
        </is>
      </c>
      <c r="C1054" s="8" t="inlineStr">
        <is>
          <t>Banco egreso no Flexxus</t>
        </is>
      </c>
      <c r="D1054" s="8" t="inlineStr">
        <is>
          <t>20/04/2026</t>
        </is>
      </c>
      <c r="E1054" s="8" t="inlineStr">
        <is>
          <t>107336</t>
        </is>
      </c>
      <c r="F1054" s="8" t="inlineStr">
        <is>
          <t>INGRESOS BRUTOS MENDOZA</t>
        </is>
      </c>
      <c r="G1054" s="8" t="inlineStr">
        <is>
          <t>Retención Ingresos Brutos Mendoza</t>
        </is>
      </c>
      <c r="H1054" s="8" t="inlineStr">
        <is>
          <t>Retención de Ingresos Brutos</t>
        </is>
      </c>
      <c r="I1054" s="9" t="n">
        <v>84.18000000000001</v>
      </c>
      <c r="J1054" s="9" t="inlineStr"/>
      <c r="K1054" s="8" t="inlineStr">
        <is>
          <t>Copiar en Flexxus: Tipo=MB-EXT | Movimiento=INGRESOS BRUTOS MENDOZA | Monto=84,18 | Fecha: 20/04/2026</t>
        </is>
      </c>
    </row>
    <row r="1055">
      <c r="A1055" s="8" t="inlineStr">
        <is>
          <t>PEND-5726798700D6-A001</t>
        </is>
      </c>
      <c r="B1055" s="8" t="inlineStr">
        <is>
          <t>ABIERTO_NUEVO</t>
        </is>
      </c>
      <c r="C1055" s="8" t="inlineStr">
        <is>
          <t>Banco egreso no Flexxus</t>
        </is>
      </c>
      <c r="D1055" s="8" t="inlineStr">
        <is>
          <t>20/04/2026</t>
        </is>
      </c>
      <c r="E1055" s="8" t="inlineStr">
        <is>
          <t>107336</t>
        </is>
      </c>
      <c r="F1055" s="8" t="inlineStr">
        <is>
          <t>GRAVAMEN LEY 25413 S/CRED</t>
        </is>
      </c>
      <c r="G1055" s="8" t="inlineStr">
        <is>
          <t>Anticipo Ganancias Ley 25.413 créditos</t>
        </is>
      </c>
      <c r="H1055" s="8" t="inlineStr">
        <is>
          <t>Anticipo Impuesto a las Ganancias</t>
        </is>
      </c>
      <c r="I1055" s="9" t="n">
        <v>50.51</v>
      </c>
      <c r="J1055" s="9" t="inlineStr"/>
      <c r="K1055" s="8" t="inlineStr">
        <is>
          <t>Copiar en Flexxus: Tipo=MB-EXT | Movimiento=GRAVAMEN LEY 25.413 S/CRED | Monto=50,51 | Fecha: 20/04/2026</t>
        </is>
      </c>
    </row>
    <row r="1056">
      <c r="A1056" s="8" t="inlineStr">
        <is>
          <t>PEND-BD331351A20A-A001</t>
        </is>
      </c>
      <c r="B1056" s="8" t="inlineStr">
        <is>
          <t>ABIERTO_NUEVO</t>
        </is>
      </c>
      <c r="C1056" s="8" t="inlineStr">
        <is>
          <t>Banco egreso no Flexxus</t>
        </is>
      </c>
      <c r="D1056" s="8" t="inlineStr">
        <is>
          <t>20/04/2026</t>
        </is>
      </c>
      <c r="E1056" s="8" t="inlineStr">
        <is>
          <t>107335</t>
        </is>
      </c>
      <c r="F1056" s="8" t="inlineStr">
        <is>
          <t>INGRESOS BRUTOS MENDOZA</t>
        </is>
      </c>
      <c r="G1056" s="8" t="inlineStr">
        <is>
          <t>Retención Ingresos Brutos Mendoza</t>
        </is>
      </c>
      <c r="H1056" s="8" t="inlineStr">
        <is>
          <t>Retención de Ingresos Brutos</t>
        </is>
      </c>
      <c r="I1056" s="9" t="n">
        <v>674.41</v>
      </c>
      <c r="J1056" s="9" t="inlineStr"/>
      <c r="K1056" s="8" t="inlineStr">
        <is>
          <t>Copiar en Flexxus: Tipo=MB-EXT | Movimiento=INGRESOS BRUTOS MENDOZA | Monto=674,41 | Fecha: 20/04/2026</t>
        </is>
      </c>
    </row>
    <row r="1057">
      <c r="A1057" s="8" t="inlineStr">
        <is>
          <t>PEND-83019B798F24-A001</t>
        </is>
      </c>
      <c r="B1057" s="8" t="inlineStr">
        <is>
          <t>ABIERTO_NUEVO</t>
        </is>
      </c>
      <c r="C1057" s="8" t="inlineStr">
        <is>
          <t>Banco egreso no Flexxus</t>
        </is>
      </c>
      <c r="D1057" s="8" t="inlineStr">
        <is>
          <t>20/04/2026</t>
        </is>
      </c>
      <c r="E1057" s="8" t="inlineStr">
        <is>
          <t>107335</t>
        </is>
      </c>
      <c r="F1057" s="8" t="inlineStr">
        <is>
          <t>GRAVAMEN LEY 25413 S/CRED</t>
        </is>
      </c>
      <c r="G1057" s="8" t="inlineStr">
        <is>
          <t>Anticipo Ganancias Ley 25.413 créditos</t>
        </is>
      </c>
      <c r="H1057" s="8" t="inlineStr">
        <is>
          <t>Anticipo Impuesto a las Ganancias</t>
        </is>
      </c>
      <c r="I1057" s="9" t="n">
        <v>404.64</v>
      </c>
      <c r="J1057" s="9" t="inlineStr"/>
      <c r="K1057" s="8" t="inlineStr">
        <is>
          <t>Copiar en Flexxus: Tipo=MB-EXT | Movimiento=GRAVAMEN LEY 25.413 S/CRED | Monto=404,64 | Fecha: 20/04/2026</t>
        </is>
      </c>
    </row>
    <row r="1058">
      <c r="A1058" s="8" t="inlineStr">
        <is>
          <t>PEND-6FBD0017D046-A001</t>
        </is>
      </c>
      <c r="B1058" s="8" t="inlineStr">
        <is>
          <t>ABIERTO_NUEVO</t>
        </is>
      </c>
      <c r="C1058" s="8" t="inlineStr">
        <is>
          <t>Banco egreso no Flexxus</t>
        </is>
      </c>
      <c r="D1058" s="8" t="inlineStr">
        <is>
          <t>20/04/2026</t>
        </is>
      </c>
      <c r="E1058" s="8" t="inlineStr">
        <is>
          <t>107334</t>
        </is>
      </c>
      <c r="F1058" s="8" t="inlineStr">
        <is>
          <t>INGRESOS BRUTOS MENDOZA</t>
        </is>
      </c>
      <c r="G1058" s="8" t="inlineStr">
        <is>
          <t>Retención Ingresos Brutos Mendoza</t>
        </is>
      </c>
      <c r="H1058" s="8" t="inlineStr">
        <is>
          <t>Retención de Ingresos Brutos</t>
        </is>
      </c>
      <c r="I1058" s="9" t="n">
        <v>918.03</v>
      </c>
      <c r="J1058" s="9" t="inlineStr"/>
      <c r="K1058" s="8" t="inlineStr">
        <is>
          <t>Copiar en Flexxus: Tipo=MB-EXT | Movimiento=INGRESOS BRUTOS MENDOZA | Monto=918,03 | Fecha: 20/04/2026</t>
        </is>
      </c>
    </row>
    <row r="1059">
      <c r="A1059" s="8" t="inlineStr">
        <is>
          <t>PEND-4F98850CAEB8-A001</t>
        </is>
      </c>
      <c r="B1059" s="8" t="inlineStr">
        <is>
          <t>ABIERTO_NUEVO</t>
        </is>
      </c>
      <c r="C1059" s="8" t="inlineStr">
        <is>
          <t>Banco egreso no Flexxus</t>
        </is>
      </c>
      <c r="D1059" s="8" t="inlineStr">
        <is>
          <t>20/04/2026</t>
        </is>
      </c>
      <c r="E1059" s="8" t="inlineStr">
        <is>
          <t>107334</t>
        </is>
      </c>
      <c r="F1059" s="8" t="inlineStr">
        <is>
          <t>GRAVAMEN LEY 25413 S/CRED</t>
        </is>
      </c>
      <c r="G1059" s="8" t="inlineStr">
        <is>
          <t>Anticipo Ganancias Ley 25.413 créditos</t>
        </is>
      </c>
      <c r="H1059" s="8" t="inlineStr">
        <is>
          <t>Anticipo Impuesto a las Ganancias</t>
        </is>
      </c>
      <c r="I1059" s="9" t="n">
        <v>550.8200000000001</v>
      </c>
      <c r="J1059" s="9" t="inlineStr"/>
      <c r="K1059" s="8" t="inlineStr">
        <is>
          <t>Copiar en Flexxus: Tipo=MB-EXT | Movimiento=GRAVAMEN LEY 25.413 S/CRED | Monto=550,82 | Fecha: 20/04/2026</t>
        </is>
      </c>
    </row>
    <row r="1060">
      <c r="A1060" s="8" t="inlineStr">
        <is>
          <t>PEND-6EA150F6471E-A001</t>
        </is>
      </c>
      <c r="B1060" s="8" t="inlineStr">
        <is>
          <t>ABIERTO_NUEVO</t>
        </is>
      </c>
      <c r="C1060" s="8" t="inlineStr">
        <is>
          <t>Banco egreso no Flexxus</t>
        </is>
      </c>
      <c r="D1060" s="8" t="inlineStr">
        <is>
          <t>20/04/2026</t>
        </is>
      </c>
      <c r="E1060" s="8" t="inlineStr">
        <is>
          <t>107333</t>
        </is>
      </c>
      <c r="F1060" s="8" t="inlineStr">
        <is>
          <t>INGRESOS BRUTOS MENDOZA</t>
        </is>
      </c>
      <c r="G1060" s="8" t="inlineStr">
        <is>
          <t>Retención Ingresos Brutos Mendoza</t>
        </is>
      </c>
      <c r="H1060" s="8" t="inlineStr">
        <is>
          <t>Retención de Ingresos Brutos</t>
        </is>
      </c>
      <c r="I1060" s="9" t="n">
        <v>346.61</v>
      </c>
      <c r="J1060" s="9" t="inlineStr"/>
      <c r="K1060" s="8" t="inlineStr">
        <is>
          <t>Copiar en Flexxus: Tipo=MB-EXT | Movimiento=INGRESOS BRUTOS MENDOZA | Monto=346,61 | Fecha: 20/04/2026</t>
        </is>
      </c>
    </row>
    <row r="1061">
      <c r="A1061" s="8" t="inlineStr">
        <is>
          <t>PEND-5B90D3C11033-A001</t>
        </is>
      </c>
      <c r="B1061" s="8" t="inlineStr">
        <is>
          <t>ABIERTO_NUEVO</t>
        </is>
      </c>
      <c r="C1061" s="8" t="inlineStr">
        <is>
          <t>Banco egreso no Flexxus</t>
        </is>
      </c>
      <c r="D1061" s="8" t="inlineStr">
        <is>
          <t>20/04/2026</t>
        </is>
      </c>
      <c r="E1061" s="8" t="inlineStr">
        <is>
          <t>107333</t>
        </is>
      </c>
      <c r="F1061" s="8" t="inlineStr">
        <is>
          <t>GRAVAMEN LEY 25413 S/CRED</t>
        </is>
      </c>
      <c r="G1061" s="8" t="inlineStr">
        <is>
          <t>Anticipo Ganancias Ley 25.413 créditos</t>
        </is>
      </c>
      <c r="H1061" s="8" t="inlineStr">
        <is>
          <t>Anticipo Impuesto a las Ganancias</t>
        </is>
      </c>
      <c r="I1061" s="9" t="n">
        <v>207.97</v>
      </c>
      <c r="J1061" s="9" t="inlineStr"/>
      <c r="K1061" s="8" t="inlineStr">
        <is>
          <t>Copiar en Flexxus: Tipo=MB-EXT | Movimiento=GRAVAMEN LEY 25.413 S/CRED | Monto=207,97 | Fecha: 20/04/2026</t>
        </is>
      </c>
    </row>
    <row r="1062">
      <c r="A1062" s="8" t="inlineStr">
        <is>
          <t>PEND-B95A8A60E446-A001</t>
        </is>
      </c>
      <c r="B1062" s="8" t="inlineStr">
        <is>
          <t>ABIERTO_NUEVO</t>
        </is>
      </c>
      <c r="C1062" s="8" t="inlineStr">
        <is>
          <t>Banco egreso no Flexxus</t>
        </is>
      </c>
      <c r="D1062" s="8" t="inlineStr">
        <is>
          <t>20/04/2026</t>
        </is>
      </c>
      <c r="E1062" s="8" t="inlineStr">
        <is>
          <t>107332</t>
        </is>
      </c>
      <c r="F1062" s="8" t="inlineStr">
        <is>
          <t>INGRESOS BRUTOS MENDOZA</t>
        </is>
      </c>
      <c r="G1062" s="8" t="inlineStr">
        <is>
          <t>Retención Ingresos Brutos Mendoza</t>
        </is>
      </c>
      <c r="H1062" s="8" t="inlineStr">
        <is>
          <t>Retención de Ingresos Brutos</t>
        </is>
      </c>
      <c r="I1062" s="9" t="n">
        <v>732.84</v>
      </c>
      <c r="J1062" s="9" t="inlineStr"/>
      <c r="K1062" s="8" t="inlineStr">
        <is>
          <t>Copiar en Flexxus: Tipo=MB-EXT | Movimiento=INGRESOS BRUTOS MENDOZA | Monto=732,84 | Fecha: 20/04/2026</t>
        </is>
      </c>
    </row>
    <row r="1063">
      <c r="A1063" s="8" t="inlineStr">
        <is>
          <t>PEND-AE6D6C315A25-A001</t>
        </is>
      </c>
      <c r="B1063" s="8" t="inlineStr">
        <is>
          <t>ABIERTO_NUEVO</t>
        </is>
      </c>
      <c r="C1063" s="8" t="inlineStr">
        <is>
          <t>Banco egreso no Flexxus</t>
        </is>
      </c>
      <c r="D1063" s="8" t="inlineStr">
        <is>
          <t>20/04/2026</t>
        </is>
      </c>
      <c r="E1063" s="8" t="inlineStr">
        <is>
          <t>107332</t>
        </is>
      </c>
      <c r="F1063" s="8" t="inlineStr">
        <is>
          <t>GRAVAMEN LEY 25413 S/CRED</t>
        </is>
      </c>
      <c r="G1063" s="8" t="inlineStr">
        <is>
          <t>Anticipo Ganancias Ley 25.413 créditos</t>
        </is>
      </c>
      <c r="H1063" s="8" t="inlineStr">
        <is>
          <t>Anticipo Impuesto a las Ganancias</t>
        </is>
      </c>
      <c r="I1063" s="9" t="n">
        <v>439.7</v>
      </c>
      <c r="J1063" s="9" t="inlineStr"/>
      <c r="K1063" s="8" t="inlineStr">
        <is>
          <t>Copiar en Flexxus: Tipo=MB-EXT | Movimiento=GRAVAMEN LEY 25.413 S/CRED | Monto=439,70 | Fecha: 20/04/2026</t>
        </is>
      </c>
    </row>
    <row r="1064">
      <c r="A1064" s="8" t="inlineStr">
        <is>
          <t>PEND-5A18203CF106-A001</t>
        </is>
      </c>
      <c r="B1064" s="8" t="inlineStr">
        <is>
          <t>ABIERTO_NUEVO</t>
        </is>
      </c>
      <c r="C1064" s="8" t="inlineStr">
        <is>
          <t>Banco egreso no Flexxus</t>
        </is>
      </c>
      <c r="D1064" s="8" t="inlineStr">
        <is>
          <t>20/04/2026</t>
        </is>
      </c>
      <c r="E1064" s="8" t="inlineStr">
        <is>
          <t>107331</t>
        </is>
      </c>
      <c r="F1064" s="8" t="inlineStr">
        <is>
          <t>INGRESOS BRUTOS MENDOZA</t>
        </is>
      </c>
      <c r="G1064" s="8" t="inlineStr">
        <is>
          <t>Retención Ingresos Brutos Mendoza</t>
        </is>
      </c>
      <c r="H1064" s="8" t="inlineStr">
        <is>
          <t>Retención de Ingresos Brutos</t>
        </is>
      </c>
      <c r="I1064" s="9" t="n">
        <v>583.3</v>
      </c>
      <c r="J1064" s="9" t="inlineStr"/>
      <c r="K1064" s="8" t="inlineStr">
        <is>
          <t>Copiar en Flexxus: Tipo=MB-EXT | Movimiento=INGRESOS BRUTOS MENDOZA | Monto=583,30 | Fecha: 20/04/2026</t>
        </is>
      </c>
    </row>
    <row r="1065">
      <c r="A1065" s="8" t="inlineStr">
        <is>
          <t>PEND-EA16D731FE0D-A001</t>
        </is>
      </c>
      <c r="B1065" s="8" t="inlineStr">
        <is>
          <t>ABIERTO_NUEVO</t>
        </is>
      </c>
      <c r="C1065" s="8" t="inlineStr">
        <is>
          <t>Banco egreso no Flexxus</t>
        </is>
      </c>
      <c r="D1065" s="8" t="inlineStr">
        <is>
          <t>20/04/2026</t>
        </is>
      </c>
      <c r="E1065" s="8" t="inlineStr">
        <is>
          <t>107331</t>
        </is>
      </c>
      <c r="F1065" s="8" t="inlineStr">
        <is>
          <t>GRAVAMEN LEY 25413 S/CRED</t>
        </is>
      </c>
      <c r="G1065" s="8" t="inlineStr">
        <is>
          <t>Anticipo Ganancias Ley 25.413 créditos</t>
        </is>
      </c>
      <c r="H1065" s="8" t="inlineStr">
        <is>
          <t>Anticipo Impuesto a las Ganancias</t>
        </is>
      </c>
      <c r="I1065" s="9" t="n">
        <v>349.98</v>
      </c>
      <c r="J1065" s="9" t="inlineStr"/>
      <c r="K1065" s="8" t="inlineStr">
        <is>
          <t>Copiar en Flexxus: Tipo=MB-EXT | Movimiento=GRAVAMEN LEY 25.413 S/CRED | Monto=349,98 | Fecha: 20/04/2026</t>
        </is>
      </c>
    </row>
    <row r="1066">
      <c r="A1066" s="8" t="inlineStr">
        <is>
          <t>PEND-FAED785947F1-A001</t>
        </is>
      </c>
      <c r="B1066" s="8" t="inlineStr">
        <is>
          <t>ABIERTO_NUEVO</t>
        </is>
      </c>
      <c r="C1066" s="8" t="inlineStr">
        <is>
          <t>Banco egreso no Flexxus</t>
        </is>
      </c>
      <c r="D1066" s="8" t="inlineStr">
        <is>
          <t>20/04/2026</t>
        </is>
      </c>
      <c r="E1066" s="8" t="inlineStr">
        <is>
          <t>107330</t>
        </is>
      </c>
      <c r="F1066" s="8" t="inlineStr">
        <is>
          <t>INGRESOS BRUTOS MENDOZA</t>
        </is>
      </c>
      <c r="G1066" s="8" t="inlineStr">
        <is>
          <t>Retención Ingresos Brutos Mendoza</t>
        </is>
      </c>
      <c r="H1066" s="8" t="inlineStr">
        <is>
          <t>Retención de Ingresos Brutos</t>
        </is>
      </c>
      <c r="I1066" s="9" t="n">
        <v>665.99</v>
      </c>
      <c r="J1066" s="9" t="inlineStr"/>
      <c r="K1066" s="8" t="inlineStr">
        <is>
          <t>Copiar en Flexxus: Tipo=MB-EXT | Movimiento=INGRESOS BRUTOS MENDOZA | Monto=665,99 | Fecha: 20/04/2026</t>
        </is>
      </c>
    </row>
    <row r="1067">
      <c r="A1067" s="8" t="inlineStr">
        <is>
          <t>PEND-30B37E91A652-A001</t>
        </is>
      </c>
      <c r="B1067" s="8" t="inlineStr">
        <is>
          <t>ABIERTO_NUEVO</t>
        </is>
      </c>
      <c r="C1067" s="8" t="inlineStr">
        <is>
          <t>Banco egreso no Flexxus</t>
        </is>
      </c>
      <c r="D1067" s="8" t="inlineStr">
        <is>
          <t>20/04/2026</t>
        </is>
      </c>
      <c r="E1067" s="8" t="inlineStr">
        <is>
          <t>107330</t>
        </is>
      </c>
      <c r="F1067" s="8" t="inlineStr">
        <is>
          <t>GRAVAMEN LEY 25413 S/CRED</t>
        </is>
      </c>
      <c r="G1067" s="8" t="inlineStr">
        <is>
          <t>Anticipo Ganancias Ley 25.413 créditos</t>
        </is>
      </c>
      <c r="H1067" s="8" t="inlineStr">
        <is>
          <t>Anticipo Impuesto a las Ganancias</t>
        </is>
      </c>
      <c r="I1067" s="9" t="n">
        <v>399.59</v>
      </c>
      <c r="J1067" s="9" t="inlineStr"/>
      <c r="K1067" s="8" t="inlineStr">
        <is>
          <t>Copiar en Flexxus: Tipo=MB-EXT | Movimiento=GRAVAMEN LEY 25.413 S/CRED | Monto=399,59 | Fecha: 20/04/2026</t>
        </is>
      </c>
    </row>
    <row r="1068">
      <c r="A1068" s="8" t="inlineStr">
        <is>
          <t>PEND-97666B4D7390-A001</t>
        </is>
      </c>
      <c r="B1068" s="8" t="inlineStr">
        <is>
          <t>ABIERTO_NUEVO</t>
        </is>
      </c>
      <c r="C1068" s="8" t="inlineStr">
        <is>
          <t>Banco egreso no Flexxus</t>
        </is>
      </c>
      <c r="D1068" s="8" t="inlineStr">
        <is>
          <t>20/04/2026</t>
        </is>
      </c>
      <c r="E1068" s="8" t="inlineStr">
        <is>
          <t>107506</t>
        </is>
      </c>
      <c r="F1068" s="8" t="inlineStr">
        <is>
          <t>I.V.A. BASE</t>
        </is>
      </c>
      <c r="G1068" s="8" t="inlineStr">
        <is>
          <t>IVA base / IVA sobre gastos</t>
        </is>
      </c>
      <c r="H1068" s="8" t="inlineStr">
        <is>
          <t>IVA crédito fiscal / revisar</t>
        </is>
      </c>
      <c r="I1068" s="9" t="n">
        <v>200.76</v>
      </c>
      <c r="J1068" s="9" t="inlineStr"/>
      <c r="K1068" s="8" t="inlineStr">
        <is>
          <t>Copiar en Flexxus: Tipo=MB-EXT | Movimiento=I.V.A. BASE | Monto=200,76 | Fecha: 20/04/2026</t>
        </is>
      </c>
    </row>
    <row r="1069">
      <c r="A1069" s="8" t="inlineStr">
        <is>
          <t>PEND-EDC6ADB7DF92-A001</t>
        </is>
      </c>
      <c r="B1069" s="8" t="inlineStr">
        <is>
          <t>ABIERTO_NUEVO</t>
        </is>
      </c>
      <c r="C1069" s="8" t="inlineStr">
        <is>
          <t>Banco egreso no Flexxus</t>
        </is>
      </c>
      <c r="D1069" s="8" t="inlineStr">
        <is>
          <t>20/04/2026</t>
        </is>
      </c>
      <c r="E1069" s="8" t="inlineStr">
        <is>
          <t>107505</t>
        </is>
      </c>
      <c r="F1069" s="8" t="inlineStr">
        <is>
          <t>COM TRANSFE ELECTRONICA</t>
        </is>
      </c>
      <c r="G1069" s="8" t="inlineStr">
        <is>
          <t>Gasto bancario / comisión</t>
        </is>
      </c>
      <c r="H1069" s="8" t="inlineStr">
        <is>
          <t>Revisar según concepto</t>
        </is>
      </c>
      <c r="I1069" s="9" t="n">
        <v>956</v>
      </c>
      <c r="J1069" s="9" t="inlineStr"/>
      <c r="K1069" s="8" t="inlineStr">
        <is>
          <t>Copiar en Flexxus: Tipo=MB-EXT | Movimiento=COM TRANSFE ELECTRONICA | Monto=956,00 | Fecha: 20/04/2026</t>
        </is>
      </c>
    </row>
    <row r="1070">
      <c r="A1070" s="8" t="inlineStr">
        <is>
          <t>PEND-9F6B598FAEFA-A001</t>
        </is>
      </c>
      <c r="B1070" s="8" t="inlineStr">
        <is>
          <t>ABIERTO_NUEVO</t>
        </is>
      </c>
      <c r="C1070" s="8" t="inlineStr">
        <is>
          <t>Banco egreso no Flexxus</t>
        </is>
      </c>
      <c r="D1070" s="8" t="inlineStr">
        <is>
          <t>20/04/2026</t>
        </is>
      </c>
      <c r="E1070" s="8" t="inlineStr">
        <is>
          <t>31995644</t>
        </is>
      </c>
      <c r="F1070" s="8" t="inlineStr">
        <is>
          <t>DEB LIQ MASTERCARD 24H</t>
        </is>
      </c>
      <c r="G1070" s="8" t="inlineStr">
        <is>
          <t>Débito liquidación tarjeta</t>
        </is>
      </c>
      <c r="H1070" s="8" t="inlineStr">
        <is>
          <t>Revisar según concepto</t>
        </is>
      </c>
      <c r="I1070" s="9" t="n">
        <v>170.04</v>
      </c>
      <c r="J1070" s="9" t="inlineStr"/>
      <c r="K1070" s="8" t="inlineStr">
        <is>
          <t>Copiar en Flexxus: Tipo=MB-EXT | Movimiento=DEB LIQ MASTERCARD 24H | Monto=170,04 | Fecha: 20/04/2026</t>
        </is>
      </c>
    </row>
    <row r="1071">
      <c r="A1071" s="8" t="inlineStr">
        <is>
          <t>PEND-FBDAA2086489-A001</t>
        </is>
      </c>
      <c r="B1071" s="8" t="inlineStr">
        <is>
          <t>ABIERTO_NUEVO</t>
        </is>
      </c>
      <c r="C1071" s="8" t="inlineStr">
        <is>
          <t>Banco egreso no Flexxus</t>
        </is>
      </c>
      <c r="D1071" s="8" t="inlineStr">
        <is>
          <t>20/04/2026</t>
        </is>
      </c>
      <c r="E1071" s="8" t="inlineStr">
        <is>
          <t>29841705</t>
        </is>
      </c>
      <c r="F1071" s="8" t="inlineStr">
        <is>
          <t>DEB LIQ MASTERCARD 24H</t>
        </is>
      </c>
      <c r="G1071" s="8" t="inlineStr">
        <is>
          <t>Débito liquidación tarjeta</t>
        </is>
      </c>
      <c r="H1071" s="8" t="inlineStr">
        <is>
          <t>Revisar según concepto</t>
        </is>
      </c>
      <c r="I1071" s="9" t="n">
        <v>25.27</v>
      </c>
      <c r="J1071" s="9" t="inlineStr"/>
      <c r="K1071" s="8" t="inlineStr">
        <is>
          <t>Copiar en Flexxus: Tipo=MB-EXT | Movimiento=DEB LIQ MASTERCARD 24H | Monto=25,27 | Fecha: 20/04/2026</t>
        </is>
      </c>
    </row>
  </sheetData>
  <autoFilter ref="A1:K10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16" customWidth="1" min="3" max="3"/>
    <col width="10" customWidth="1" min="4" max="4"/>
    <col width="13" customWidth="1" min="5" max="5"/>
    <col width="23" customWidth="1" min="6" max="6"/>
    <col width="14" customWidth="1" min="7" max="7"/>
    <col width="13" customWidth="1" min="8" max="8"/>
    <col width="21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AGREGADO-PAVQR</t>
        </is>
      </c>
      <c r="B3" s="8" t="inlineStr">
        <is>
          <t>PAV QR agregado contra banco</t>
        </is>
      </c>
      <c r="C3" s="8" t="inlineStr">
        <is>
          <t>20/04/2026</t>
        </is>
      </c>
      <c r="D3" s="8" t="inlineStr">
        <is>
          <t>PAV</t>
        </is>
      </c>
      <c r="E3" s="8" t="inlineStr">
        <is>
          <t>1600010644</t>
        </is>
      </c>
      <c r="F3" s="8" t="inlineStr">
        <is>
          <t>PAGO TARJETA CREDITO</t>
        </is>
      </c>
      <c r="G3" s="8" t="n">
        <v>104</v>
      </c>
      <c r="H3" s="9" t="n">
        <v>4376172.08</v>
      </c>
      <c r="I3" s="8" t="inlineStr">
        <is>
          <t>OK agregado PAV/QR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6" customWidth="1" min="3" max="3"/>
    <col width="13" customWidth="1" min="4" max="4"/>
    <col width="19" customWidth="1" min="5" max="5"/>
    <col width="32" customWidth="1" min="6" max="6"/>
    <col width="45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242</v>
      </c>
      <c r="C2" s="4" t="n">
        <v>40677139.64</v>
      </c>
    </row>
    <row r="3">
      <c r="A3" s="2" t="inlineStr">
        <is>
          <t>MB-ENT-EX</t>
        </is>
      </c>
      <c r="B3" s="2" t="n">
        <v>8</v>
      </c>
      <c r="C3" s="4" t="n">
        <v>50600000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250</v>
      </c>
      <c r="C5" s="4" t="n">
        <v>91277139.64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18/04/2026</t>
        </is>
      </c>
      <c r="B7" s="8" t="inlineStr">
        <is>
          <t>MB-ENT-EX</t>
        </is>
      </c>
      <c r="C7" s="8" t="inlineStr">
        <is>
          <t>0000-00026285</t>
        </is>
      </c>
      <c r="D7" s="9" t="n">
        <v>15000000</v>
      </c>
      <c r="E7" s="8" t="inlineStr">
        <is>
          <t>20/04/2026</t>
        </is>
      </c>
      <c r="F7" s="8" t="inlineStr">
        <is>
          <t>20/04/2026</t>
        </is>
      </c>
      <c r="G7" s="8" t="inlineStr">
        <is>
          <t>DEB.TRAN.INTERBMISMO TIT</t>
        </is>
      </c>
      <c r="H7" s="8" t="inlineStr">
        <is>
          <t>107338</t>
        </is>
      </c>
      <c r="I7" s="8" t="inlineStr">
        <is>
          <t>No</t>
        </is>
      </c>
    </row>
    <row r="8">
      <c r="A8" s="8" t="inlineStr">
        <is>
          <t>19/04/2026</t>
        </is>
      </c>
      <c r="B8" s="8" t="inlineStr">
        <is>
          <t>MB-ENT-EX</t>
        </is>
      </c>
      <c r="C8" s="8" t="inlineStr">
        <is>
          <t>0000-00026442</t>
        </is>
      </c>
      <c r="D8" s="9" t="n">
        <v>9000000</v>
      </c>
      <c r="E8" s="8" t="inlineStr">
        <is>
          <t>20/04/2026</t>
        </is>
      </c>
      <c r="F8" s="8" t="inlineStr">
        <is>
          <t>20/04/2026</t>
        </is>
      </c>
      <c r="G8" s="8" t="inlineStr">
        <is>
          <t>DB CREDIN TRANSFERENCIA</t>
        </is>
      </c>
      <c r="H8" s="8" t="inlineStr">
        <is>
          <t>107465</t>
        </is>
      </c>
      <c r="I8" s="8" t="inlineStr">
        <is>
          <t>No</t>
        </is>
      </c>
    </row>
    <row r="9">
      <c r="A9" s="8" t="inlineStr">
        <is>
          <t>19/04/2026</t>
        </is>
      </c>
      <c r="B9" s="8" t="inlineStr">
        <is>
          <t>MB-ENT-EX</t>
        </is>
      </c>
      <c r="C9" s="8" t="inlineStr">
        <is>
          <t>0000-00026443</t>
        </is>
      </c>
      <c r="D9" s="9" t="n">
        <v>2000000</v>
      </c>
      <c r="E9" s="8" t="inlineStr">
        <is>
          <t>20/04/2026</t>
        </is>
      </c>
      <c r="F9" s="8" t="inlineStr">
        <is>
          <t>20/04/2026</t>
        </is>
      </c>
      <c r="G9" s="8" t="inlineStr">
        <is>
          <t>DB CREDIN TRANSFERENCIA</t>
        </is>
      </c>
      <c r="H9" s="8" t="inlineStr">
        <is>
          <t>107466</t>
        </is>
      </c>
      <c r="I9" s="8" t="inlineStr">
        <is>
          <t>No</t>
        </is>
      </c>
    </row>
    <row r="10">
      <c r="A10" s="8" t="inlineStr">
        <is>
          <t>20/04/2026</t>
        </is>
      </c>
      <c r="B10" s="8" t="inlineStr">
        <is>
          <t>MB-ENT-EX</t>
        </is>
      </c>
      <c r="C10" s="8" t="inlineStr">
        <is>
          <t>0000-00026447</t>
        </is>
      </c>
      <c r="D10" s="9" t="n">
        <v>2000000</v>
      </c>
      <c r="E10" s="8" t="inlineStr">
        <is>
          <t>20/04/2026</t>
        </is>
      </c>
      <c r="F10" s="8" t="inlineStr">
        <is>
          <t>20/04/2026</t>
        </is>
      </c>
      <c r="G10" s="8" t="inlineStr">
        <is>
          <t>DB CREDIN TRANSFERENCIA</t>
        </is>
      </c>
      <c r="H10" s="8" t="inlineStr">
        <is>
          <t>107467</t>
        </is>
      </c>
      <c r="I10" s="8" t="inlineStr">
        <is>
          <t>No</t>
        </is>
      </c>
    </row>
    <row r="11">
      <c r="A11" s="8" t="inlineStr">
        <is>
          <t>20/04/2026</t>
        </is>
      </c>
      <c r="B11" s="8" t="inlineStr">
        <is>
          <t>PAV</t>
        </is>
      </c>
      <c r="C11" s="8" t="inlineStr">
        <is>
          <t>2300013922</t>
        </is>
      </c>
      <c r="D11" s="9" t="n">
        <v>16835.44</v>
      </c>
      <c r="E11" s="8" t="inlineStr">
        <is>
          <t>20/04/2026</t>
        </is>
      </c>
      <c r="F11" s="8" t="inlineStr">
        <is>
          <t>20/04/2026</t>
        </is>
      </c>
      <c r="G11" s="8" t="inlineStr">
        <is>
          <t>CR DEBIN SPOT - CUIT/CUIL: 30711424179</t>
        </is>
      </c>
      <c r="H11" s="8" t="inlineStr">
        <is>
          <t>107468</t>
        </is>
      </c>
      <c r="I11" s="8" t="inlineStr">
        <is>
          <t>No</t>
        </is>
      </c>
    </row>
    <row r="12">
      <c r="A12" s="8" t="inlineStr">
        <is>
          <t>20/04/2026</t>
        </is>
      </c>
      <c r="B12" s="8" t="inlineStr">
        <is>
          <t>PAV</t>
        </is>
      </c>
      <c r="C12" s="8" t="inlineStr">
        <is>
          <t>2300013925</t>
        </is>
      </c>
      <c r="D12" s="9" t="n">
        <v>17924.79</v>
      </c>
      <c r="E12" s="8" t="inlineStr">
        <is>
          <t>20/04/2026</t>
        </is>
      </c>
      <c r="F12" s="8" t="inlineStr">
        <is>
          <t>20/04/2026</t>
        </is>
      </c>
      <c r="G12" s="8" t="inlineStr">
        <is>
          <t>CR DEBIN SPOT - CUIT/CUIL: 30711424179</t>
        </is>
      </c>
      <c r="H12" s="8" t="inlineStr">
        <is>
          <t>107469</t>
        </is>
      </c>
      <c r="I12" s="8" t="inlineStr">
        <is>
          <t>No</t>
        </is>
      </c>
    </row>
    <row r="13">
      <c r="A13" s="8" t="inlineStr">
        <is>
          <t>20/04/2026</t>
        </is>
      </c>
      <c r="B13" s="8" t="inlineStr">
        <is>
          <t>PAV</t>
        </is>
      </c>
      <c r="C13" s="8" t="inlineStr">
        <is>
          <t>3400068386</t>
        </is>
      </c>
      <c r="D13" s="9" t="n">
        <v>103729.5</v>
      </c>
      <c r="E13" s="8" t="inlineStr">
        <is>
          <t>20/04/2026</t>
        </is>
      </c>
      <c r="F13" s="8" t="inlineStr">
        <is>
          <t>20/04/2026</t>
        </is>
      </c>
      <c r="G13" s="8" t="inlineStr">
        <is>
          <t>CR LIQ MASTER DEB 24H</t>
        </is>
      </c>
      <c r="H13" s="8" t="inlineStr">
        <is>
          <t>29841705</t>
        </is>
      </c>
      <c r="I13" s="8" t="inlineStr">
        <is>
          <t>No</t>
        </is>
      </c>
    </row>
    <row r="14">
      <c r="A14" s="8" t="inlineStr">
        <is>
          <t>20/04/2026</t>
        </is>
      </c>
      <c r="B14" s="8" t="inlineStr">
        <is>
          <t>PAV</t>
        </is>
      </c>
      <c r="C14" s="8" t="inlineStr">
        <is>
          <t>3400068388</t>
        </is>
      </c>
      <c r="D14" s="9" t="n">
        <v>35215.92</v>
      </c>
      <c r="E14" s="8" t="inlineStr">
        <is>
          <t>20/04/2026</t>
        </is>
      </c>
      <c r="F14" s="8" t="inlineStr">
        <is>
          <t>20/04/2026</t>
        </is>
      </c>
      <c r="G14" s="8" t="inlineStr">
        <is>
          <t>CR LIQ MASTERCARD 24H</t>
        </is>
      </c>
      <c r="H14" s="8" t="inlineStr">
        <is>
          <t>29841705</t>
        </is>
      </c>
      <c r="I14" s="8" t="inlineStr">
        <is>
          <t>No</t>
        </is>
      </c>
    </row>
    <row r="15">
      <c r="A15" s="8" t="inlineStr">
        <is>
          <t>20/04/2026</t>
        </is>
      </c>
      <c r="B15" s="8" t="inlineStr">
        <is>
          <t>PAV</t>
        </is>
      </c>
      <c r="C15" s="8" t="inlineStr">
        <is>
          <t>2100058007</t>
        </is>
      </c>
      <c r="D15" s="9" t="n">
        <v>11388.68</v>
      </c>
      <c r="E15" s="8" t="inlineStr">
        <is>
          <t>20/04/2026</t>
        </is>
      </c>
      <c r="F15" s="8" t="inlineStr">
        <is>
          <t>20/04/2026</t>
        </is>
      </c>
      <c r="G15" s="8" t="inlineStr">
        <is>
          <t>CR DEBIN SPOT - CUIT/CUIL: 30711424179</t>
        </is>
      </c>
      <c r="H15" s="8" t="inlineStr">
        <is>
          <t>107431</t>
        </is>
      </c>
      <c r="I15" s="8" t="inlineStr">
        <is>
          <t>No</t>
        </is>
      </c>
    </row>
    <row r="16">
      <c r="A16" s="8" t="inlineStr">
        <is>
          <t>20/04/2026</t>
        </is>
      </c>
      <c r="B16" s="8" t="inlineStr">
        <is>
          <t>PAV</t>
        </is>
      </c>
      <c r="C16" s="8" t="inlineStr">
        <is>
          <t>2100058008</t>
        </is>
      </c>
      <c r="D16" s="9" t="n">
        <v>22777.36</v>
      </c>
      <c r="E16" s="8" t="inlineStr">
        <is>
          <t>20/04/2026</t>
        </is>
      </c>
      <c r="F16" s="8" t="inlineStr">
        <is>
          <t>20/04/2026</t>
        </is>
      </c>
      <c r="G16" s="8" t="inlineStr">
        <is>
          <t>CR DEBIN SPOT - CUIT/CUIL: 30711424179</t>
        </is>
      </c>
      <c r="H16" s="8" t="inlineStr">
        <is>
          <t>107438</t>
        </is>
      </c>
      <c r="I16" s="8" t="inlineStr">
        <is>
          <t>No</t>
        </is>
      </c>
    </row>
    <row r="17">
      <c r="A17" s="8" t="inlineStr">
        <is>
          <t>20/04/2026</t>
        </is>
      </c>
      <c r="B17" s="8" t="inlineStr">
        <is>
          <t>PAV</t>
        </is>
      </c>
      <c r="C17" s="8" t="inlineStr">
        <is>
          <t>2300013929</t>
        </is>
      </c>
      <c r="D17" s="9" t="n">
        <v>24956.06</v>
      </c>
      <c r="E17" s="8" t="inlineStr">
        <is>
          <t>20/04/2026</t>
        </is>
      </c>
      <c r="F17" s="8" t="inlineStr">
        <is>
          <t>20/04/2026</t>
        </is>
      </c>
      <c r="G17" s="8" t="inlineStr">
        <is>
          <t>CR DEBIN SPOT - CUIT/CUIL: 30711424179</t>
        </is>
      </c>
      <c r="H17" s="8" t="inlineStr">
        <is>
          <t>107473</t>
        </is>
      </c>
      <c r="I17" s="8" t="inlineStr">
        <is>
          <t>No</t>
        </is>
      </c>
    </row>
    <row r="18">
      <c r="A18" s="8" t="inlineStr">
        <is>
          <t>20/04/2026</t>
        </is>
      </c>
      <c r="B18" s="8" t="inlineStr">
        <is>
          <t>PAV</t>
        </is>
      </c>
      <c r="C18" s="8" t="inlineStr">
        <is>
          <t>2300013930</t>
        </is>
      </c>
      <c r="D18" s="9" t="n">
        <v>155396.67</v>
      </c>
      <c r="E18" s="8" t="inlineStr">
        <is>
          <t>20/04/2026</t>
        </is>
      </c>
      <c r="F18" s="8" t="inlineStr">
        <is>
          <t>20/04/2026</t>
        </is>
      </c>
      <c r="G18" s="8" t="inlineStr">
        <is>
          <t>CR LIQ MASTER DEB 24H</t>
        </is>
      </c>
      <c r="H18" s="8" t="inlineStr">
        <is>
          <t>32032899</t>
        </is>
      </c>
      <c r="I18" s="8" t="inlineStr">
        <is>
          <t>No</t>
        </is>
      </c>
    </row>
    <row r="19">
      <c r="A19" s="8" t="inlineStr">
        <is>
          <t>20/04/2026</t>
        </is>
      </c>
      <c r="B19" s="8" t="inlineStr">
        <is>
          <t>PAV</t>
        </is>
      </c>
      <c r="C19" s="8" t="inlineStr">
        <is>
          <t>2300013931</t>
        </is>
      </c>
      <c r="D19" s="9" t="n">
        <v>35802.85</v>
      </c>
      <c r="E19" s="8" t="inlineStr">
        <is>
          <t>20/04/2026</t>
        </is>
      </c>
      <c r="F19" s="8" t="inlineStr">
        <is>
          <t>20/04/2026</t>
        </is>
      </c>
      <c r="G19" s="8" t="inlineStr">
        <is>
          <t>CR LIQ MASTER DEB 24H</t>
        </is>
      </c>
      <c r="H19" s="8" t="inlineStr">
        <is>
          <t>32032899</t>
        </is>
      </c>
      <c r="I19" s="8" t="inlineStr">
        <is>
          <t>No</t>
        </is>
      </c>
    </row>
    <row r="20">
      <c r="A20" s="8" t="inlineStr">
        <is>
          <t>20/04/2026</t>
        </is>
      </c>
      <c r="B20" s="8" t="inlineStr">
        <is>
          <t>PAV</t>
        </is>
      </c>
      <c r="C20" s="8" t="inlineStr">
        <is>
          <t>2300013932</t>
        </is>
      </c>
      <c r="D20" s="9" t="n">
        <v>34122.07</v>
      </c>
      <c r="E20" s="8" t="inlineStr">
        <is>
          <t>20/04/2026</t>
        </is>
      </c>
      <c r="F20" s="8" t="inlineStr">
        <is>
          <t>20/04/2026</t>
        </is>
      </c>
      <c r="G20" s="8" t="inlineStr">
        <is>
          <t>CR LIQ MASTER DEB 24H</t>
        </is>
      </c>
      <c r="H20" s="8" t="inlineStr">
        <is>
          <t>32032899</t>
        </is>
      </c>
      <c r="I20" s="8" t="inlineStr">
        <is>
          <t>No</t>
        </is>
      </c>
    </row>
    <row r="21">
      <c r="A21" s="8" t="inlineStr">
        <is>
          <t>20/04/2026</t>
        </is>
      </c>
      <c r="B21" s="8" t="inlineStr">
        <is>
          <t>PAV</t>
        </is>
      </c>
      <c r="C21" s="8" t="inlineStr">
        <is>
          <t>2300013933</t>
        </is>
      </c>
      <c r="D21" s="9" t="n">
        <v>115795.49</v>
      </c>
      <c r="E21" s="8" t="inlineStr">
        <is>
          <t>24/04/2026</t>
        </is>
      </c>
      <c r="F21" s="8" t="inlineStr">
        <is>
          <t>24/04/2026</t>
        </is>
      </c>
      <c r="G21" s="8" t="inlineStr">
        <is>
          <t>CR LIQ AMEX/MADQ FIS 24H</t>
        </is>
      </c>
      <c r="H21" s="8" t="inlineStr">
        <is>
          <t>32032899</t>
        </is>
      </c>
      <c r="I21" s="8" t="inlineStr">
        <is>
          <t>No</t>
        </is>
      </c>
    </row>
    <row r="22">
      <c r="A22" s="8" t="inlineStr">
        <is>
          <t>20/04/2026</t>
        </is>
      </c>
      <c r="B22" s="8" t="inlineStr">
        <is>
          <t>PAV</t>
        </is>
      </c>
      <c r="C22" s="8" t="inlineStr">
        <is>
          <t>2300013934</t>
        </is>
      </c>
      <c r="D22" s="9" t="n">
        <v>2493792.83</v>
      </c>
      <c r="E22" s="8" t="inlineStr">
        <is>
          <t>23/04/2026</t>
        </is>
      </c>
      <c r="F22" s="8" t="inlineStr">
        <is>
          <t>23/04/2026</t>
        </is>
      </c>
      <c r="G22" s="8" t="inlineStr">
        <is>
          <t>CR LIQ MASTER DEB 24H</t>
        </is>
      </c>
      <c r="H22" s="8" t="inlineStr">
        <is>
          <t>32032899</t>
        </is>
      </c>
      <c r="I22" s="8" t="inlineStr">
        <is>
          <t>No</t>
        </is>
      </c>
    </row>
    <row r="23">
      <c r="A23" s="8" t="inlineStr">
        <is>
          <t>20/04/2026</t>
        </is>
      </c>
      <c r="B23" s="8" t="inlineStr">
        <is>
          <t>PAV</t>
        </is>
      </c>
      <c r="C23" s="8" t="inlineStr">
        <is>
          <t>2300013935</t>
        </is>
      </c>
      <c r="D23" s="9" t="n">
        <v>836894.08</v>
      </c>
      <c r="E23" s="8" t="inlineStr">
        <is>
          <t>23/04/2026</t>
        </is>
      </c>
      <c r="F23" s="8" t="inlineStr">
        <is>
          <t>23/04/2026</t>
        </is>
      </c>
      <c r="G23" s="8" t="inlineStr">
        <is>
          <t>CR LIQ MASTERCARD 24H</t>
        </is>
      </c>
      <c r="H23" s="8" t="inlineStr">
        <is>
          <t>32032899</t>
        </is>
      </c>
      <c r="I23" s="8" t="inlineStr">
        <is>
          <t>No</t>
        </is>
      </c>
    </row>
    <row r="24">
      <c r="A24" s="8" t="inlineStr">
        <is>
          <t>20/04/2026</t>
        </is>
      </c>
      <c r="B24" s="8" t="inlineStr">
        <is>
          <t>PAV</t>
        </is>
      </c>
      <c r="C24" s="8" t="inlineStr">
        <is>
          <t>2300013936</t>
        </is>
      </c>
      <c r="D24" s="9" t="n">
        <v>91267.92999999999</v>
      </c>
      <c r="E24" s="8" t="inlineStr">
        <is>
          <t>24/04/2026</t>
        </is>
      </c>
      <c r="F24" s="8" t="inlineStr">
        <is>
          <t>24/04/2026</t>
        </is>
      </c>
      <c r="G24" s="8" t="inlineStr">
        <is>
          <t>CR LIQ MASTERCARD 24H</t>
        </is>
      </c>
      <c r="H24" s="8" t="inlineStr">
        <is>
          <t>32032899</t>
        </is>
      </c>
      <c r="I24" s="8" t="inlineStr">
        <is>
          <t>No</t>
        </is>
      </c>
    </row>
    <row r="25">
      <c r="A25" s="8" t="inlineStr">
        <is>
          <t>20/04/2026</t>
        </is>
      </c>
      <c r="B25" s="8" t="inlineStr">
        <is>
          <t>PAV</t>
        </is>
      </c>
      <c r="C25" s="8" t="inlineStr">
        <is>
          <t>2300013937</t>
        </is>
      </c>
      <c r="D25" s="9" t="n">
        <v>114290.79</v>
      </c>
      <c r="E25" s="8" t="inlineStr">
        <is>
          <t>22/04/2026</t>
        </is>
      </c>
      <c r="F25" s="8" t="inlineStr">
        <is>
          <t>22/04/2026</t>
        </is>
      </c>
      <c r="G25" s="8" t="inlineStr">
        <is>
          <t>CR LIQ MASTER DEB 24H</t>
        </is>
      </c>
      <c r="H25" s="8" t="inlineStr">
        <is>
          <t>32032899</t>
        </is>
      </c>
      <c r="I25" s="8" t="inlineStr">
        <is>
          <t>No</t>
        </is>
      </c>
    </row>
    <row r="26">
      <c r="A26" s="8" t="inlineStr">
        <is>
          <t>20/04/2026</t>
        </is>
      </c>
      <c r="B26" s="8" t="inlineStr">
        <is>
          <t>PAV</t>
        </is>
      </c>
      <c r="C26" s="8" t="inlineStr">
        <is>
          <t>2300013938</t>
        </is>
      </c>
      <c r="D26" s="9" t="n">
        <v>196024.83</v>
      </c>
      <c r="E26" s="8" t="inlineStr">
        <is>
          <t>22/04/2026</t>
        </is>
      </c>
      <c r="F26" s="8" t="inlineStr">
        <is>
          <t>22/04/2026</t>
        </is>
      </c>
      <c r="G26" s="8" t="inlineStr">
        <is>
          <t>CR LIQ MASTERCARD 24H</t>
        </is>
      </c>
      <c r="H26" s="8" t="inlineStr">
        <is>
          <t>32032899</t>
        </is>
      </c>
      <c r="I26" s="8" t="inlineStr">
        <is>
          <t>No</t>
        </is>
      </c>
    </row>
    <row r="27">
      <c r="A27" s="8" t="inlineStr">
        <is>
          <t>20/04/2026</t>
        </is>
      </c>
      <c r="B27" s="8" t="inlineStr">
        <is>
          <t>PAV</t>
        </is>
      </c>
      <c r="C27" s="8" t="inlineStr">
        <is>
          <t>2300013939</t>
        </is>
      </c>
      <c r="D27" s="9" t="n">
        <v>454083.48</v>
      </c>
      <c r="E27" s="8" t="inlineStr">
        <is>
          <t>21/04/2026</t>
        </is>
      </c>
      <c r="F27" s="8" t="inlineStr">
        <is>
          <t>21/04/2026</t>
        </is>
      </c>
      <c r="G27" s="8" t="inlineStr">
        <is>
          <t>CR LIQ MASTER DEB 24H</t>
        </is>
      </c>
      <c r="H27" s="8" t="inlineStr">
        <is>
          <t>32032899</t>
        </is>
      </c>
      <c r="I27" s="8" t="inlineStr">
        <is>
          <t>No</t>
        </is>
      </c>
    </row>
    <row r="28">
      <c r="A28" s="8" t="inlineStr">
        <is>
          <t>20/04/2026</t>
        </is>
      </c>
      <c r="B28" s="8" t="inlineStr">
        <is>
          <t>PAV</t>
        </is>
      </c>
      <c r="C28" s="8" t="inlineStr">
        <is>
          <t>2300013940</t>
        </is>
      </c>
      <c r="D28" s="9" t="n">
        <v>214502.99</v>
      </c>
      <c r="E28" s="8" t="inlineStr">
        <is>
          <t>21/04/2026</t>
        </is>
      </c>
      <c r="F28" s="8" t="inlineStr">
        <is>
          <t>21/04/2026</t>
        </is>
      </c>
      <c r="G28" s="8" t="inlineStr">
        <is>
          <t>CR LIQ MASTERCARD 24H</t>
        </is>
      </c>
      <c r="H28" s="8" t="inlineStr">
        <is>
          <t>32032899</t>
        </is>
      </c>
      <c r="I28" s="8" t="inlineStr">
        <is>
          <t>No</t>
        </is>
      </c>
    </row>
    <row r="29">
      <c r="A29" s="8" t="inlineStr">
        <is>
          <t>20/04/2026</t>
        </is>
      </c>
      <c r="B29" s="8" t="inlineStr">
        <is>
          <t>PAV</t>
        </is>
      </c>
      <c r="C29" s="8" t="inlineStr">
        <is>
          <t>1600010644</t>
        </is>
      </c>
      <c r="D29" s="9" t="n">
        <v>4376172.08</v>
      </c>
      <c r="E29" s="8" t="inlineStr">
        <is>
          <t>20/04/2026</t>
        </is>
      </c>
      <c r="F29" s="8" t="inlineStr">
        <is>
          <t>20/04/2026</t>
        </is>
      </c>
      <c r="G29" s="8" t="inlineStr">
        <is>
          <t>Regularización QR período anterior (acumulado)</t>
        </is>
      </c>
      <c r="H29" s="8" t="inlineStr">
        <is>
          <t>AGREGADO_QR</t>
        </is>
      </c>
      <c r="I29" s="8" t="inlineStr">
        <is>
          <t>No</t>
        </is>
      </c>
    </row>
    <row r="30">
      <c r="A30" s="8" t="inlineStr">
        <is>
          <t>20/04/2026</t>
        </is>
      </c>
      <c r="B30" s="8" t="inlineStr">
        <is>
          <t>PAV</t>
        </is>
      </c>
      <c r="C30" s="8" t="inlineStr">
        <is>
          <t>1600010646</t>
        </is>
      </c>
      <c r="D30" s="9" t="n">
        <v>2253210.69</v>
      </c>
      <c r="E30" s="8" t="inlineStr">
        <is>
          <t>20/04/2026</t>
        </is>
      </c>
      <c r="F30" s="8" t="inlineStr">
        <is>
          <t>20/04/2026</t>
        </is>
      </c>
      <c r="G30" s="8" t="inlineStr">
        <is>
          <t>C BE TR O/BCO-DIS TIT IBK - CUIT/CUIL: 30715221159</t>
        </is>
      </c>
      <c r="H30" s="8" t="inlineStr">
        <is>
          <t>4018025</t>
        </is>
      </c>
      <c r="I30" s="8" t="inlineStr">
        <is>
          <t>No</t>
        </is>
      </c>
    </row>
    <row r="31">
      <c r="A31" s="8" t="inlineStr">
        <is>
          <t>21/04/2026</t>
        </is>
      </c>
      <c r="B31" s="8" t="inlineStr">
        <is>
          <t>PAV</t>
        </is>
      </c>
      <c r="C31" s="8" t="inlineStr">
        <is>
          <t>2200022506</t>
        </is>
      </c>
      <c r="D31" s="9" t="n">
        <v>91659.21000000001</v>
      </c>
      <c r="E31" s="8" t="inlineStr">
        <is>
          <t>20/04/2026</t>
        </is>
      </c>
      <c r="F31" s="8" t="inlineStr">
        <is>
          <t>21/04/2026</t>
        </is>
      </c>
      <c r="G31" s="8" t="inlineStr">
        <is>
          <t>CR LIQ MASTER DEB 24H</t>
        </is>
      </c>
      <c r="H31" s="8" t="inlineStr">
        <is>
          <t>31995644</t>
        </is>
      </c>
      <c r="I31" s="8" t="inlineStr">
        <is>
          <t>Sí</t>
        </is>
      </c>
    </row>
    <row r="32">
      <c r="A32" s="8" t="inlineStr">
        <is>
          <t>21/04/2026</t>
        </is>
      </c>
      <c r="B32" s="8" t="inlineStr">
        <is>
          <t>PAV</t>
        </is>
      </c>
      <c r="C32" s="8" t="inlineStr">
        <is>
          <t>2200022507</t>
        </is>
      </c>
      <c r="D32" s="9" t="n">
        <v>92246.14999999999</v>
      </c>
      <c r="E32" s="8" t="inlineStr">
        <is>
          <t>21/04/2026</t>
        </is>
      </c>
      <c r="F32" s="8" t="inlineStr">
        <is>
          <t>21/04/2026</t>
        </is>
      </c>
      <c r="G32" s="8" t="inlineStr">
        <is>
          <t>CR LIQ MASTER DEB 24H</t>
        </is>
      </c>
      <c r="H32" s="8" t="inlineStr">
        <is>
          <t>31995644</t>
        </is>
      </c>
      <c r="I32" s="8" t="inlineStr">
        <is>
          <t>No</t>
        </is>
      </c>
    </row>
    <row r="33">
      <c r="A33" s="8" t="inlineStr">
        <is>
          <t>21/04/2026</t>
        </is>
      </c>
      <c r="B33" s="8" t="inlineStr">
        <is>
          <t>PAV</t>
        </is>
      </c>
      <c r="C33" s="8" t="inlineStr">
        <is>
          <t>2200022509</t>
        </is>
      </c>
      <c r="D33" s="9" t="n">
        <v>274532.55</v>
      </c>
      <c r="E33" s="8" t="inlineStr">
        <is>
          <t>21/04/2026</t>
        </is>
      </c>
      <c r="F33" s="8" t="inlineStr">
        <is>
          <t>21/04/2026</t>
        </is>
      </c>
      <c r="G33" s="8" t="inlineStr">
        <is>
          <t>CR LIQ MASTER DEB 24H</t>
        </is>
      </c>
      <c r="H33" s="8" t="inlineStr">
        <is>
          <t>31995644</t>
        </is>
      </c>
      <c r="I33" s="8" t="inlineStr">
        <is>
          <t>No</t>
        </is>
      </c>
    </row>
    <row r="34">
      <c r="A34" s="8" t="inlineStr">
        <is>
          <t>21/04/2026</t>
        </is>
      </c>
      <c r="B34" s="8" t="inlineStr">
        <is>
          <t>PAV</t>
        </is>
      </c>
      <c r="C34" s="8" t="inlineStr">
        <is>
          <t>2200022510</t>
        </is>
      </c>
      <c r="D34" s="9" t="n">
        <v>593448.84</v>
      </c>
      <c r="E34" s="8" t="inlineStr">
        <is>
          <t>20/04/2026</t>
        </is>
      </c>
      <c r="F34" s="8" t="inlineStr">
        <is>
          <t>21/04/2026</t>
        </is>
      </c>
      <c r="G34" s="8" t="inlineStr">
        <is>
          <t>CR LIQ MASTER DEB 24H</t>
        </is>
      </c>
      <c r="H34" s="8" t="inlineStr">
        <is>
          <t>31995644</t>
        </is>
      </c>
      <c r="I34" s="8" t="inlineStr">
        <is>
          <t>Sí</t>
        </is>
      </c>
    </row>
    <row r="35">
      <c r="A35" s="8" t="inlineStr">
        <is>
          <t>21/04/2026</t>
        </is>
      </c>
      <c r="B35" s="8" t="inlineStr">
        <is>
          <t>PAV</t>
        </is>
      </c>
      <c r="C35" s="8" t="inlineStr">
        <is>
          <t>2200022511</t>
        </is>
      </c>
      <c r="D35" s="9" t="n">
        <v>2070898.43</v>
      </c>
      <c r="E35" s="8" t="inlineStr">
        <is>
          <t>21/04/2026</t>
        </is>
      </c>
      <c r="F35" s="8" t="inlineStr">
        <is>
          <t>21/04/2026</t>
        </is>
      </c>
      <c r="G35" s="8" t="inlineStr">
        <is>
          <t>CR LIQ MASTER DEB 24H</t>
        </is>
      </c>
      <c r="H35" s="8" t="inlineStr">
        <is>
          <t>31995644</t>
        </is>
      </c>
      <c r="I35" s="8" t="inlineStr">
        <is>
          <t>No</t>
        </is>
      </c>
    </row>
    <row r="36">
      <c r="A36" s="8" t="inlineStr">
        <is>
          <t>21/04/2026</t>
        </is>
      </c>
      <c r="B36" s="8" t="inlineStr">
        <is>
          <t>PAV</t>
        </is>
      </c>
      <c r="C36" s="8" t="inlineStr">
        <is>
          <t>2200022512</t>
        </is>
      </c>
      <c r="D36" s="9" t="n">
        <v>626555.58</v>
      </c>
      <c r="E36" s="8" t="inlineStr">
        <is>
          <t>21/04/2026</t>
        </is>
      </c>
      <c r="F36" s="8" t="inlineStr">
        <is>
          <t>21/04/2026</t>
        </is>
      </c>
      <c r="G36" s="8" t="inlineStr">
        <is>
          <t>CR LIQ AMEX/MADQ FIS 24H</t>
        </is>
      </c>
      <c r="H36" s="8" t="inlineStr">
        <is>
          <t>31995644</t>
        </is>
      </c>
      <c r="I36" s="8" t="inlineStr">
        <is>
          <t>No</t>
        </is>
      </c>
    </row>
    <row r="37">
      <c r="A37" s="8" t="inlineStr">
        <is>
          <t>21/04/2026</t>
        </is>
      </c>
      <c r="B37" s="8" t="inlineStr">
        <is>
          <t>PAV</t>
        </is>
      </c>
      <c r="C37" s="8" t="inlineStr">
        <is>
          <t>2200022513</t>
        </is>
      </c>
      <c r="D37" s="9" t="n">
        <v>630528.29</v>
      </c>
      <c r="E37" s="8" t="inlineStr">
        <is>
          <t>20/04/2026</t>
        </is>
      </c>
      <c r="F37" s="8" t="inlineStr">
        <is>
          <t>21/04/2026</t>
        </is>
      </c>
      <c r="G37" s="8" t="inlineStr">
        <is>
          <t>CR LIQ AMEX/MADQ FIS 24H</t>
        </is>
      </c>
      <c r="H37" s="8" t="inlineStr">
        <is>
          <t>31995644</t>
        </is>
      </c>
      <c r="I37" s="8" t="inlineStr">
        <is>
          <t>Sí</t>
        </is>
      </c>
    </row>
    <row r="38">
      <c r="A38" s="8" t="inlineStr">
        <is>
          <t>21/04/2026</t>
        </is>
      </c>
      <c r="B38" s="8" t="inlineStr">
        <is>
          <t>PAV</t>
        </is>
      </c>
      <c r="C38" s="8" t="inlineStr">
        <is>
          <t>2200022514</t>
        </is>
      </c>
      <c r="D38" s="9" t="n">
        <v>52184.78</v>
      </c>
      <c r="E38" s="8" t="inlineStr">
        <is>
          <t>20/04/2026</t>
        </is>
      </c>
      <c r="F38" s="8" t="inlineStr">
        <is>
          <t>21/04/2026</t>
        </is>
      </c>
      <c r="G38" s="8" t="inlineStr">
        <is>
          <t>CR LIQ MASTER DEB 24H</t>
        </is>
      </c>
      <c r="H38" s="8" t="inlineStr">
        <is>
          <t>31995644</t>
        </is>
      </c>
      <c r="I38" s="8" t="inlineStr">
        <is>
          <t>Sí</t>
        </is>
      </c>
    </row>
    <row r="39">
      <c r="A39" s="8" t="inlineStr">
        <is>
          <t>21/04/2026</t>
        </is>
      </c>
      <c r="B39" s="8" t="inlineStr">
        <is>
          <t>PAV</t>
        </is>
      </c>
      <c r="C39" s="8" t="inlineStr">
        <is>
          <t>2200022515</t>
        </is>
      </c>
      <c r="D39" s="9" t="n">
        <v>316181.72</v>
      </c>
      <c r="E39" s="8" t="inlineStr">
        <is>
          <t>20/04/2026</t>
        </is>
      </c>
      <c r="F39" s="8" t="inlineStr">
        <is>
          <t>21/04/2026</t>
        </is>
      </c>
      <c r="G39" s="8" t="inlineStr">
        <is>
          <t>CR LIQ MASTERCARD 24H</t>
        </is>
      </c>
      <c r="H39" s="8" t="inlineStr">
        <is>
          <t>31995644</t>
        </is>
      </c>
      <c r="I39" s="8" t="inlineStr">
        <is>
          <t>Sí</t>
        </is>
      </c>
    </row>
    <row r="40">
      <c r="A40" s="8" t="inlineStr">
        <is>
          <t>21/04/2026</t>
        </is>
      </c>
      <c r="B40" s="8" t="inlineStr">
        <is>
          <t>PAV</t>
        </is>
      </c>
      <c r="C40" s="8" t="inlineStr">
        <is>
          <t>2200022516</t>
        </is>
      </c>
      <c r="D40" s="9" t="n">
        <v>211961.03</v>
      </c>
      <c r="E40" s="8" t="inlineStr">
        <is>
          <t>21/04/2026</t>
        </is>
      </c>
      <c r="F40" s="8" t="inlineStr">
        <is>
          <t>21/04/2026</t>
        </is>
      </c>
      <c r="G40" s="8" t="inlineStr">
        <is>
          <t>CR LIQ MASTERCARD 24H</t>
        </is>
      </c>
      <c r="H40" s="8" t="inlineStr">
        <is>
          <t>31995644</t>
        </is>
      </c>
      <c r="I40" s="8" t="inlineStr">
        <is>
          <t>No</t>
        </is>
      </c>
    </row>
    <row r="41">
      <c r="A41" s="8" t="inlineStr">
        <is>
          <t>21/04/2026</t>
        </is>
      </c>
      <c r="B41" s="8" t="inlineStr">
        <is>
          <t>PAV</t>
        </is>
      </c>
      <c r="C41" s="8" t="inlineStr">
        <is>
          <t>2200022517</t>
        </is>
      </c>
      <c r="D41" s="9" t="n">
        <v>405113.52</v>
      </c>
      <c r="E41" s="8" t="inlineStr">
        <is>
          <t>20/04/2026</t>
        </is>
      </c>
      <c r="F41" s="8" t="inlineStr">
        <is>
          <t>21/04/2026</t>
        </is>
      </c>
      <c r="G41" s="8" t="inlineStr">
        <is>
          <t>CR LIQ MASTER DEB 24H</t>
        </is>
      </c>
      <c r="H41" s="8" t="inlineStr">
        <is>
          <t>31995644</t>
        </is>
      </c>
      <c r="I41" s="8" t="inlineStr">
        <is>
          <t>Sí</t>
        </is>
      </c>
    </row>
    <row r="42">
      <c r="A42" s="8" t="inlineStr">
        <is>
          <t>21/04/2026</t>
        </is>
      </c>
      <c r="B42" s="8" t="inlineStr">
        <is>
          <t>PAV</t>
        </is>
      </c>
      <c r="C42" s="8" t="inlineStr">
        <is>
          <t>2200022518</t>
        </is>
      </c>
      <c r="D42" s="9" t="n">
        <v>323982.16</v>
      </c>
      <c r="E42" s="8" t="inlineStr">
        <is>
          <t>21/04/2026</t>
        </is>
      </c>
      <c r="F42" s="8" t="inlineStr">
        <is>
          <t>21/04/2026</t>
        </is>
      </c>
      <c r="G42" s="8" t="inlineStr">
        <is>
          <t>CR LIQ MASTER DEB 24H</t>
        </is>
      </c>
      <c r="H42" s="8" t="inlineStr">
        <is>
          <t>31995644</t>
        </is>
      </c>
      <c r="I42" s="8" t="inlineStr">
        <is>
          <t>No</t>
        </is>
      </c>
    </row>
    <row r="43">
      <c r="A43" s="8" t="inlineStr">
        <is>
          <t>21/04/2026</t>
        </is>
      </c>
      <c r="B43" s="8" t="inlineStr">
        <is>
          <t>PAV</t>
        </is>
      </c>
      <c r="C43" s="8" t="inlineStr">
        <is>
          <t>3400068408</t>
        </is>
      </c>
      <c r="D43" s="9" t="n">
        <v>21093.82</v>
      </c>
      <c r="E43" s="8" t="inlineStr">
        <is>
          <t>20/04/2026</t>
        </is>
      </c>
      <c r="F43" s="8" t="inlineStr">
        <is>
          <t>21/04/2026</t>
        </is>
      </c>
      <c r="G43" s="8" t="inlineStr">
        <is>
          <t>CR DEBIN SPOT - CUIT/CUIL: 30711424179</t>
        </is>
      </c>
      <c r="H43" s="8" t="inlineStr">
        <is>
          <t>107502</t>
        </is>
      </c>
      <c r="I43" s="8" t="inlineStr">
        <is>
          <t>Sí</t>
        </is>
      </c>
    </row>
    <row r="44">
      <c r="A44" s="8" t="inlineStr">
        <is>
          <t>21/04/2026</t>
        </is>
      </c>
      <c r="B44" s="8" t="inlineStr">
        <is>
          <t>PAV</t>
        </is>
      </c>
      <c r="C44" s="8" t="inlineStr">
        <is>
          <t>3400068409</t>
        </is>
      </c>
      <c r="D44" s="9" t="n">
        <v>26540.58</v>
      </c>
      <c r="E44" s="8" t="inlineStr">
        <is>
          <t>20/04/2026</t>
        </is>
      </c>
      <c r="F44" s="8" t="inlineStr">
        <is>
          <t>21/04/2026</t>
        </is>
      </c>
      <c r="G44" s="8" t="inlineStr">
        <is>
          <t>CR DEBIN SPOT - CUIT/CUIL: 30711424179</t>
        </is>
      </c>
      <c r="H44" s="8" t="inlineStr">
        <is>
          <t>107472</t>
        </is>
      </c>
      <c r="I44" s="8" t="inlineStr">
        <is>
          <t>Sí</t>
        </is>
      </c>
    </row>
    <row r="45">
      <c r="A45" s="8" t="inlineStr">
        <is>
          <t>21/04/2026</t>
        </is>
      </c>
      <c r="B45" s="8" t="inlineStr">
        <is>
          <t>PAV</t>
        </is>
      </c>
      <c r="C45" s="8" t="inlineStr">
        <is>
          <t>3400068410</t>
        </is>
      </c>
      <c r="D45" s="9" t="n">
        <v>24758</v>
      </c>
      <c r="E45" s="8" t="inlineStr">
        <is>
          <t>20/04/2026</t>
        </is>
      </c>
      <c r="F45" s="8" t="inlineStr">
        <is>
          <t>21/04/2026</t>
        </is>
      </c>
      <c r="G45" s="8" t="inlineStr">
        <is>
          <t>CR DEBIN SPOT - CUIT/CUIL: 30711424179</t>
        </is>
      </c>
      <c r="H45" s="8" t="inlineStr">
        <is>
          <t>107444</t>
        </is>
      </c>
      <c r="I45" s="8" t="inlineStr">
        <is>
          <t>Sí</t>
        </is>
      </c>
    </row>
    <row r="46">
      <c r="A46" s="8" t="inlineStr">
        <is>
          <t>21/04/2026</t>
        </is>
      </c>
      <c r="B46" s="8" t="inlineStr">
        <is>
          <t>PAV</t>
        </is>
      </c>
      <c r="C46" s="8" t="inlineStr">
        <is>
          <t>3400068411</t>
        </is>
      </c>
      <c r="D46" s="9" t="n">
        <v>36146.68</v>
      </c>
      <c r="E46" s="8" t="inlineStr">
        <is>
          <t>20/04/2026</t>
        </is>
      </c>
      <c r="F46" s="8" t="inlineStr">
        <is>
          <t>21/04/2026</t>
        </is>
      </c>
      <c r="G46" s="8" t="inlineStr">
        <is>
          <t>CR DEBIN SPOT - CUIT/CUIL: 30711424179</t>
        </is>
      </c>
      <c r="H46" s="8" t="inlineStr">
        <is>
          <t>107347</t>
        </is>
      </c>
      <c r="I46" s="8" t="inlineStr">
        <is>
          <t>Sí</t>
        </is>
      </c>
    </row>
    <row r="47">
      <c r="A47" s="8" t="inlineStr">
        <is>
          <t>21/04/2026</t>
        </is>
      </c>
      <c r="B47" s="8" t="inlineStr">
        <is>
          <t>PAV</t>
        </is>
      </c>
      <c r="C47" s="8" t="inlineStr">
        <is>
          <t>3400068412</t>
        </is>
      </c>
      <c r="D47" s="9" t="n">
        <v>11388.68</v>
      </c>
      <c r="E47" s="8" t="inlineStr">
        <is>
          <t>20/04/2026</t>
        </is>
      </c>
      <c r="F47" s="8" t="inlineStr">
        <is>
          <t>21/04/2026</t>
        </is>
      </c>
      <c r="G47" s="8" t="inlineStr">
        <is>
          <t>CR DEBIN SPOT - CUIT/CUIL: 30711424179</t>
        </is>
      </c>
      <c r="H47" s="8" t="inlineStr">
        <is>
          <t>107374</t>
        </is>
      </c>
      <c r="I47" s="8" t="inlineStr">
        <is>
          <t>Sí</t>
        </is>
      </c>
    </row>
    <row r="48">
      <c r="A48" s="8" t="inlineStr">
        <is>
          <t>21/04/2026</t>
        </is>
      </c>
      <c r="B48" s="8" t="inlineStr">
        <is>
          <t>PAV</t>
        </is>
      </c>
      <c r="C48" s="8" t="inlineStr">
        <is>
          <t>2100058018</t>
        </is>
      </c>
      <c r="D48" s="9" t="n">
        <v>14184.19</v>
      </c>
      <c r="E48" s="8" t="inlineStr">
        <is>
          <t>20/04/2026</t>
        </is>
      </c>
      <c r="F48" s="8" t="inlineStr">
        <is>
          <t>21/04/2026</t>
        </is>
      </c>
      <c r="G48" s="8" t="inlineStr">
        <is>
          <t>CR LIQ MASTER DEB 24H</t>
        </is>
      </c>
      <c r="H48" s="8" t="inlineStr">
        <is>
          <t>29841642</t>
        </is>
      </c>
      <c r="I48" s="8" t="inlineStr">
        <is>
          <t>Sí</t>
        </is>
      </c>
    </row>
    <row r="49">
      <c r="A49" s="8" t="inlineStr">
        <is>
          <t>21/04/2026</t>
        </is>
      </c>
      <c r="B49" s="8" t="inlineStr">
        <is>
          <t>PAV</t>
        </is>
      </c>
      <c r="C49" s="8" t="inlineStr">
        <is>
          <t>2100058020</t>
        </is>
      </c>
      <c r="D49" s="9" t="n">
        <v>49681.49</v>
      </c>
      <c r="E49" s="8" t="inlineStr">
        <is>
          <t>20/04/2026</t>
        </is>
      </c>
      <c r="F49" s="8" t="inlineStr">
        <is>
          <t>21/04/2026</t>
        </is>
      </c>
      <c r="G49" s="8" t="inlineStr">
        <is>
          <t>CR LIQ MASTER DEB 24H</t>
        </is>
      </c>
      <c r="H49" s="8" t="inlineStr">
        <is>
          <t>29841642</t>
        </is>
      </c>
      <c r="I49" s="8" t="inlineStr">
        <is>
          <t>Sí</t>
        </is>
      </c>
    </row>
    <row r="50">
      <c r="A50" s="8" t="inlineStr">
        <is>
          <t>21/04/2026</t>
        </is>
      </c>
      <c r="B50" s="8" t="inlineStr">
        <is>
          <t>PAV</t>
        </is>
      </c>
      <c r="C50" s="8" t="inlineStr">
        <is>
          <t>2100058021</t>
        </is>
      </c>
      <c r="D50" s="9" t="n">
        <v>488466.96</v>
      </c>
      <c r="E50" s="8" t="inlineStr">
        <is>
          <t>21/04/2026</t>
        </is>
      </c>
      <c r="F50" s="8" t="inlineStr">
        <is>
          <t>21/04/2026</t>
        </is>
      </c>
      <c r="G50" s="8" t="inlineStr">
        <is>
          <t>CR LIQ MASTER DEB 24H</t>
        </is>
      </c>
      <c r="H50" s="8" t="inlineStr">
        <is>
          <t>29841642</t>
        </is>
      </c>
      <c r="I50" s="8" t="inlineStr">
        <is>
          <t>No</t>
        </is>
      </c>
    </row>
    <row r="51">
      <c r="A51" s="8" t="inlineStr">
        <is>
          <t>21/04/2026</t>
        </is>
      </c>
      <c r="B51" s="8" t="inlineStr">
        <is>
          <t>PAV</t>
        </is>
      </c>
      <c r="C51" s="8" t="inlineStr">
        <is>
          <t>2100058022</t>
        </is>
      </c>
      <c r="D51" s="9" t="n">
        <v>174364.35</v>
      </c>
      <c r="E51" s="8" t="inlineStr">
        <is>
          <t>21/04/2026</t>
        </is>
      </c>
      <c r="F51" s="8" t="inlineStr">
        <is>
          <t>21/04/2026</t>
        </is>
      </c>
      <c r="G51" s="8" t="inlineStr">
        <is>
          <t>CR LIQ MASTER DEB 24H</t>
        </is>
      </c>
      <c r="H51" s="8" t="inlineStr">
        <is>
          <t>29841642</t>
        </is>
      </c>
      <c r="I51" s="8" t="inlineStr">
        <is>
          <t>No</t>
        </is>
      </c>
    </row>
    <row r="52">
      <c r="A52" s="8" t="inlineStr">
        <is>
          <t>21/04/2026</t>
        </is>
      </c>
      <c r="B52" s="8" t="inlineStr">
        <is>
          <t>PAV</t>
        </is>
      </c>
      <c r="C52" s="8" t="inlineStr">
        <is>
          <t>2100058023</t>
        </is>
      </c>
      <c r="D52" s="9" t="n">
        <v>32183.44</v>
      </c>
      <c r="E52" s="8" t="inlineStr">
        <is>
          <t>21/04/2026</t>
        </is>
      </c>
      <c r="F52" s="8" t="inlineStr">
        <is>
          <t>21/04/2026</t>
        </is>
      </c>
      <c r="G52" s="8" t="inlineStr">
        <is>
          <t>CR LIQ MASTERCARD 24H</t>
        </is>
      </c>
      <c r="H52" s="8" t="inlineStr">
        <is>
          <t>29841642</t>
        </is>
      </c>
      <c r="I52" s="8" t="inlineStr">
        <is>
          <t>No</t>
        </is>
      </c>
    </row>
    <row r="53">
      <c r="A53" s="8" t="inlineStr">
        <is>
          <t>21/04/2026</t>
        </is>
      </c>
      <c r="B53" s="8" t="inlineStr">
        <is>
          <t>PAV</t>
        </is>
      </c>
      <c r="C53" s="8" t="inlineStr">
        <is>
          <t>2100058025</t>
        </is>
      </c>
      <c r="D53" s="9" t="n">
        <v>15151.9</v>
      </c>
      <c r="E53" s="8" t="inlineStr">
        <is>
          <t>21/04/2026</t>
        </is>
      </c>
      <c r="F53" s="8" t="inlineStr">
        <is>
          <t>21/04/2026</t>
        </is>
      </c>
      <c r="G53" s="8" t="inlineStr">
        <is>
          <t>CR DEBIN SPOT - CUIT/CUIL: 30711424179</t>
        </is>
      </c>
      <c r="H53" s="8" t="inlineStr">
        <is>
          <t>108019</t>
        </is>
      </c>
      <c r="I53" s="8" t="inlineStr">
        <is>
          <t>No</t>
        </is>
      </c>
    </row>
    <row r="54">
      <c r="A54" s="8" t="inlineStr">
        <is>
          <t>21/04/2026</t>
        </is>
      </c>
      <c r="B54" s="8" t="inlineStr">
        <is>
          <t>PAV</t>
        </is>
      </c>
      <c r="C54" s="8" t="inlineStr">
        <is>
          <t>2100058026</t>
        </is>
      </c>
      <c r="D54" s="9" t="n">
        <v>22084.14</v>
      </c>
      <c r="E54" s="8" t="inlineStr">
        <is>
          <t>21/04/2026</t>
        </is>
      </c>
      <c r="F54" s="8" t="inlineStr">
        <is>
          <t>21/04/2026</t>
        </is>
      </c>
      <c r="G54" s="8" t="inlineStr">
        <is>
          <t>CR DEBIN SPOT - CUIT/CUIL: 30711424179</t>
        </is>
      </c>
      <c r="H54" s="8" t="inlineStr">
        <is>
          <t>108020</t>
        </is>
      </c>
      <c r="I54" s="8" t="inlineStr">
        <is>
          <t>No</t>
        </is>
      </c>
    </row>
    <row r="55">
      <c r="A55" s="8" t="inlineStr">
        <is>
          <t>21/04/2026</t>
        </is>
      </c>
      <c r="B55" s="8" t="inlineStr">
        <is>
          <t>PAV</t>
        </is>
      </c>
      <c r="C55" s="8" t="inlineStr">
        <is>
          <t>2100058032</t>
        </is>
      </c>
      <c r="D55" s="9" t="n">
        <v>11982.87</v>
      </c>
      <c r="E55" s="8" t="inlineStr">
        <is>
          <t>21/04/2026</t>
        </is>
      </c>
      <c r="F55" s="8" t="inlineStr">
        <is>
          <t>21/04/2026</t>
        </is>
      </c>
      <c r="G55" s="8" t="inlineStr">
        <is>
          <t>CR DEBIN SPOT - CUIT/CUIL: 30711424179</t>
        </is>
      </c>
      <c r="H55" s="8" t="inlineStr">
        <is>
          <t>108024</t>
        </is>
      </c>
      <c r="I55" s="8" t="inlineStr">
        <is>
          <t>No</t>
        </is>
      </c>
    </row>
    <row r="56">
      <c r="A56" s="8" t="inlineStr">
        <is>
          <t>21/04/2026</t>
        </is>
      </c>
      <c r="B56" s="8" t="inlineStr">
        <is>
          <t>PAV</t>
        </is>
      </c>
      <c r="C56" s="8" t="inlineStr">
        <is>
          <t>1800042764</t>
        </is>
      </c>
      <c r="D56" s="9" t="n">
        <v>257566.08</v>
      </c>
      <c r="E56" s="8" t="inlineStr">
        <is>
          <t>21/04/2026</t>
        </is>
      </c>
      <c r="F56" s="8" t="inlineStr">
        <is>
          <t>21/04/2026</t>
        </is>
      </c>
      <c r="G56" s="8" t="inlineStr">
        <is>
          <t>CR LIQ MASTER DEB 24H</t>
        </is>
      </c>
      <c r="H56" s="8" t="inlineStr">
        <is>
          <t>29841683</t>
        </is>
      </c>
      <c r="I56" s="8" t="inlineStr">
        <is>
          <t>No</t>
        </is>
      </c>
    </row>
    <row r="57">
      <c r="A57" s="8" t="inlineStr">
        <is>
          <t>21/04/2026</t>
        </is>
      </c>
      <c r="B57" s="8" t="inlineStr">
        <is>
          <t>PAV</t>
        </is>
      </c>
      <c r="C57" s="8" t="inlineStr">
        <is>
          <t>1800042765</t>
        </is>
      </c>
      <c r="D57" s="9" t="n">
        <v>301218</v>
      </c>
      <c r="E57" s="8" t="inlineStr">
        <is>
          <t>20/04/2026</t>
        </is>
      </c>
      <c r="F57" s="8" t="inlineStr">
        <is>
          <t>21/04/2026</t>
        </is>
      </c>
      <c r="G57" s="8" t="inlineStr">
        <is>
          <t>CR LIQ MASTER DEB 24H</t>
        </is>
      </c>
      <c r="H57" s="8" t="inlineStr">
        <is>
          <t>29841683</t>
        </is>
      </c>
      <c r="I57" s="8" t="inlineStr">
        <is>
          <t>Sí</t>
        </is>
      </c>
    </row>
    <row r="58">
      <c r="A58" s="8" t="inlineStr">
        <is>
          <t>21/04/2026</t>
        </is>
      </c>
      <c r="B58" s="8" t="inlineStr">
        <is>
          <t>PAV</t>
        </is>
      </c>
      <c r="C58" s="8" t="inlineStr">
        <is>
          <t>1800042766</t>
        </is>
      </c>
      <c r="D58" s="9" t="n">
        <v>31694.33</v>
      </c>
      <c r="E58" s="8" t="inlineStr">
        <is>
          <t>20/04/2026</t>
        </is>
      </c>
      <c r="F58" s="8" t="inlineStr">
        <is>
          <t>21/04/2026</t>
        </is>
      </c>
      <c r="G58" s="8" t="inlineStr">
        <is>
          <t>CR LIQ MASTER DEB 24H</t>
        </is>
      </c>
      <c r="H58" s="8" t="inlineStr">
        <is>
          <t>29841683</t>
        </is>
      </c>
      <c r="I58" s="8" t="inlineStr">
        <is>
          <t>Sí</t>
        </is>
      </c>
    </row>
    <row r="59">
      <c r="A59" s="8" t="inlineStr">
        <is>
          <t>21/04/2026</t>
        </is>
      </c>
      <c r="B59" s="8" t="inlineStr">
        <is>
          <t>PAV</t>
        </is>
      </c>
      <c r="C59" s="8" t="inlineStr">
        <is>
          <t>1800042767</t>
        </is>
      </c>
      <c r="D59" s="9" t="n">
        <v>49889.22</v>
      </c>
      <c r="E59" s="8" t="inlineStr">
        <is>
          <t>21/04/2026</t>
        </is>
      </c>
      <c r="F59" s="8" t="inlineStr">
        <is>
          <t>21/04/2026</t>
        </is>
      </c>
      <c r="G59" s="8" t="inlineStr">
        <is>
          <t>CR LIQ MASTER DEB 24H</t>
        </is>
      </c>
      <c r="H59" s="8" t="inlineStr">
        <is>
          <t>29841683</t>
        </is>
      </c>
      <c r="I59" s="8" t="inlineStr">
        <is>
          <t>No</t>
        </is>
      </c>
    </row>
    <row r="60">
      <c r="A60" s="8" t="inlineStr">
        <is>
          <t>21/04/2026</t>
        </is>
      </c>
      <c r="B60" s="8" t="inlineStr">
        <is>
          <t>PAV</t>
        </is>
      </c>
      <c r="C60" s="8" t="inlineStr">
        <is>
          <t>2300013958</t>
        </is>
      </c>
      <c r="D60" s="9" t="n">
        <v>54665.66</v>
      </c>
      <c r="E60" s="8" t="inlineStr">
        <is>
          <t>21/04/2026</t>
        </is>
      </c>
      <c r="F60" s="8" t="inlineStr">
        <is>
          <t>21/04/2026</t>
        </is>
      </c>
      <c r="G60" s="8" t="inlineStr">
        <is>
          <t>CR DEBIN SPOT - CUIT/CUIL: 30711424179</t>
        </is>
      </c>
      <c r="H60" s="8" t="inlineStr">
        <is>
          <t>108055</t>
        </is>
      </c>
      <c r="I60" s="8" t="inlineStr">
        <is>
          <t>No</t>
        </is>
      </c>
    </row>
    <row r="61">
      <c r="A61" s="8" t="inlineStr">
        <is>
          <t>21/04/2026</t>
        </is>
      </c>
      <c r="B61" s="8" t="inlineStr">
        <is>
          <t>PAV</t>
        </is>
      </c>
      <c r="C61" s="8" t="inlineStr">
        <is>
          <t>2300013959</t>
        </is>
      </c>
      <c r="D61" s="9" t="n">
        <v>647028.63</v>
      </c>
      <c r="E61" s="8" t="inlineStr">
        <is>
          <t>24/04/2026</t>
        </is>
      </c>
      <c r="F61" s="8" t="inlineStr">
        <is>
          <t>24/04/2026</t>
        </is>
      </c>
      <c r="G61" s="8" t="inlineStr">
        <is>
          <t>CR LIQ MASTER DEB 24H</t>
        </is>
      </c>
      <c r="H61" s="8" t="inlineStr">
        <is>
          <t>32032899</t>
        </is>
      </c>
      <c r="I61" s="8" t="inlineStr">
        <is>
          <t>No</t>
        </is>
      </c>
    </row>
    <row r="62">
      <c r="A62" s="8" t="inlineStr">
        <is>
          <t>21/04/2026</t>
        </is>
      </c>
      <c r="B62" s="8" t="inlineStr">
        <is>
          <t>PAV</t>
        </is>
      </c>
      <c r="C62" s="8" t="inlineStr">
        <is>
          <t>1800042768</t>
        </is>
      </c>
      <c r="D62" s="9" t="n">
        <v>32868.19</v>
      </c>
      <c r="E62" s="8" t="inlineStr">
        <is>
          <t>20/04/2026</t>
        </is>
      </c>
      <c r="F62" s="8" t="inlineStr">
        <is>
          <t>21/04/2026</t>
        </is>
      </c>
      <c r="G62" s="8" t="inlineStr">
        <is>
          <t>CR LIQ MASTERCARD 24H</t>
        </is>
      </c>
      <c r="H62" s="8" t="inlineStr">
        <is>
          <t>29841683</t>
        </is>
      </c>
      <c r="I62" s="8" t="inlineStr">
        <is>
          <t>Sí</t>
        </is>
      </c>
    </row>
    <row r="63">
      <c r="A63" s="8" t="inlineStr">
        <is>
          <t>21/04/2026</t>
        </is>
      </c>
      <c r="B63" s="8" t="inlineStr">
        <is>
          <t>PAV</t>
        </is>
      </c>
      <c r="C63" s="8" t="inlineStr">
        <is>
          <t>1800042769</t>
        </is>
      </c>
      <c r="D63" s="9" t="n">
        <v>207415.75</v>
      </c>
      <c r="E63" s="8" t="inlineStr">
        <is>
          <t>21/04/2026</t>
        </is>
      </c>
      <c r="F63" s="8" t="inlineStr">
        <is>
          <t>21/04/2026</t>
        </is>
      </c>
      <c r="G63" s="8" t="inlineStr">
        <is>
          <t>CR LIQ MASTER DEB 24H</t>
        </is>
      </c>
      <c r="H63" s="8" t="inlineStr">
        <is>
          <t>29841683</t>
        </is>
      </c>
      <c r="I63" s="8" t="inlineStr">
        <is>
          <t>No</t>
        </is>
      </c>
    </row>
    <row r="64">
      <c r="A64" s="8" t="inlineStr">
        <is>
          <t>21/04/2026</t>
        </is>
      </c>
      <c r="B64" s="8" t="inlineStr">
        <is>
          <t>PAV</t>
        </is>
      </c>
      <c r="C64" s="8" t="inlineStr">
        <is>
          <t>1700036912</t>
        </is>
      </c>
      <c r="D64" s="9" t="n">
        <v>144430.98</v>
      </c>
      <c r="E64" s="8" t="inlineStr">
        <is>
          <t>21/04/2026</t>
        </is>
      </c>
      <c r="F64" s="8" t="inlineStr">
        <is>
          <t>21/04/2026</t>
        </is>
      </c>
      <c r="G64" s="8" t="inlineStr">
        <is>
          <t>CR LIQ MASTER DEB 24H</t>
        </is>
      </c>
      <c r="H64" s="8" t="inlineStr">
        <is>
          <t>29841627</t>
        </is>
      </c>
      <c r="I64" s="8" t="inlineStr">
        <is>
          <t>No</t>
        </is>
      </c>
    </row>
    <row r="65">
      <c r="A65" s="8" t="inlineStr">
        <is>
          <t>21/04/2026</t>
        </is>
      </c>
      <c r="B65" s="8" t="inlineStr">
        <is>
          <t>PAV</t>
        </is>
      </c>
      <c r="C65" s="8" t="inlineStr">
        <is>
          <t>1700036913</t>
        </is>
      </c>
      <c r="D65" s="9" t="n">
        <v>11360.85</v>
      </c>
      <c r="E65" s="8" t="inlineStr">
        <is>
          <t>20/04/2026</t>
        </is>
      </c>
      <c r="F65" s="8" t="inlineStr">
        <is>
          <t>21/04/2026</t>
        </is>
      </c>
      <c r="G65" s="8" t="inlineStr">
        <is>
          <t>CR LIQ MASTER DEB 24H</t>
        </is>
      </c>
      <c r="H65" s="8" t="inlineStr">
        <is>
          <t>29841627</t>
        </is>
      </c>
      <c r="I65" s="8" t="inlineStr">
        <is>
          <t>Sí</t>
        </is>
      </c>
    </row>
    <row r="66">
      <c r="A66" s="8" t="inlineStr">
        <is>
          <t>21/04/2026</t>
        </is>
      </c>
      <c r="B66" s="8" t="inlineStr">
        <is>
          <t>PAV</t>
        </is>
      </c>
      <c r="C66" s="8" t="inlineStr">
        <is>
          <t>1700036914</t>
        </is>
      </c>
      <c r="D66" s="9" t="n">
        <v>65540.74000000001</v>
      </c>
      <c r="E66" s="8" t="inlineStr">
        <is>
          <t>21/04/2026</t>
        </is>
      </c>
      <c r="F66" s="8" t="inlineStr">
        <is>
          <t>21/04/2026</t>
        </is>
      </c>
      <c r="G66" s="8" t="inlineStr">
        <is>
          <t>CR LIQ MASTER DEB 24H</t>
        </is>
      </c>
      <c r="H66" s="8" t="inlineStr">
        <is>
          <t>29841627</t>
        </is>
      </c>
      <c r="I66" s="8" t="inlineStr">
        <is>
          <t>No</t>
        </is>
      </c>
    </row>
    <row r="67">
      <c r="A67" s="8" t="inlineStr">
        <is>
          <t>21/04/2026</t>
        </is>
      </c>
      <c r="B67" s="8" t="inlineStr">
        <is>
          <t>PAV</t>
        </is>
      </c>
      <c r="C67" s="8" t="inlineStr">
        <is>
          <t>1700036915</t>
        </is>
      </c>
      <c r="D67" s="9" t="n">
        <v>12348.75</v>
      </c>
      <c r="E67" s="8" t="inlineStr">
        <is>
          <t>20/04/2026</t>
        </is>
      </c>
      <c r="F67" s="8" t="inlineStr">
        <is>
          <t>21/04/2026</t>
        </is>
      </c>
      <c r="G67" s="8" t="inlineStr">
        <is>
          <t>CR LIQ MASTER DEB 24H</t>
        </is>
      </c>
      <c r="H67" s="8" t="inlineStr">
        <is>
          <t>29841627</t>
        </is>
      </c>
      <c r="I67" s="8" t="inlineStr">
        <is>
          <t>Sí</t>
        </is>
      </c>
    </row>
    <row r="68">
      <c r="A68" s="8" t="inlineStr">
        <is>
          <t>21/04/2026</t>
        </is>
      </c>
      <c r="B68" s="8" t="inlineStr">
        <is>
          <t>PAV</t>
        </is>
      </c>
      <c r="C68" s="8" t="inlineStr">
        <is>
          <t>1700036916</t>
        </is>
      </c>
      <c r="D68" s="9" t="n">
        <v>104519.82</v>
      </c>
      <c r="E68" s="8" t="inlineStr">
        <is>
          <t>21/04/2026</t>
        </is>
      </c>
      <c r="F68" s="8" t="inlineStr">
        <is>
          <t>21/04/2026</t>
        </is>
      </c>
      <c r="G68" s="8" t="inlineStr">
        <is>
          <t>CR LIQ MASTER DEB 24H</t>
        </is>
      </c>
      <c r="H68" s="8" t="inlineStr">
        <is>
          <t>29841627</t>
        </is>
      </c>
      <c r="I68" s="8" t="inlineStr">
        <is>
          <t>No</t>
        </is>
      </c>
    </row>
    <row r="69">
      <c r="A69" s="8" t="inlineStr">
        <is>
          <t>21/04/2026</t>
        </is>
      </c>
      <c r="B69" s="8" t="inlineStr">
        <is>
          <t>PAV</t>
        </is>
      </c>
      <c r="C69" s="8" t="inlineStr">
        <is>
          <t>3400068419</t>
        </is>
      </c>
      <c r="D69" s="9" t="n">
        <v>12227.75</v>
      </c>
      <c r="E69" s="8" t="inlineStr">
        <is>
          <t>21/04/2026</t>
        </is>
      </c>
      <c r="F69" s="8" t="inlineStr">
        <is>
          <t>21/04/2026</t>
        </is>
      </c>
      <c r="G69" s="8" t="inlineStr">
        <is>
          <t>CR LIQ MASTER DEB 24H</t>
        </is>
      </c>
      <c r="H69" s="8" t="inlineStr">
        <is>
          <t>29841705</t>
        </is>
      </c>
      <c r="I69" s="8" t="inlineStr">
        <is>
          <t>No</t>
        </is>
      </c>
    </row>
    <row r="70">
      <c r="A70" s="8" t="inlineStr">
        <is>
          <t>21/04/2026</t>
        </is>
      </c>
      <c r="B70" s="8" t="inlineStr">
        <is>
          <t>PAV</t>
        </is>
      </c>
      <c r="C70" s="8" t="inlineStr">
        <is>
          <t>3400068420</t>
        </is>
      </c>
      <c r="D70" s="9" t="n">
        <v>26607.58</v>
      </c>
      <c r="E70" s="8" t="inlineStr">
        <is>
          <t>21/04/2026</t>
        </is>
      </c>
      <c r="F70" s="8" t="inlineStr">
        <is>
          <t>21/04/2026</t>
        </is>
      </c>
      <c r="G70" s="8" t="inlineStr">
        <is>
          <t>CR LIQ MASTER DEB 24H</t>
        </is>
      </c>
      <c r="H70" s="8" t="inlineStr">
        <is>
          <t>29841705</t>
        </is>
      </c>
      <c r="I70" s="8" t="inlineStr">
        <is>
          <t>No</t>
        </is>
      </c>
    </row>
    <row r="71">
      <c r="A71" s="8" t="inlineStr">
        <is>
          <t>21/04/2026</t>
        </is>
      </c>
      <c r="B71" s="8" t="inlineStr">
        <is>
          <t>PAV</t>
        </is>
      </c>
      <c r="C71" s="8" t="inlineStr">
        <is>
          <t>3400068421</t>
        </is>
      </c>
      <c r="D71" s="9" t="n">
        <v>618128.96</v>
      </c>
      <c r="E71" s="8" t="inlineStr">
        <is>
          <t>21/04/2026</t>
        </is>
      </c>
      <c r="F71" s="8" t="inlineStr">
        <is>
          <t>21/04/2026</t>
        </is>
      </c>
      <c r="G71" s="8" t="inlineStr">
        <is>
          <t>CR LIQ MASTER DEB 24H</t>
        </is>
      </c>
      <c r="H71" s="8" t="inlineStr">
        <is>
          <t>29841705</t>
        </is>
      </c>
      <c r="I71" s="8" t="inlineStr">
        <is>
          <t>No</t>
        </is>
      </c>
    </row>
    <row r="72">
      <c r="A72" s="8" t="inlineStr">
        <is>
          <t>21/04/2026</t>
        </is>
      </c>
      <c r="B72" s="8" t="inlineStr">
        <is>
          <t>PAV</t>
        </is>
      </c>
      <c r="C72" s="8" t="inlineStr">
        <is>
          <t>3400068422</t>
        </is>
      </c>
      <c r="D72" s="9" t="n">
        <v>158656.74</v>
      </c>
      <c r="E72" s="8" t="inlineStr">
        <is>
          <t>21/04/2026</t>
        </is>
      </c>
      <c r="F72" s="8" t="inlineStr">
        <is>
          <t>21/04/2026</t>
        </is>
      </c>
      <c r="G72" s="8" t="inlineStr">
        <is>
          <t>CR LIQ MASTER DEB 24H</t>
        </is>
      </c>
      <c r="H72" s="8" t="inlineStr">
        <is>
          <t>29841705</t>
        </is>
      </c>
      <c r="I72" s="8" t="inlineStr">
        <is>
          <t>No</t>
        </is>
      </c>
    </row>
    <row r="73">
      <c r="A73" s="8" t="inlineStr">
        <is>
          <t>21/04/2026</t>
        </is>
      </c>
      <c r="B73" s="8" t="inlineStr">
        <is>
          <t>PAV</t>
        </is>
      </c>
      <c r="C73" s="8" t="inlineStr">
        <is>
          <t>3400068423</t>
        </is>
      </c>
      <c r="D73" s="9" t="n">
        <v>34726.81</v>
      </c>
      <c r="E73" s="8" t="inlineStr">
        <is>
          <t>21/04/2026</t>
        </is>
      </c>
      <c r="F73" s="8" t="inlineStr">
        <is>
          <t>21/04/2026</t>
        </is>
      </c>
      <c r="G73" s="8" t="inlineStr">
        <is>
          <t>CR LIQ MASTERCARD 24H</t>
        </is>
      </c>
      <c r="H73" s="8" t="inlineStr">
        <is>
          <t>29841705</t>
        </is>
      </c>
      <c r="I73" s="8" t="inlineStr">
        <is>
          <t>No</t>
        </is>
      </c>
    </row>
    <row r="74">
      <c r="A74" s="8" t="inlineStr">
        <is>
          <t>21/04/2026</t>
        </is>
      </c>
      <c r="B74" s="8" t="inlineStr">
        <is>
          <t>PAV</t>
        </is>
      </c>
      <c r="C74" s="8" t="inlineStr">
        <is>
          <t>2300013971</t>
        </is>
      </c>
      <c r="D74" s="9" t="n">
        <v>1923400.36</v>
      </c>
      <c r="E74" s="8" t="inlineStr">
        <is>
          <t>21/04/2026</t>
        </is>
      </c>
      <c r="F74" s="8" t="inlineStr">
        <is>
          <t>21/04/2026</t>
        </is>
      </c>
      <c r="G74" s="8" t="inlineStr">
        <is>
          <t>CR LIQ MASTER DEB 24H</t>
        </is>
      </c>
      <c r="H74" s="8" t="inlineStr">
        <is>
          <t>32032899</t>
        </is>
      </c>
      <c r="I74" s="8" t="inlineStr">
        <is>
          <t>No</t>
        </is>
      </c>
    </row>
    <row r="75">
      <c r="A75" s="8" t="inlineStr">
        <is>
          <t>21/04/2026</t>
        </is>
      </c>
      <c r="B75" s="8" t="inlineStr">
        <is>
          <t>PAV</t>
        </is>
      </c>
      <c r="C75" s="8" t="inlineStr">
        <is>
          <t>1800042773</t>
        </is>
      </c>
      <c r="D75" s="9" t="n">
        <v>16835.44</v>
      </c>
      <c r="E75" s="8" t="inlineStr">
        <is>
          <t>21/04/2026</t>
        </is>
      </c>
      <c r="F75" s="8" t="inlineStr">
        <is>
          <t>21/04/2026</t>
        </is>
      </c>
      <c r="G75" s="8" t="inlineStr">
        <is>
          <t>CR DEBIN SPOT - CUIT/CUIL: 30711424179</t>
        </is>
      </c>
      <c r="H75" s="8" t="inlineStr">
        <is>
          <t>108021</t>
        </is>
      </c>
      <c r="I75" s="8" t="inlineStr">
        <is>
          <t>No</t>
        </is>
      </c>
    </row>
    <row r="76">
      <c r="A76" s="8" t="inlineStr">
        <is>
          <t>21/04/2026</t>
        </is>
      </c>
      <c r="B76" s="8" t="inlineStr">
        <is>
          <t>PAV</t>
        </is>
      </c>
      <c r="C76" s="8" t="inlineStr">
        <is>
          <t>1800042774</t>
        </is>
      </c>
      <c r="D76" s="9" t="n">
        <v>8318.690000000001</v>
      </c>
      <c r="E76" s="8" t="inlineStr">
        <is>
          <t>21/04/2026</t>
        </is>
      </c>
      <c r="F76" s="8" t="inlineStr">
        <is>
          <t>21/04/2026</t>
        </is>
      </c>
      <c r="G76" s="8" t="inlineStr">
        <is>
          <t>CR DEBIN SPOT - CUIT/CUIL: 30711424179</t>
        </is>
      </c>
      <c r="H76" s="8" t="inlineStr">
        <is>
          <t>108022</t>
        </is>
      </c>
      <c r="I76" s="8" t="inlineStr">
        <is>
          <t>No</t>
        </is>
      </c>
    </row>
    <row r="77">
      <c r="A77" s="8" t="inlineStr">
        <is>
          <t>21/04/2026</t>
        </is>
      </c>
      <c r="B77" s="8" t="inlineStr">
        <is>
          <t>PAV</t>
        </is>
      </c>
      <c r="C77" s="8" t="inlineStr">
        <is>
          <t>1800042775</t>
        </is>
      </c>
      <c r="D77" s="9" t="n">
        <v>64172.74</v>
      </c>
      <c r="E77" s="8" t="inlineStr">
        <is>
          <t>21/04/2026</t>
        </is>
      </c>
      <c r="F77" s="8" t="inlineStr">
        <is>
          <t>21/04/2026</t>
        </is>
      </c>
      <c r="G77" s="8" t="inlineStr">
        <is>
          <t>CR DEBIN SPOT - CUIT/CUIL: 30711424179</t>
        </is>
      </c>
      <c r="H77" s="8" t="inlineStr">
        <is>
          <t>108023</t>
        </is>
      </c>
      <c r="I77" s="8" t="inlineStr">
        <is>
          <t>No</t>
        </is>
      </c>
    </row>
    <row r="78">
      <c r="A78" s="8" t="inlineStr">
        <is>
          <t>21/04/2026</t>
        </is>
      </c>
      <c r="B78" s="8" t="inlineStr">
        <is>
          <t>PAV</t>
        </is>
      </c>
      <c r="C78" s="8" t="inlineStr">
        <is>
          <t>1800042776</t>
        </is>
      </c>
      <c r="D78" s="9" t="n">
        <v>23272.52</v>
      </c>
      <c r="E78" s="8" t="inlineStr">
        <is>
          <t>21/04/2026</t>
        </is>
      </c>
      <c r="F78" s="8" t="inlineStr">
        <is>
          <t>21/04/2026</t>
        </is>
      </c>
      <c r="G78" s="8" t="inlineStr">
        <is>
          <t>CR DEBIN SPOT - CUIT/CUIL: 30711424179</t>
        </is>
      </c>
      <c r="H78" s="8" t="inlineStr">
        <is>
          <t>108057</t>
        </is>
      </c>
      <c r="I78" s="8" t="inlineStr">
        <is>
          <t>No</t>
        </is>
      </c>
    </row>
    <row r="79">
      <c r="A79" s="8" t="inlineStr">
        <is>
          <t>21/04/2026</t>
        </is>
      </c>
      <c r="B79" s="8" t="inlineStr">
        <is>
          <t>PAV</t>
        </is>
      </c>
      <c r="C79" s="8" t="inlineStr">
        <is>
          <t>1800042777</t>
        </is>
      </c>
      <c r="D79" s="9" t="n">
        <v>4456.44</v>
      </c>
      <c r="E79" s="8" t="inlineStr">
        <is>
          <t>21/04/2026</t>
        </is>
      </c>
      <c r="F79" s="8" t="inlineStr">
        <is>
          <t>21/04/2026</t>
        </is>
      </c>
      <c r="G79" s="8" t="inlineStr">
        <is>
          <t>CR DEBIN SPOT - CUIT/CUIL: 30711424179</t>
        </is>
      </c>
      <c r="H79" s="8" t="inlineStr">
        <is>
          <t>108058</t>
        </is>
      </c>
      <c r="I79" s="8" t="inlineStr">
        <is>
          <t>No</t>
        </is>
      </c>
    </row>
    <row r="80">
      <c r="A80" s="8" t="inlineStr">
        <is>
          <t>21/04/2026</t>
        </is>
      </c>
      <c r="B80" s="8" t="inlineStr">
        <is>
          <t>PAV</t>
        </is>
      </c>
      <c r="C80" s="8" t="inlineStr">
        <is>
          <t>3400068430</t>
        </is>
      </c>
      <c r="D80" s="9" t="n">
        <v>14656.74</v>
      </c>
      <c r="E80" s="8" t="inlineStr">
        <is>
          <t>21/04/2026</t>
        </is>
      </c>
      <c r="F80" s="8" t="inlineStr">
        <is>
          <t>21/04/2026</t>
        </is>
      </c>
      <c r="G80" s="8" t="inlineStr">
        <is>
          <t>CR DEBIN SPOT - CUIT/CUIL: 30711424179</t>
        </is>
      </c>
      <c r="H80" s="8" t="inlineStr">
        <is>
          <t>108056</t>
        </is>
      </c>
      <c r="I80" s="8" t="inlineStr">
        <is>
          <t>No</t>
        </is>
      </c>
    </row>
    <row r="81">
      <c r="A81" s="8" t="inlineStr">
        <is>
          <t>22/04/2026</t>
        </is>
      </c>
      <c r="B81" s="8" t="inlineStr">
        <is>
          <t>MB-ENT-EX</t>
        </is>
      </c>
      <c r="C81" s="8" t="inlineStr">
        <is>
          <t>0000-00026587</t>
        </is>
      </c>
      <c r="D81" s="9" t="n">
        <v>10000000</v>
      </c>
      <c r="E81" s="8" t="inlineStr">
        <is>
          <t>22/04/2026</t>
        </is>
      </c>
      <c r="F81" s="8" t="inlineStr">
        <is>
          <t>22/04/2026</t>
        </is>
      </c>
      <c r="G81" s="8" t="inlineStr">
        <is>
          <t>DEB.TRAN.INTERBMISMO TIT</t>
        </is>
      </c>
      <c r="H81" s="8" t="inlineStr">
        <is>
          <t>108178</t>
        </is>
      </c>
      <c r="I81" s="8" t="inlineStr">
        <is>
          <t>No</t>
        </is>
      </c>
    </row>
    <row r="82">
      <c r="A82" s="8" t="inlineStr">
        <is>
          <t>22/04/2026</t>
        </is>
      </c>
      <c r="B82" s="8" t="inlineStr">
        <is>
          <t>MB-ENT-EX</t>
        </is>
      </c>
      <c r="C82" s="8" t="inlineStr">
        <is>
          <t>0000-00026588</t>
        </is>
      </c>
      <c r="D82" s="9" t="n">
        <v>2000000</v>
      </c>
      <c r="E82" s="8" t="inlineStr">
        <is>
          <t>22/04/2026</t>
        </is>
      </c>
      <c r="F82" s="8" t="inlineStr">
        <is>
          <t>22/04/2026</t>
        </is>
      </c>
      <c r="G82" s="8" t="inlineStr">
        <is>
          <t>DB CREDIN TRANSFERENCIA</t>
        </is>
      </c>
      <c r="H82" s="8" t="inlineStr">
        <is>
          <t>108219</t>
        </is>
      </c>
      <c r="I82" s="8" t="inlineStr">
        <is>
          <t>No</t>
        </is>
      </c>
    </row>
    <row r="83">
      <c r="A83" s="8" t="inlineStr">
        <is>
          <t>22/04/2026</t>
        </is>
      </c>
      <c r="B83" s="8" t="inlineStr">
        <is>
          <t>PAV</t>
        </is>
      </c>
      <c r="C83" s="8" t="inlineStr">
        <is>
          <t>2300013983</t>
        </is>
      </c>
      <c r="D83" s="9" t="n">
        <v>68233.05</v>
      </c>
      <c r="E83" s="8" t="inlineStr">
        <is>
          <t>22/04/2026</t>
        </is>
      </c>
      <c r="F83" s="8" t="inlineStr">
        <is>
          <t>22/04/2026</t>
        </is>
      </c>
      <c r="G83" s="8" t="inlineStr">
        <is>
          <t>CR DEBIN SPOT - CUIT/CUIL: 30711424179</t>
        </is>
      </c>
      <c r="H83" s="8" t="inlineStr">
        <is>
          <t>108177</t>
        </is>
      </c>
      <c r="I83" s="8" t="inlineStr">
        <is>
          <t>No</t>
        </is>
      </c>
    </row>
    <row r="84">
      <c r="A84" s="8" t="inlineStr">
        <is>
          <t>22/04/2026</t>
        </is>
      </c>
      <c r="B84" s="8" t="inlineStr">
        <is>
          <t>PAV</t>
        </is>
      </c>
      <c r="C84" s="8" t="inlineStr">
        <is>
          <t>2200022550</t>
        </is>
      </c>
      <c r="D84" s="9" t="n">
        <v>40107.96</v>
      </c>
      <c r="E84" s="8" t="inlineStr">
        <is>
          <t>22/04/2026</t>
        </is>
      </c>
      <c r="F84" s="8" t="inlineStr">
        <is>
          <t>22/04/2026</t>
        </is>
      </c>
      <c r="G84" s="8" t="inlineStr">
        <is>
          <t>CR DEBIN SPOT - CUIT/CUIL: 30711424179</t>
        </is>
      </c>
      <c r="H84" s="8" t="inlineStr">
        <is>
          <t>108176</t>
        </is>
      </c>
      <c r="I84" s="8" t="inlineStr">
        <is>
          <t>No</t>
        </is>
      </c>
    </row>
    <row r="85">
      <c r="A85" s="8" t="inlineStr">
        <is>
          <t>22/04/2026</t>
        </is>
      </c>
      <c r="B85" s="8" t="inlineStr">
        <is>
          <t>PAV</t>
        </is>
      </c>
      <c r="C85" s="8" t="inlineStr">
        <is>
          <t>2300013984</t>
        </is>
      </c>
      <c r="D85" s="9" t="n">
        <v>195047.16</v>
      </c>
      <c r="E85" s="8" t="inlineStr">
        <is>
          <t>22/04/2026</t>
        </is>
      </c>
      <c r="F85" s="8" t="inlineStr">
        <is>
          <t>22/04/2026</t>
        </is>
      </c>
      <c r="G85" s="8" t="inlineStr">
        <is>
          <t>CR LIQ MASTERCARD 24H</t>
        </is>
      </c>
      <c r="H85" s="8" t="inlineStr">
        <is>
          <t>32032899</t>
        </is>
      </c>
      <c r="I85" s="8" t="inlineStr">
        <is>
          <t>No</t>
        </is>
      </c>
    </row>
    <row r="86">
      <c r="A86" s="8" t="inlineStr">
        <is>
          <t>22/04/2026</t>
        </is>
      </c>
      <c r="B86" s="8" t="inlineStr">
        <is>
          <t>PAV</t>
        </is>
      </c>
      <c r="C86" s="8" t="inlineStr">
        <is>
          <t>2300013985</t>
        </is>
      </c>
      <c r="D86" s="9" t="n">
        <v>210852.6</v>
      </c>
      <c r="E86" s="8" t="inlineStr">
        <is>
          <t>22/04/2026</t>
        </is>
      </c>
      <c r="F86" s="8" t="inlineStr">
        <is>
          <t>22/04/2026</t>
        </is>
      </c>
      <c r="G86" s="8" t="inlineStr">
        <is>
          <t>CR LIQ MASTER DEB 24H</t>
        </is>
      </c>
      <c r="H86" s="8" t="inlineStr">
        <is>
          <t>32032899</t>
        </is>
      </c>
      <c r="I86" s="8" t="inlineStr">
        <is>
          <t>No</t>
        </is>
      </c>
    </row>
    <row r="87">
      <c r="A87" s="8" t="inlineStr">
        <is>
          <t>22/04/2026</t>
        </is>
      </c>
      <c r="B87" s="8" t="inlineStr">
        <is>
          <t>PAV</t>
        </is>
      </c>
      <c r="C87" s="8" t="inlineStr">
        <is>
          <t>2300013986</t>
        </is>
      </c>
      <c r="D87" s="9" t="n">
        <v>32699.49</v>
      </c>
      <c r="E87" s="8" t="inlineStr">
        <is>
          <t>22/04/2026</t>
        </is>
      </c>
      <c r="F87" s="8" t="inlineStr">
        <is>
          <t>22/04/2026</t>
        </is>
      </c>
      <c r="G87" s="8" t="inlineStr">
        <is>
          <t>CR LIQ MASTER DEB 24H</t>
        </is>
      </c>
      <c r="H87" s="8" t="inlineStr">
        <is>
          <t>32032899</t>
        </is>
      </c>
      <c r="I87" s="8" t="inlineStr">
        <is>
          <t>No</t>
        </is>
      </c>
    </row>
    <row r="88">
      <c r="A88" s="8" t="inlineStr">
        <is>
          <t>22/04/2026</t>
        </is>
      </c>
      <c r="B88" s="8" t="inlineStr">
        <is>
          <t>PAV</t>
        </is>
      </c>
      <c r="C88" s="8" t="inlineStr">
        <is>
          <t>2300013987</t>
        </is>
      </c>
      <c r="D88" s="9" t="n">
        <v>290453.16</v>
      </c>
      <c r="E88" s="8" t="inlineStr">
        <is>
          <t>21/04/2026</t>
        </is>
      </c>
      <c r="F88" s="8" t="inlineStr">
        <is>
          <t>22/04/2026</t>
        </is>
      </c>
      <c r="G88" s="8" t="inlineStr">
        <is>
          <t>CR LIQ MASTER DEB 24H</t>
        </is>
      </c>
      <c r="H88" s="8" t="inlineStr">
        <is>
          <t>32032899</t>
        </is>
      </c>
      <c r="I88" s="8" t="inlineStr">
        <is>
          <t>Sí</t>
        </is>
      </c>
    </row>
    <row r="89">
      <c r="A89" s="8" t="inlineStr">
        <is>
          <t>22/04/2026</t>
        </is>
      </c>
      <c r="B89" s="8" t="inlineStr">
        <is>
          <t>PAV</t>
        </is>
      </c>
      <c r="C89" s="8" t="inlineStr">
        <is>
          <t>1900042884</t>
        </is>
      </c>
      <c r="D89" s="9" t="n">
        <v>41395.38</v>
      </c>
      <c r="E89" s="8" t="inlineStr">
        <is>
          <t>22/04/2026</t>
        </is>
      </c>
      <c r="F89" s="8" t="inlineStr">
        <is>
          <t>22/04/2026</t>
        </is>
      </c>
      <c r="G89" s="8" t="inlineStr">
        <is>
          <t>CR DEBIN SPOT - CUIT/CUIL: 30711424179</t>
        </is>
      </c>
      <c r="H89" s="8" t="inlineStr">
        <is>
          <t>108179</t>
        </is>
      </c>
      <c r="I89" s="8" t="inlineStr">
        <is>
          <t>No</t>
        </is>
      </c>
    </row>
    <row r="90">
      <c r="A90" s="8" t="inlineStr">
        <is>
          <t>22/04/2026</t>
        </is>
      </c>
      <c r="B90" s="8" t="inlineStr">
        <is>
          <t>PAV</t>
        </is>
      </c>
      <c r="C90" s="8" t="inlineStr">
        <is>
          <t>2200022551</t>
        </is>
      </c>
      <c r="D90" s="9" t="n">
        <v>785565.87</v>
      </c>
      <c r="E90" s="8" t="inlineStr">
        <is>
          <t>22/04/2026</t>
        </is>
      </c>
      <c r="F90" s="8" t="inlineStr">
        <is>
          <t>22/04/2026</t>
        </is>
      </c>
      <c r="G90" s="8" t="inlineStr">
        <is>
          <t>CR LIQ MASTER DEB 24H</t>
        </is>
      </c>
      <c r="H90" s="8" t="inlineStr">
        <is>
          <t>31995644</t>
        </is>
      </c>
      <c r="I90" s="8" t="inlineStr">
        <is>
          <t>No</t>
        </is>
      </c>
    </row>
    <row r="91">
      <c r="A91" s="8" t="inlineStr">
        <is>
          <t>22/04/2026</t>
        </is>
      </c>
      <c r="B91" s="8" t="inlineStr">
        <is>
          <t>PAV</t>
        </is>
      </c>
      <c r="C91" s="8" t="inlineStr">
        <is>
          <t>2200022552</t>
        </is>
      </c>
      <c r="D91" s="9" t="n">
        <v>70239.69</v>
      </c>
      <c r="E91" s="8" t="inlineStr">
        <is>
          <t>22/04/2026</t>
        </is>
      </c>
      <c r="F91" s="8" t="inlineStr">
        <is>
          <t>22/04/2026</t>
        </is>
      </c>
      <c r="G91" s="8" t="inlineStr">
        <is>
          <t>CR LIQ MASTER DEB 24H</t>
        </is>
      </c>
      <c r="H91" s="8" t="inlineStr">
        <is>
          <t>31995644</t>
        </is>
      </c>
      <c r="I91" s="8" t="inlineStr">
        <is>
          <t>No</t>
        </is>
      </c>
    </row>
    <row r="92">
      <c r="A92" s="8" t="inlineStr">
        <is>
          <t>22/04/2026</t>
        </is>
      </c>
      <c r="B92" s="8" t="inlineStr">
        <is>
          <t>PAV</t>
        </is>
      </c>
      <c r="C92" s="8" t="inlineStr">
        <is>
          <t>2200022553</t>
        </is>
      </c>
      <c r="D92" s="9" t="n">
        <v>293890.61</v>
      </c>
      <c r="E92" s="8" t="inlineStr">
        <is>
          <t>22/04/2026</t>
        </is>
      </c>
      <c r="F92" s="8" t="inlineStr">
        <is>
          <t>22/04/2026</t>
        </is>
      </c>
      <c r="G92" s="8" t="inlineStr">
        <is>
          <t>CR LIQ MASTERCARD 24H</t>
        </is>
      </c>
      <c r="H92" s="8" t="inlineStr">
        <is>
          <t>31995644</t>
        </is>
      </c>
      <c r="I92" s="8" t="inlineStr">
        <is>
          <t>No</t>
        </is>
      </c>
    </row>
    <row r="93">
      <c r="A93" s="8" t="inlineStr">
        <is>
          <t>22/04/2026</t>
        </is>
      </c>
      <c r="B93" s="8" t="inlineStr">
        <is>
          <t>PAV</t>
        </is>
      </c>
      <c r="C93" s="8" t="inlineStr">
        <is>
          <t>2200022554</t>
        </is>
      </c>
      <c r="D93" s="9" t="n">
        <v>33650.77</v>
      </c>
      <c r="E93" s="8" t="inlineStr">
        <is>
          <t>22/04/2026</t>
        </is>
      </c>
      <c r="F93" s="8" t="inlineStr">
        <is>
          <t>22/04/2026</t>
        </is>
      </c>
      <c r="G93" s="8" t="inlineStr">
        <is>
          <t>CR LIQ MASTERCARD 24H</t>
        </is>
      </c>
      <c r="H93" s="8" t="inlineStr">
        <is>
          <t>31995644</t>
        </is>
      </c>
      <c r="I93" s="8" t="inlineStr">
        <is>
          <t>No</t>
        </is>
      </c>
    </row>
    <row r="94">
      <c r="A94" s="8" t="inlineStr">
        <is>
          <t>22/04/2026</t>
        </is>
      </c>
      <c r="B94" s="8" t="inlineStr">
        <is>
          <t>PAV</t>
        </is>
      </c>
      <c r="C94" s="8" t="inlineStr">
        <is>
          <t>2200022555</t>
        </is>
      </c>
      <c r="D94" s="9" t="n">
        <v>665653.42</v>
      </c>
      <c r="E94" s="8" t="inlineStr">
        <is>
          <t>22/04/2026</t>
        </is>
      </c>
      <c r="F94" s="8" t="inlineStr">
        <is>
          <t>22/04/2026</t>
        </is>
      </c>
      <c r="G94" s="8" t="inlineStr">
        <is>
          <t>CR LIQ MASTERCARD 24H</t>
        </is>
      </c>
      <c r="H94" s="8" t="inlineStr">
        <is>
          <t>31995644</t>
        </is>
      </c>
      <c r="I94" s="8" t="inlineStr">
        <is>
          <t>No</t>
        </is>
      </c>
    </row>
    <row r="95">
      <c r="A95" s="8" t="inlineStr">
        <is>
          <t>22/04/2026</t>
        </is>
      </c>
      <c r="B95" s="8" t="inlineStr">
        <is>
          <t>PAV</t>
        </is>
      </c>
      <c r="C95" s="8" t="inlineStr">
        <is>
          <t>2100058040</t>
        </is>
      </c>
      <c r="D95" s="9" t="n">
        <v>11249.53</v>
      </c>
      <c r="E95" s="8" t="inlineStr">
        <is>
          <t>22/04/2026</t>
        </is>
      </c>
      <c r="F95" s="8" t="inlineStr">
        <is>
          <t>22/04/2026</t>
        </is>
      </c>
      <c r="G95" s="8" t="inlineStr">
        <is>
          <t>CR LIQ MASTERCARD 24H</t>
        </is>
      </c>
      <c r="H95" s="8" t="inlineStr">
        <is>
          <t>29841642</t>
        </is>
      </c>
      <c r="I95" s="8" t="inlineStr">
        <is>
          <t>No</t>
        </is>
      </c>
    </row>
    <row r="96">
      <c r="A96" s="8" t="inlineStr">
        <is>
          <t>22/04/2026</t>
        </is>
      </c>
      <c r="B96" s="8" t="inlineStr">
        <is>
          <t>PAV</t>
        </is>
      </c>
      <c r="C96" s="8" t="inlineStr">
        <is>
          <t>2100058041</t>
        </is>
      </c>
      <c r="D96" s="9" t="n">
        <v>124376.61</v>
      </c>
      <c r="E96" s="8" t="inlineStr">
        <is>
          <t>22/04/2026</t>
        </is>
      </c>
      <c r="F96" s="8" t="inlineStr">
        <is>
          <t>22/04/2026</t>
        </is>
      </c>
      <c r="G96" s="8" t="inlineStr">
        <is>
          <t>CR LIQ MASTER DEB 24H</t>
        </is>
      </c>
      <c r="H96" s="8" t="inlineStr">
        <is>
          <t>29841642</t>
        </is>
      </c>
      <c r="I96" s="8" t="inlineStr">
        <is>
          <t>No</t>
        </is>
      </c>
    </row>
    <row r="97">
      <c r="A97" s="8" t="inlineStr">
        <is>
          <t>22/04/2026</t>
        </is>
      </c>
      <c r="B97" s="8" t="inlineStr">
        <is>
          <t>PAV</t>
        </is>
      </c>
      <c r="C97" s="8" t="inlineStr">
        <is>
          <t>2100058042</t>
        </is>
      </c>
      <c r="D97" s="9" t="n">
        <v>42083.02</v>
      </c>
      <c r="E97" s="8" t="inlineStr">
        <is>
          <t>22/04/2026</t>
        </is>
      </c>
      <c r="F97" s="8" t="inlineStr">
        <is>
          <t>22/04/2026</t>
        </is>
      </c>
      <c r="G97" s="8" t="inlineStr">
        <is>
          <t>CR LIQ MASTERCARD 24H</t>
        </is>
      </c>
      <c r="H97" s="8" t="inlineStr">
        <is>
          <t>29841642</t>
        </is>
      </c>
      <c r="I97" s="8" t="inlineStr">
        <is>
          <t>No</t>
        </is>
      </c>
    </row>
    <row r="98">
      <c r="A98" s="8" t="inlineStr">
        <is>
          <t>22/04/2026</t>
        </is>
      </c>
      <c r="B98" s="8" t="inlineStr">
        <is>
          <t>PAV</t>
        </is>
      </c>
      <c r="C98" s="8" t="inlineStr">
        <is>
          <t>2100058043</t>
        </is>
      </c>
      <c r="D98" s="9" t="n">
        <v>58780.05</v>
      </c>
      <c r="E98" s="8" t="inlineStr">
        <is>
          <t>22/04/2026</t>
        </is>
      </c>
      <c r="F98" s="8" t="inlineStr">
        <is>
          <t>22/04/2026</t>
        </is>
      </c>
      <c r="G98" s="8" t="inlineStr">
        <is>
          <t>CR LIQ MASTER DEB 24H</t>
        </is>
      </c>
      <c r="H98" s="8" t="inlineStr">
        <is>
          <t>29841642</t>
        </is>
      </c>
      <c r="I98" s="8" t="inlineStr">
        <is>
          <t>No</t>
        </is>
      </c>
    </row>
    <row r="99">
      <c r="A99" s="8" t="inlineStr">
        <is>
          <t>22/04/2026</t>
        </is>
      </c>
      <c r="B99" s="8" t="inlineStr">
        <is>
          <t>PAV</t>
        </is>
      </c>
      <c r="C99" s="8" t="inlineStr">
        <is>
          <t>2100058044</t>
        </is>
      </c>
      <c r="D99" s="9" t="n">
        <v>66616.78</v>
      </c>
      <c r="E99" s="8" t="inlineStr">
        <is>
          <t>22/04/2026</t>
        </is>
      </c>
      <c r="F99" s="8" t="inlineStr">
        <is>
          <t>22/04/2026</t>
        </is>
      </c>
      <c r="G99" s="8" t="inlineStr">
        <is>
          <t>CR LIQ MASTER DEB 24H</t>
        </is>
      </c>
      <c r="H99" s="8" t="inlineStr">
        <is>
          <t>29841642</t>
        </is>
      </c>
      <c r="I99" s="8" t="inlineStr">
        <is>
          <t>No</t>
        </is>
      </c>
    </row>
    <row r="100">
      <c r="A100" s="8" t="inlineStr">
        <is>
          <t>22/04/2026</t>
        </is>
      </c>
      <c r="B100" s="8" t="inlineStr">
        <is>
          <t>PAV</t>
        </is>
      </c>
      <c r="C100" s="8" t="inlineStr">
        <is>
          <t>2300013994</t>
        </is>
      </c>
      <c r="D100" s="9" t="n">
        <v>52585.99</v>
      </c>
      <c r="E100" s="8" t="inlineStr">
        <is>
          <t>22/04/2026</t>
        </is>
      </c>
      <c r="F100" s="8" t="inlineStr">
        <is>
          <t>22/04/2026</t>
        </is>
      </c>
      <c r="G100" s="8" t="inlineStr">
        <is>
          <t>CR DEBIN SPOT - CUIT/CUIL: 30711424179</t>
        </is>
      </c>
      <c r="H100" s="8" t="inlineStr">
        <is>
          <t>108218</t>
        </is>
      </c>
      <c r="I100" s="8" t="inlineStr">
        <is>
          <t>No</t>
        </is>
      </c>
    </row>
    <row r="101">
      <c r="A101" s="8" t="inlineStr">
        <is>
          <t>22/04/2026</t>
        </is>
      </c>
      <c r="B101" s="8" t="inlineStr">
        <is>
          <t>PAV</t>
        </is>
      </c>
      <c r="C101" s="8" t="inlineStr">
        <is>
          <t>2300013996</t>
        </is>
      </c>
      <c r="D101" s="9" t="n">
        <v>18915.11</v>
      </c>
      <c r="E101" s="8" t="inlineStr">
        <is>
          <t>22/04/2026</t>
        </is>
      </c>
      <c r="F101" s="8" t="inlineStr">
        <is>
          <t>22/04/2026</t>
        </is>
      </c>
      <c r="G101" s="8" t="inlineStr">
        <is>
          <t>CR DEBIN SPOT - CUIT/CUIL: 30711424179</t>
        </is>
      </c>
      <c r="H101" s="8" t="inlineStr">
        <is>
          <t>108220</t>
        </is>
      </c>
      <c r="I101" s="8" t="inlineStr">
        <is>
          <t>No</t>
        </is>
      </c>
    </row>
    <row r="102">
      <c r="A102" s="8" t="inlineStr">
        <is>
          <t>22/04/2026</t>
        </is>
      </c>
      <c r="B102" s="8" t="inlineStr">
        <is>
          <t>PAV</t>
        </is>
      </c>
      <c r="C102" s="8" t="inlineStr">
        <is>
          <t>2300013998</t>
        </is>
      </c>
      <c r="D102" s="9" t="n">
        <v>72293.36</v>
      </c>
      <c r="E102" s="8" t="inlineStr">
        <is>
          <t>22/04/2026</t>
        </is>
      </c>
      <c r="F102" s="8" t="inlineStr">
        <is>
          <t>22/04/2026</t>
        </is>
      </c>
      <c r="G102" s="8" t="inlineStr">
        <is>
          <t>CR DEBIN SPOT - CUIT/CUIL: 30711424179</t>
        </is>
      </c>
      <c r="H102" s="8" t="inlineStr">
        <is>
          <t>108221</t>
        </is>
      </c>
      <c r="I102" s="8" t="inlineStr">
        <is>
          <t>No</t>
        </is>
      </c>
    </row>
    <row r="103">
      <c r="A103" s="8" t="inlineStr">
        <is>
          <t>22/04/2026</t>
        </is>
      </c>
      <c r="B103" s="8" t="inlineStr">
        <is>
          <t>PAV</t>
        </is>
      </c>
      <c r="C103" s="8" t="inlineStr">
        <is>
          <t>2200022563</t>
        </is>
      </c>
      <c r="D103" s="9" t="n">
        <v>100715.54</v>
      </c>
      <c r="E103" s="8" t="inlineStr">
        <is>
          <t>22/04/2026</t>
        </is>
      </c>
      <c r="F103" s="8" t="inlineStr">
        <is>
          <t>22/04/2026</t>
        </is>
      </c>
      <c r="G103" s="8" t="inlineStr">
        <is>
          <t>CR DEBIN SPOT - CUIT/CUIL: 30711424179</t>
        </is>
      </c>
      <c r="H103" s="8" t="inlineStr">
        <is>
          <t>108222</t>
        </is>
      </c>
      <c r="I103" s="8" t="inlineStr">
        <is>
          <t>No</t>
        </is>
      </c>
    </row>
    <row r="104">
      <c r="A104" s="8" t="inlineStr">
        <is>
          <t>22/04/2026</t>
        </is>
      </c>
      <c r="B104" s="8" t="inlineStr">
        <is>
          <t>PAV</t>
        </is>
      </c>
      <c r="C104" s="8" t="inlineStr">
        <is>
          <t>1700036925</t>
        </is>
      </c>
      <c r="D104" s="9" t="n">
        <v>15411.24</v>
      </c>
      <c r="E104" s="8" t="inlineStr">
        <is>
          <t>22/04/2026</t>
        </is>
      </c>
      <c r="F104" s="8" t="inlineStr">
        <is>
          <t>22/04/2026</t>
        </is>
      </c>
      <c r="G104" s="8" t="inlineStr">
        <is>
          <t>CR LIQ MASTER DEB 24H</t>
        </is>
      </c>
      <c r="H104" s="8" t="inlineStr">
        <is>
          <t>29841627</t>
        </is>
      </c>
      <c r="I104" s="8" t="inlineStr">
        <is>
          <t>No</t>
        </is>
      </c>
    </row>
    <row r="105">
      <c r="A105" s="8" t="inlineStr">
        <is>
          <t>22/04/2026</t>
        </is>
      </c>
      <c r="B105" s="8" t="inlineStr">
        <is>
          <t>PAV</t>
        </is>
      </c>
      <c r="C105" s="8" t="inlineStr">
        <is>
          <t>1700036926</t>
        </is>
      </c>
      <c r="D105" s="9" t="n">
        <v>13205.97</v>
      </c>
      <c r="E105" s="8" t="inlineStr">
        <is>
          <t>22/04/2026</t>
        </is>
      </c>
      <c r="F105" s="8" t="inlineStr">
        <is>
          <t>22/04/2026</t>
        </is>
      </c>
      <c r="G105" s="8" t="inlineStr">
        <is>
          <t>CR LIQ MASTER DEB 24H</t>
        </is>
      </c>
      <c r="H105" s="8" t="inlineStr">
        <is>
          <t>29841627</t>
        </is>
      </c>
      <c r="I105" s="8" t="inlineStr">
        <is>
          <t>No</t>
        </is>
      </c>
    </row>
    <row r="106">
      <c r="A106" s="8" t="inlineStr">
        <is>
          <t>22/04/2026</t>
        </is>
      </c>
      <c r="B106" s="8" t="inlineStr">
        <is>
          <t>PAV</t>
        </is>
      </c>
      <c r="C106" s="8" t="inlineStr">
        <is>
          <t>1900042895</t>
        </is>
      </c>
      <c r="D106" s="9" t="n">
        <v>20796.72</v>
      </c>
      <c r="E106" s="8" t="inlineStr">
        <is>
          <t>22/04/2026</t>
        </is>
      </c>
      <c r="F106" s="8" t="inlineStr">
        <is>
          <t>22/04/2026</t>
        </is>
      </c>
      <c r="G106" s="8" t="inlineStr">
        <is>
          <t>CR DEBIN SPOT - CUIT/CUIL: 30711424179</t>
        </is>
      </c>
      <c r="H106" s="8" t="inlineStr">
        <is>
          <t>108181</t>
        </is>
      </c>
      <c r="I106" s="8" t="inlineStr">
        <is>
          <t>No</t>
        </is>
      </c>
    </row>
    <row r="107">
      <c r="A107" s="8" t="inlineStr">
        <is>
          <t>22/04/2026</t>
        </is>
      </c>
      <c r="B107" s="8" t="inlineStr">
        <is>
          <t>PAV</t>
        </is>
      </c>
      <c r="C107" s="8" t="inlineStr">
        <is>
          <t>1900042896</t>
        </is>
      </c>
      <c r="D107" s="9" t="n">
        <v>14854.8</v>
      </c>
      <c r="E107" s="8" t="inlineStr">
        <is>
          <t>22/04/2026</t>
        </is>
      </c>
      <c r="F107" s="8" t="inlineStr">
        <is>
          <t>22/04/2026</t>
        </is>
      </c>
      <c r="G107" s="8" t="inlineStr">
        <is>
          <t>CR DEBIN SPOT - CUIT/CUIL: 30711424179</t>
        </is>
      </c>
      <c r="H107" s="8" t="inlineStr">
        <is>
          <t>108180</t>
        </is>
      </c>
      <c r="I107" s="8" t="inlineStr">
        <is>
          <t>No</t>
        </is>
      </c>
    </row>
    <row r="108">
      <c r="A108" s="8" t="inlineStr">
        <is>
          <t>22/04/2026</t>
        </is>
      </c>
      <c r="B108" s="8" t="inlineStr">
        <is>
          <t>PAV</t>
        </is>
      </c>
      <c r="C108" s="8" t="inlineStr">
        <is>
          <t>3400068452</t>
        </is>
      </c>
      <c r="D108" s="9" t="n">
        <v>37759.29</v>
      </c>
      <c r="E108" s="8" t="inlineStr">
        <is>
          <t>22/04/2026</t>
        </is>
      </c>
      <c r="F108" s="8" t="inlineStr">
        <is>
          <t>22/04/2026</t>
        </is>
      </c>
      <c r="G108" s="8" t="inlineStr">
        <is>
          <t>CR LIQ MASTERCARD 24H</t>
        </is>
      </c>
      <c r="H108" s="8" t="inlineStr">
        <is>
          <t>29841705</t>
        </is>
      </c>
      <c r="I108" s="8" t="inlineStr">
        <is>
          <t>No</t>
        </is>
      </c>
    </row>
    <row r="109">
      <c r="A109" s="8" t="inlineStr">
        <is>
          <t>22/04/2026</t>
        </is>
      </c>
      <c r="B109" s="8" t="inlineStr">
        <is>
          <t>PAV</t>
        </is>
      </c>
      <c r="C109" s="8" t="inlineStr">
        <is>
          <t>3400068453</t>
        </is>
      </c>
      <c r="D109" s="9" t="n">
        <v>37836.57</v>
      </c>
      <c r="E109" s="8" t="inlineStr">
        <is>
          <t>22/04/2026</t>
        </is>
      </c>
      <c r="F109" s="8" t="inlineStr">
        <is>
          <t>22/04/2026</t>
        </is>
      </c>
      <c r="G109" s="8" t="inlineStr">
        <is>
          <t>CR LIQ MASTER DEB 24H</t>
        </is>
      </c>
      <c r="H109" s="8" t="inlineStr">
        <is>
          <t>29841705</t>
        </is>
      </c>
      <c r="I109" s="8" t="inlineStr">
        <is>
          <t>No</t>
        </is>
      </c>
    </row>
    <row r="110">
      <c r="A110" s="8" t="inlineStr">
        <is>
          <t>22/04/2026</t>
        </is>
      </c>
      <c r="B110" s="8" t="inlineStr">
        <is>
          <t>PAV</t>
        </is>
      </c>
      <c r="C110" s="8" t="inlineStr">
        <is>
          <t>3400068454</t>
        </is>
      </c>
      <c r="D110" s="9" t="n">
        <v>27167.25</v>
      </c>
      <c r="E110" s="8" t="inlineStr">
        <is>
          <t>22/04/2026</t>
        </is>
      </c>
      <c r="F110" s="8" t="inlineStr">
        <is>
          <t>22/04/2026</t>
        </is>
      </c>
      <c r="G110" s="8" t="inlineStr">
        <is>
          <t>CR LIQ MASTER DEB 24H</t>
        </is>
      </c>
      <c r="H110" s="8" t="inlineStr">
        <is>
          <t>29841705</t>
        </is>
      </c>
      <c r="I110" s="8" t="inlineStr">
        <is>
          <t>No</t>
        </is>
      </c>
    </row>
    <row r="111">
      <c r="A111" s="8" t="inlineStr">
        <is>
          <t>22/04/2026</t>
        </is>
      </c>
      <c r="B111" s="8" t="inlineStr">
        <is>
          <t>PAV</t>
        </is>
      </c>
      <c r="C111" s="8" t="inlineStr">
        <is>
          <t>3400068455</t>
        </is>
      </c>
      <c r="D111" s="9" t="n">
        <v>42846.04</v>
      </c>
      <c r="E111" s="8" t="inlineStr">
        <is>
          <t>22/04/2026</t>
        </is>
      </c>
      <c r="F111" s="8" t="inlineStr">
        <is>
          <t>22/04/2026</t>
        </is>
      </c>
      <c r="G111" s="8" t="inlineStr">
        <is>
          <t>CR LIQ MASTER DEB 24H</t>
        </is>
      </c>
      <c r="H111" s="8" t="inlineStr">
        <is>
          <t>29841705</t>
        </is>
      </c>
      <c r="I111" s="8" t="inlineStr">
        <is>
          <t>No</t>
        </is>
      </c>
    </row>
    <row r="112">
      <c r="A112" s="8" t="inlineStr">
        <is>
          <t>22/04/2026</t>
        </is>
      </c>
      <c r="B112" s="8" t="inlineStr">
        <is>
          <t>PAV</t>
        </is>
      </c>
      <c r="C112" s="8" t="inlineStr">
        <is>
          <t>3400068456</t>
        </is>
      </c>
      <c r="D112" s="9" t="n">
        <v>130715.82</v>
      </c>
      <c r="E112" s="8" t="inlineStr">
        <is>
          <t>22/04/2026</t>
        </is>
      </c>
      <c r="F112" s="8" t="inlineStr">
        <is>
          <t>22/04/2026</t>
        </is>
      </c>
      <c r="G112" s="8" t="inlineStr">
        <is>
          <t>CR LIQ MASTER DEB 24H</t>
        </is>
      </c>
      <c r="H112" s="8" t="inlineStr">
        <is>
          <t>29841705</t>
        </is>
      </c>
      <c r="I112" s="8" t="inlineStr">
        <is>
          <t>No</t>
        </is>
      </c>
    </row>
    <row r="113">
      <c r="A113" s="8" t="inlineStr">
        <is>
          <t>22/04/2026</t>
        </is>
      </c>
      <c r="B113" s="8" t="inlineStr">
        <is>
          <t>PAV</t>
        </is>
      </c>
      <c r="C113" s="8" t="inlineStr">
        <is>
          <t>1800042791</t>
        </is>
      </c>
      <c r="D113" s="9" t="n">
        <v>11388.68</v>
      </c>
      <c r="E113" s="8" t="inlineStr">
        <is>
          <t>22/04/2026</t>
        </is>
      </c>
      <c r="F113" s="8" t="inlineStr">
        <is>
          <t>22/04/2026</t>
        </is>
      </c>
      <c r="G113" s="8" t="inlineStr">
        <is>
          <t>CR DEBIN SPOT - CUIT/CUIL: 30711424179</t>
        </is>
      </c>
      <c r="H113" s="8" t="inlineStr">
        <is>
          <t>108224</t>
        </is>
      </c>
      <c r="I113" s="8" t="inlineStr">
        <is>
          <t>No</t>
        </is>
      </c>
    </row>
    <row r="114">
      <c r="A114" s="8" t="inlineStr">
        <is>
          <t>22/04/2026</t>
        </is>
      </c>
      <c r="B114" s="8" t="inlineStr">
        <is>
          <t>PAV</t>
        </is>
      </c>
      <c r="C114" s="8" t="inlineStr">
        <is>
          <t>1800042792</t>
        </is>
      </c>
      <c r="D114" s="9" t="n">
        <v>11388.68</v>
      </c>
      <c r="E114" s="8" t="inlineStr">
        <is>
          <t>22/04/2026</t>
        </is>
      </c>
      <c r="F114" s="8" t="inlineStr">
        <is>
          <t>22/04/2026</t>
        </is>
      </c>
      <c r="G114" s="8" t="inlineStr">
        <is>
          <t>CR DEBIN SPOT - CUIT/CUIL: 30711424179</t>
        </is>
      </c>
      <c r="H114" s="8" t="inlineStr">
        <is>
          <t>108182</t>
        </is>
      </c>
      <c r="I114" s="8" t="inlineStr">
        <is>
          <t>No</t>
        </is>
      </c>
    </row>
    <row r="115">
      <c r="A115" s="8" t="inlineStr">
        <is>
          <t>22/04/2026</t>
        </is>
      </c>
      <c r="B115" s="8" t="inlineStr">
        <is>
          <t>PAV</t>
        </is>
      </c>
      <c r="C115" s="8" t="inlineStr">
        <is>
          <t>1800042793</t>
        </is>
      </c>
      <c r="D115" s="9" t="n">
        <v>13369.32</v>
      </c>
      <c r="E115" s="8" t="inlineStr">
        <is>
          <t>22/04/2026</t>
        </is>
      </c>
      <c r="F115" s="8" t="inlineStr">
        <is>
          <t>22/04/2026</t>
        </is>
      </c>
      <c r="G115" s="8" t="inlineStr">
        <is>
          <t>CR DEBIN SPOT - CUIT/CUIL: 30711424179</t>
        </is>
      </c>
      <c r="H115" s="8" t="inlineStr">
        <is>
          <t>108223</t>
        </is>
      </c>
      <c r="I115" s="8" t="inlineStr">
        <is>
          <t>No</t>
        </is>
      </c>
    </row>
    <row r="116">
      <c r="A116" s="8" t="inlineStr">
        <is>
          <t>22/04/2026</t>
        </is>
      </c>
      <c r="B116" s="8" t="inlineStr">
        <is>
          <t>PAV</t>
        </is>
      </c>
      <c r="C116" s="8" t="inlineStr">
        <is>
          <t>3400068459</t>
        </is>
      </c>
      <c r="D116" s="9" t="n">
        <v>23965.74</v>
      </c>
      <c r="E116" s="8" t="inlineStr">
        <is>
          <t>22/04/2026</t>
        </is>
      </c>
      <c r="F116" s="8" t="inlineStr">
        <is>
          <t>22/04/2026</t>
        </is>
      </c>
      <c r="G116" s="8" t="inlineStr">
        <is>
          <t>CR DEBIN SPOT - CUIT/CUIL: 30711424179</t>
        </is>
      </c>
      <c r="H116" s="8" t="inlineStr">
        <is>
          <t>108203</t>
        </is>
      </c>
      <c r="I116" s="8" t="inlineStr">
        <is>
          <t>No</t>
        </is>
      </c>
    </row>
    <row r="117">
      <c r="A117" s="8" t="inlineStr">
        <is>
          <t>22/04/2026</t>
        </is>
      </c>
      <c r="B117" s="8" t="inlineStr">
        <is>
          <t>PAV</t>
        </is>
      </c>
      <c r="C117" s="8" t="inlineStr">
        <is>
          <t>3400068460</t>
        </is>
      </c>
      <c r="D117" s="9" t="n">
        <v>12379</v>
      </c>
      <c r="E117" s="8" t="inlineStr">
        <is>
          <t>22/04/2026</t>
        </is>
      </c>
      <c r="F117" s="8" t="inlineStr">
        <is>
          <t>22/04/2026</t>
        </is>
      </c>
      <c r="G117" s="8" t="inlineStr">
        <is>
          <t>CR DEBIN SPOT - CUIT/CUIL: 30711424179</t>
        </is>
      </c>
      <c r="H117" s="8" t="inlineStr">
        <is>
          <t>108210</t>
        </is>
      </c>
      <c r="I117" s="8" t="inlineStr">
        <is>
          <t>No</t>
        </is>
      </c>
    </row>
    <row r="118">
      <c r="A118" s="8" t="inlineStr">
        <is>
          <t>22/04/2026</t>
        </is>
      </c>
      <c r="B118" s="8" t="inlineStr">
        <is>
          <t>PAV</t>
        </is>
      </c>
      <c r="C118" s="8" t="inlineStr">
        <is>
          <t>3400068461</t>
        </is>
      </c>
      <c r="D118" s="9" t="n">
        <v>13369.32</v>
      </c>
      <c r="E118" s="8" t="inlineStr">
        <is>
          <t>22/04/2026</t>
        </is>
      </c>
      <c r="F118" s="8" t="inlineStr">
        <is>
          <t>22/04/2026</t>
        </is>
      </c>
      <c r="G118" s="8" t="inlineStr">
        <is>
          <t>CR DEBIN SPOT - CUIT/CUIL: 30711424179</t>
        </is>
      </c>
      <c r="H118" s="8" t="inlineStr">
        <is>
          <t>108225</t>
        </is>
      </c>
      <c r="I118" s="8" t="inlineStr">
        <is>
          <t>No</t>
        </is>
      </c>
    </row>
    <row r="119">
      <c r="A119" s="8" t="inlineStr">
        <is>
          <t>22/04/2026</t>
        </is>
      </c>
      <c r="B119" s="8" t="inlineStr">
        <is>
          <t>PAV</t>
        </is>
      </c>
      <c r="C119" s="8" t="inlineStr">
        <is>
          <t>2100058053</t>
        </is>
      </c>
      <c r="D119" s="9" t="n">
        <v>8912.879999999999</v>
      </c>
      <c r="E119" s="8" t="inlineStr">
        <is>
          <t>22/04/2026</t>
        </is>
      </c>
      <c r="F119" s="8" t="inlineStr">
        <is>
          <t>22/04/2026</t>
        </is>
      </c>
      <c r="G119" s="8" t="inlineStr">
        <is>
          <t>CR DEBIN SPOT - CUIT/CUIL: 30711424179</t>
        </is>
      </c>
      <c r="H119" s="8" t="inlineStr">
        <is>
          <t>108226</t>
        </is>
      </c>
      <c r="I119" s="8" t="inlineStr">
        <is>
          <t>No</t>
        </is>
      </c>
    </row>
    <row r="120">
      <c r="A120" s="8" t="inlineStr">
        <is>
          <t>22/04/2026</t>
        </is>
      </c>
      <c r="B120" s="8" t="inlineStr">
        <is>
          <t>PAV</t>
        </is>
      </c>
      <c r="C120" s="8" t="inlineStr">
        <is>
          <t>1900042898</t>
        </is>
      </c>
      <c r="D120" s="9" t="n">
        <v>25550.26</v>
      </c>
      <c r="E120" s="8" t="inlineStr">
        <is>
          <t>22/04/2026</t>
        </is>
      </c>
      <c r="F120" s="8" t="inlineStr">
        <is>
          <t>22/04/2026</t>
        </is>
      </c>
      <c r="G120" s="8" t="inlineStr">
        <is>
          <t>CR DEBIN SPOT - CUIT/CUIL: 30711424179</t>
        </is>
      </c>
      <c r="H120" s="8" t="inlineStr">
        <is>
          <t>108227</t>
        </is>
      </c>
      <c r="I120" s="8" t="inlineStr">
        <is>
          <t>No</t>
        </is>
      </c>
    </row>
    <row r="121">
      <c r="A121" s="8" t="inlineStr">
        <is>
          <t>22/04/2026</t>
        </is>
      </c>
      <c r="B121" s="8" t="inlineStr">
        <is>
          <t>PAV</t>
        </is>
      </c>
      <c r="C121" s="8" t="inlineStr">
        <is>
          <t>3400068464</t>
        </is>
      </c>
      <c r="D121" s="9" t="n">
        <v>22777.36</v>
      </c>
      <c r="E121" s="8" t="inlineStr">
        <is>
          <t>22/04/2026</t>
        </is>
      </c>
      <c r="F121" s="8" t="inlineStr">
        <is>
          <t>22/04/2026</t>
        </is>
      </c>
      <c r="G121" s="8" t="inlineStr">
        <is>
          <t>CR DEBIN SPOT - CUIT/CUIL: 30711424179</t>
        </is>
      </c>
      <c r="H121" s="8" t="inlineStr">
        <is>
          <t>108228</t>
        </is>
      </c>
      <c r="I121" s="8" t="inlineStr">
        <is>
          <t>No</t>
        </is>
      </c>
    </row>
    <row r="122">
      <c r="A122" s="8" t="inlineStr">
        <is>
          <t>22/04/2026</t>
        </is>
      </c>
      <c r="B122" s="8" t="inlineStr">
        <is>
          <t>PAV</t>
        </is>
      </c>
      <c r="C122" s="8" t="inlineStr">
        <is>
          <t>2300014011</t>
        </is>
      </c>
      <c r="D122" s="9" t="n">
        <v>67242.73</v>
      </c>
      <c r="E122" s="8" t="inlineStr">
        <is>
          <t>22/04/2026</t>
        </is>
      </c>
      <c r="F122" s="8" t="inlineStr">
        <is>
          <t>22/04/2026</t>
        </is>
      </c>
      <c r="G122" s="8" t="inlineStr">
        <is>
          <t>CR DEBIN SPOT - CUIT/CUIL: 30711424179</t>
        </is>
      </c>
      <c r="H122" s="8" t="inlineStr">
        <is>
          <t>108230</t>
        </is>
      </c>
      <c r="I122" s="8" t="inlineStr">
        <is>
          <t>No</t>
        </is>
      </c>
    </row>
    <row r="123">
      <c r="A123" s="8" t="inlineStr">
        <is>
          <t>22/04/2026</t>
        </is>
      </c>
      <c r="B123" s="8" t="inlineStr">
        <is>
          <t>PAV</t>
        </is>
      </c>
      <c r="C123" s="8" t="inlineStr">
        <is>
          <t>2300014015</t>
        </is>
      </c>
      <c r="D123" s="9" t="n">
        <v>153994.76</v>
      </c>
      <c r="E123" s="8" t="inlineStr">
        <is>
          <t>23/04/2026</t>
        </is>
      </c>
      <c r="F123" s="8" t="inlineStr">
        <is>
          <t>23/04/2026</t>
        </is>
      </c>
      <c r="G123" s="8" t="inlineStr">
        <is>
          <t>CR DEBIN SPOT - CUIT/CUIL: 30711424179</t>
        </is>
      </c>
      <c r="H123" s="8" t="inlineStr">
        <is>
          <t>108382</t>
        </is>
      </c>
      <c r="I123" s="8" t="inlineStr">
        <is>
          <t>No</t>
        </is>
      </c>
    </row>
    <row r="124">
      <c r="A124" s="8" t="inlineStr">
        <is>
          <t>23/04/2026</t>
        </is>
      </c>
      <c r="B124" s="8" t="inlineStr">
        <is>
          <t>MB-ENT-EX</t>
        </is>
      </c>
      <c r="C124" s="8" t="inlineStr">
        <is>
          <t>0000-00026790</t>
        </is>
      </c>
      <c r="D124" s="9" t="n">
        <v>10000000</v>
      </c>
      <c r="E124" s="8" t="inlineStr">
        <is>
          <t>23/04/2026</t>
        </is>
      </c>
      <c r="F124" s="8" t="inlineStr">
        <is>
          <t>23/04/2026</t>
        </is>
      </c>
      <c r="G124" s="8" t="inlineStr">
        <is>
          <t>DEB.TRAN.INTERBMISMO TIT</t>
        </is>
      </c>
      <c r="H124" s="8" t="inlineStr">
        <is>
          <t>108424</t>
        </is>
      </c>
      <c r="I124" s="8" t="inlineStr">
        <is>
          <t>No</t>
        </is>
      </c>
    </row>
    <row r="125">
      <c r="A125" s="8" t="inlineStr">
        <is>
          <t>23/04/2026</t>
        </is>
      </c>
      <c r="B125" s="8" t="inlineStr">
        <is>
          <t>PAV</t>
        </is>
      </c>
      <c r="C125" s="8" t="inlineStr">
        <is>
          <t>2200022574</t>
        </is>
      </c>
      <c r="D125" s="9" t="n">
        <v>695717.11</v>
      </c>
      <c r="E125" s="8" t="inlineStr">
        <is>
          <t>23/04/2026</t>
        </is>
      </c>
      <c r="F125" s="8" t="inlineStr">
        <is>
          <t>23/04/2026</t>
        </is>
      </c>
      <c r="G125" s="8" t="inlineStr">
        <is>
          <t>CR LIQ MASTERCARD 24H</t>
        </is>
      </c>
      <c r="H125" s="8" t="inlineStr">
        <is>
          <t>31995644</t>
        </is>
      </c>
      <c r="I125" s="8" t="inlineStr">
        <is>
          <t>No</t>
        </is>
      </c>
    </row>
    <row r="126">
      <c r="A126" s="8" t="inlineStr">
        <is>
          <t>23/04/2026</t>
        </is>
      </c>
      <c r="B126" s="8" t="inlineStr">
        <is>
          <t>PAV</t>
        </is>
      </c>
      <c r="C126" s="8" t="inlineStr">
        <is>
          <t>2200022575</t>
        </is>
      </c>
      <c r="D126" s="9" t="n">
        <v>47715.57</v>
      </c>
      <c r="E126" s="8" t="inlineStr">
        <is>
          <t>23/04/2026</t>
        </is>
      </c>
      <c r="F126" s="8" t="inlineStr">
        <is>
          <t>23/04/2026</t>
        </is>
      </c>
      <c r="G126" s="8" t="inlineStr">
        <is>
          <t>CR LIQ MASTER DEB 24H</t>
        </is>
      </c>
      <c r="H126" s="8" t="inlineStr">
        <is>
          <t>31995644</t>
        </is>
      </c>
      <c r="I126" s="8" t="inlineStr">
        <is>
          <t>No</t>
        </is>
      </c>
    </row>
    <row r="127">
      <c r="A127" s="8" t="inlineStr">
        <is>
          <t>23/04/2026</t>
        </is>
      </c>
      <c r="B127" s="8" t="inlineStr">
        <is>
          <t>PAV</t>
        </is>
      </c>
      <c r="C127" s="8" t="inlineStr">
        <is>
          <t>2200022576</t>
        </is>
      </c>
      <c r="D127" s="9" t="n">
        <v>288181.68</v>
      </c>
      <c r="E127" s="8" t="inlineStr">
        <is>
          <t>23/04/2026</t>
        </is>
      </c>
      <c r="F127" s="8" t="inlineStr">
        <is>
          <t>23/04/2026</t>
        </is>
      </c>
      <c r="G127" s="8" t="inlineStr">
        <is>
          <t>CR LIQ MASTER DEB 24H</t>
        </is>
      </c>
      <c r="H127" s="8" t="inlineStr">
        <is>
          <t>31995644</t>
        </is>
      </c>
      <c r="I127" s="8" t="inlineStr">
        <is>
          <t>No</t>
        </is>
      </c>
    </row>
    <row r="128">
      <c r="A128" s="8" t="inlineStr">
        <is>
          <t>23/04/2026</t>
        </is>
      </c>
      <c r="B128" s="8" t="inlineStr">
        <is>
          <t>PAV</t>
        </is>
      </c>
      <c r="C128" s="8" t="inlineStr">
        <is>
          <t>2200022577</t>
        </is>
      </c>
      <c r="D128" s="9" t="n">
        <v>2215305.56</v>
      </c>
      <c r="E128" s="8" t="inlineStr">
        <is>
          <t>23/04/2026</t>
        </is>
      </c>
      <c r="F128" s="8" t="inlineStr">
        <is>
          <t>23/04/2026</t>
        </is>
      </c>
      <c r="G128" s="8" t="inlineStr">
        <is>
          <t>CR LIQ MASTER DEB 24H</t>
        </is>
      </c>
      <c r="H128" s="8" t="inlineStr">
        <is>
          <t>31995644</t>
        </is>
      </c>
      <c r="I128" s="8" t="inlineStr">
        <is>
          <t>No</t>
        </is>
      </c>
    </row>
    <row r="129">
      <c r="A129" s="8" t="inlineStr">
        <is>
          <t>23/04/2026</t>
        </is>
      </c>
      <c r="B129" s="8" t="inlineStr">
        <is>
          <t>PAV</t>
        </is>
      </c>
      <c r="C129" s="8" t="inlineStr">
        <is>
          <t>2200022578</t>
        </is>
      </c>
      <c r="D129" s="9" t="n">
        <v>71899.17</v>
      </c>
      <c r="E129" s="8" t="inlineStr">
        <is>
          <t>23/04/2026</t>
        </is>
      </c>
      <c r="F129" s="8" t="inlineStr">
        <is>
          <t>23/04/2026</t>
        </is>
      </c>
      <c r="G129" s="8" t="inlineStr">
        <is>
          <t>CR LIQ MASTER DEB 24H</t>
        </is>
      </c>
      <c r="H129" s="8" t="inlineStr">
        <is>
          <t>31995644</t>
        </is>
      </c>
      <c r="I129" s="8" t="inlineStr">
        <is>
          <t>No</t>
        </is>
      </c>
    </row>
    <row r="130">
      <c r="A130" s="8" t="inlineStr">
        <is>
          <t>23/04/2026</t>
        </is>
      </c>
      <c r="B130" s="8" t="inlineStr">
        <is>
          <t>PAV</t>
        </is>
      </c>
      <c r="C130" s="8" t="inlineStr">
        <is>
          <t>2200022579</t>
        </is>
      </c>
      <c r="D130" s="9" t="n">
        <v>1754251.23</v>
      </c>
      <c r="E130" s="8" t="inlineStr">
        <is>
          <t>22/04/2026</t>
        </is>
      </c>
      <c r="F130" s="8" t="inlineStr">
        <is>
          <t>23/04/2026</t>
        </is>
      </c>
      <c r="G130" s="8" t="inlineStr">
        <is>
          <t>CR LIQ MASTER DEB 24H</t>
        </is>
      </c>
      <c r="H130" s="8" t="inlineStr">
        <is>
          <t>31995644</t>
        </is>
      </c>
      <c r="I130" s="8" t="inlineStr">
        <is>
          <t>Sí</t>
        </is>
      </c>
    </row>
    <row r="131">
      <c r="A131" s="8" t="inlineStr">
        <is>
          <t>23/04/2026</t>
        </is>
      </c>
      <c r="B131" s="8" t="inlineStr">
        <is>
          <t>PAV</t>
        </is>
      </c>
      <c r="C131" s="8" t="inlineStr">
        <is>
          <t>2200022581</t>
        </is>
      </c>
      <c r="D131" s="9" t="n">
        <v>90614.28</v>
      </c>
      <c r="E131" s="8" t="inlineStr">
        <is>
          <t>22/04/2026</t>
        </is>
      </c>
      <c r="F131" s="8" t="inlineStr">
        <is>
          <t>23/04/2026</t>
        </is>
      </c>
      <c r="G131" s="8" t="inlineStr">
        <is>
          <t>CR DEBIN SPOT - CUIT/CUIL: 30711424179</t>
        </is>
      </c>
      <c r="H131" s="8" t="inlineStr">
        <is>
          <t>108229</t>
        </is>
      </c>
      <c r="I131" s="8" t="inlineStr">
        <is>
          <t>Sí</t>
        </is>
      </c>
    </row>
    <row r="132">
      <c r="A132" s="8" t="inlineStr">
        <is>
          <t>23/04/2026</t>
        </is>
      </c>
      <c r="B132" s="8" t="inlineStr">
        <is>
          <t>PAV</t>
        </is>
      </c>
      <c r="C132" s="8" t="inlineStr">
        <is>
          <t>2300014016</t>
        </is>
      </c>
      <c r="D132" s="9" t="n">
        <v>17782.2</v>
      </c>
      <c r="E132" s="8" t="inlineStr">
        <is>
          <t>23/04/2026</t>
        </is>
      </c>
      <c r="F132" s="8" t="inlineStr">
        <is>
          <t>23/04/2026</t>
        </is>
      </c>
      <c r="G132" s="8" t="inlineStr">
        <is>
          <t>CR LIQ MASTER DEB 24H</t>
        </is>
      </c>
      <c r="H132" s="8" t="inlineStr">
        <is>
          <t>32032899</t>
        </is>
      </c>
      <c r="I132" s="8" t="inlineStr">
        <is>
          <t>No</t>
        </is>
      </c>
    </row>
    <row r="133">
      <c r="A133" s="8" t="inlineStr">
        <is>
          <t>23/04/2026</t>
        </is>
      </c>
      <c r="B133" s="8" t="inlineStr">
        <is>
          <t>PAV</t>
        </is>
      </c>
      <c r="C133" s="8" t="inlineStr">
        <is>
          <t>2100058054</t>
        </is>
      </c>
      <c r="D133" s="9" t="n">
        <v>11249.53</v>
      </c>
      <c r="E133" s="8" t="inlineStr">
        <is>
          <t>23/04/2026</t>
        </is>
      </c>
      <c r="F133" s="8" t="inlineStr">
        <is>
          <t>23/04/2026</t>
        </is>
      </c>
      <c r="G133" s="8" t="inlineStr">
        <is>
          <t>CR LIQ MASTERCARD 24H</t>
        </is>
      </c>
      <c r="H133" s="8" t="inlineStr">
        <is>
          <t>29841642</t>
        </is>
      </c>
      <c r="I133" s="8" t="inlineStr">
        <is>
          <t>No</t>
        </is>
      </c>
    </row>
    <row r="134">
      <c r="A134" s="8" t="inlineStr">
        <is>
          <t>23/04/2026</t>
        </is>
      </c>
      <c r="B134" s="8" t="inlineStr">
        <is>
          <t>PAV</t>
        </is>
      </c>
      <c r="C134" s="8" t="inlineStr">
        <is>
          <t>2100058055</t>
        </is>
      </c>
      <c r="D134" s="9" t="n">
        <v>82268.3</v>
      </c>
      <c r="E134" s="8" t="inlineStr">
        <is>
          <t>23/04/2026</t>
        </is>
      </c>
      <c r="F134" s="8" t="inlineStr">
        <is>
          <t>23/04/2026</t>
        </is>
      </c>
      <c r="G134" s="8" t="inlineStr">
        <is>
          <t>CR LIQ MASTERCARD 24H</t>
        </is>
      </c>
      <c r="H134" s="8" t="inlineStr">
        <is>
          <t>29841642</t>
        </is>
      </c>
      <c r="I134" s="8" t="inlineStr">
        <is>
          <t>No</t>
        </is>
      </c>
    </row>
    <row r="135">
      <c r="A135" s="8" t="inlineStr">
        <is>
          <t>23/04/2026</t>
        </is>
      </c>
      <c r="B135" s="8" t="inlineStr">
        <is>
          <t>PAV</t>
        </is>
      </c>
      <c r="C135" s="8" t="inlineStr">
        <is>
          <t>2100058056</t>
        </is>
      </c>
      <c r="D135" s="9" t="n">
        <v>438685.01</v>
      </c>
      <c r="E135" s="8" t="inlineStr">
        <is>
          <t>23/04/2026</t>
        </is>
      </c>
      <c r="F135" s="8" t="inlineStr">
        <is>
          <t>23/04/2026</t>
        </is>
      </c>
      <c r="G135" s="8" t="inlineStr">
        <is>
          <t>CR LIQ MASTER DEB 24H</t>
        </is>
      </c>
      <c r="H135" s="8" t="inlineStr">
        <is>
          <t>29841642</t>
        </is>
      </c>
      <c r="I135" s="8" t="inlineStr">
        <is>
          <t>No</t>
        </is>
      </c>
    </row>
    <row r="136">
      <c r="A136" s="8" t="inlineStr">
        <is>
          <t>23/04/2026</t>
        </is>
      </c>
      <c r="B136" s="8" t="inlineStr">
        <is>
          <t>PAV</t>
        </is>
      </c>
      <c r="C136" s="8" t="inlineStr">
        <is>
          <t>2100058057</t>
        </is>
      </c>
      <c r="D136" s="9" t="n">
        <v>82786.02</v>
      </c>
      <c r="E136" s="8" t="inlineStr">
        <is>
          <t>23/04/2026</t>
        </is>
      </c>
      <c r="F136" s="8" t="inlineStr">
        <is>
          <t>23/04/2026</t>
        </is>
      </c>
      <c r="G136" s="8" t="inlineStr">
        <is>
          <t>CR LIQ MASTER DEB 24H</t>
        </is>
      </c>
      <c r="H136" s="8" t="inlineStr">
        <is>
          <t>29841642</t>
        </is>
      </c>
      <c r="I136" s="8" t="inlineStr">
        <is>
          <t>No</t>
        </is>
      </c>
    </row>
    <row r="137">
      <c r="A137" s="8" t="inlineStr">
        <is>
          <t>23/04/2026</t>
        </is>
      </c>
      <c r="B137" s="8" t="inlineStr">
        <is>
          <t>PAV</t>
        </is>
      </c>
      <c r="C137" s="8" t="inlineStr">
        <is>
          <t>1900042901</t>
        </is>
      </c>
      <c r="D137" s="9" t="n">
        <v>24697.5</v>
      </c>
      <c r="E137" s="8" t="inlineStr">
        <is>
          <t>23/04/2026</t>
        </is>
      </c>
      <c r="F137" s="8" t="inlineStr">
        <is>
          <t>23/04/2026</t>
        </is>
      </c>
      <c r="G137" s="8" t="inlineStr">
        <is>
          <t>CR LIQ MASTER DEB 24H</t>
        </is>
      </c>
      <c r="H137" s="8" t="inlineStr">
        <is>
          <t>29841670</t>
        </is>
      </c>
      <c r="I137" s="8" t="inlineStr">
        <is>
          <t>No</t>
        </is>
      </c>
    </row>
    <row r="138">
      <c r="A138" s="8" t="inlineStr">
        <is>
          <t>23/04/2026</t>
        </is>
      </c>
      <c r="B138" s="8" t="inlineStr">
        <is>
          <t>PAV</t>
        </is>
      </c>
      <c r="C138" s="8" t="inlineStr">
        <is>
          <t>1900042902</t>
        </is>
      </c>
      <c r="D138" s="9" t="n">
        <v>90886.8</v>
      </c>
      <c r="E138" s="8" t="inlineStr">
        <is>
          <t>22/04/2026</t>
        </is>
      </c>
      <c r="F138" s="8" t="inlineStr">
        <is>
          <t>23/04/2026</t>
        </is>
      </c>
      <c r="G138" s="8" t="inlineStr">
        <is>
          <t>CR LIQ MASTER DEB 24H</t>
        </is>
      </c>
      <c r="H138" s="8" t="inlineStr">
        <is>
          <t>29841670</t>
        </is>
      </c>
      <c r="I138" s="8" t="inlineStr">
        <is>
          <t>Sí</t>
        </is>
      </c>
    </row>
    <row r="139">
      <c r="A139" s="8" t="inlineStr">
        <is>
          <t>23/04/2026</t>
        </is>
      </c>
      <c r="B139" s="8" t="inlineStr">
        <is>
          <t>PAV</t>
        </is>
      </c>
      <c r="C139" s="8" t="inlineStr">
        <is>
          <t>1900042903</t>
        </is>
      </c>
      <c r="D139" s="9" t="n">
        <v>274355.28</v>
      </c>
      <c r="E139" s="8" t="inlineStr">
        <is>
          <t>21/04/2026</t>
        </is>
      </c>
      <c r="F139" s="8" t="inlineStr">
        <is>
          <t>23/04/2026</t>
        </is>
      </c>
      <c r="G139" s="8" t="inlineStr">
        <is>
          <t>CR LIQ MASTER DEB 24H</t>
        </is>
      </c>
      <c r="H139" s="8" t="inlineStr">
        <is>
          <t>29841670</t>
        </is>
      </c>
      <c r="I139" s="8" t="inlineStr">
        <is>
          <t>Sí</t>
        </is>
      </c>
    </row>
    <row r="140">
      <c r="A140" s="8" t="inlineStr">
        <is>
          <t>23/04/2026</t>
        </is>
      </c>
      <c r="B140" s="8" t="inlineStr">
        <is>
          <t>PAV</t>
        </is>
      </c>
      <c r="C140" s="8" t="inlineStr">
        <is>
          <t>2300014018</t>
        </is>
      </c>
      <c r="D140" s="9" t="n">
        <v>24361.87</v>
      </c>
      <c r="E140" s="8" t="inlineStr">
        <is>
          <t>23/04/2026</t>
        </is>
      </c>
      <c r="F140" s="8" t="inlineStr">
        <is>
          <t>23/04/2026</t>
        </is>
      </c>
      <c r="G140" s="8" t="inlineStr">
        <is>
          <t>CR DEBIN SPOT - CUIT/CUIL: 30711424179</t>
        </is>
      </c>
      <c r="H140" s="8" t="inlineStr">
        <is>
          <t>108383</t>
        </is>
      </c>
      <c r="I140" s="8" t="inlineStr">
        <is>
          <t>No</t>
        </is>
      </c>
    </row>
    <row r="141">
      <c r="A141" s="8" t="inlineStr">
        <is>
          <t>23/04/2026</t>
        </is>
      </c>
      <c r="B141" s="8" t="inlineStr">
        <is>
          <t>PAV</t>
        </is>
      </c>
      <c r="C141" s="8" t="inlineStr">
        <is>
          <t>1900042904</t>
        </is>
      </c>
      <c r="D141" s="9" t="n">
        <v>98790</v>
      </c>
      <c r="E141" s="8" t="inlineStr">
        <is>
          <t>20/04/2026</t>
        </is>
      </c>
      <c r="F141" s="8" t="inlineStr">
        <is>
          <t>23/04/2026</t>
        </is>
      </c>
      <c r="G141" s="8" t="inlineStr">
        <is>
          <t>CR LIQ MASTER DEB 24H</t>
        </is>
      </c>
      <c r="H141" s="8" t="inlineStr">
        <is>
          <t>29841670</t>
        </is>
      </c>
      <c r="I141" s="8" t="inlineStr">
        <is>
          <t>Sí</t>
        </is>
      </c>
    </row>
    <row r="142">
      <c r="A142" s="8" t="inlineStr">
        <is>
          <t>23/04/2026</t>
        </is>
      </c>
      <c r="B142" s="8" t="inlineStr">
        <is>
          <t>PAV</t>
        </is>
      </c>
      <c r="C142" s="8" t="inlineStr">
        <is>
          <t>1900042905</t>
        </is>
      </c>
      <c r="D142" s="9" t="n">
        <v>189767.69</v>
      </c>
      <c r="E142" s="8" t="inlineStr">
        <is>
          <t>23/04/2026</t>
        </is>
      </c>
      <c r="F142" s="8" t="inlineStr">
        <is>
          <t>23/04/2026</t>
        </is>
      </c>
      <c r="G142" s="8" t="inlineStr">
        <is>
          <t>CR LIQ MASTER DEB 24H</t>
        </is>
      </c>
      <c r="H142" s="8" t="inlineStr">
        <is>
          <t>29841670</t>
        </is>
      </c>
      <c r="I142" s="8" t="inlineStr">
        <is>
          <t>No</t>
        </is>
      </c>
    </row>
    <row r="143">
      <c r="A143" s="8" t="inlineStr">
        <is>
          <t>23/04/2026</t>
        </is>
      </c>
      <c r="B143" s="8" t="inlineStr">
        <is>
          <t>PAV</t>
        </is>
      </c>
      <c r="C143" s="8" t="inlineStr">
        <is>
          <t>1900042906</t>
        </is>
      </c>
      <c r="D143" s="9" t="n">
        <v>69062.33</v>
      </c>
      <c r="E143" s="8" t="inlineStr">
        <is>
          <t>21/04/2026</t>
        </is>
      </c>
      <c r="F143" s="8" t="inlineStr">
        <is>
          <t>23/04/2026</t>
        </is>
      </c>
      <c r="G143" s="8" t="inlineStr">
        <is>
          <t>CR LIQ MASTER DEB 24H</t>
        </is>
      </c>
      <c r="H143" s="8" t="inlineStr">
        <is>
          <t>29841670</t>
        </is>
      </c>
      <c r="I143" s="8" t="inlineStr">
        <is>
          <t>Sí</t>
        </is>
      </c>
    </row>
    <row r="144">
      <c r="A144" s="8" t="inlineStr">
        <is>
          <t>23/04/2026</t>
        </is>
      </c>
      <c r="B144" s="8" t="inlineStr">
        <is>
          <t>PAV</t>
        </is>
      </c>
      <c r="C144" s="8" t="inlineStr">
        <is>
          <t>1900042907</t>
        </is>
      </c>
      <c r="D144" s="9" t="n">
        <v>8217.049999999999</v>
      </c>
      <c r="E144" s="8" t="inlineStr">
        <is>
          <t>20/04/2026</t>
        </is>
      </c>
      <c r="F144" s="8" t="inlineStr">
        <is>
          <t>23/04/2026</t>
        </is>
      </c>
      <c r="G144" s="8" t="inlineStr">
        <is>
          <t>CR LIQ MASTER DEB 24H</t>
        </is>
      </c>
      <c r="H144" s="8" t="inlineStr">
        <is>
          <t>29841670</t>
        </is>
      </c>
      <c r="I144" s="8" t="inlineStr">
        <is>
          <t>Sí</t>
        </is>
      </c>
    </row>
    <row r="145">
      <c r="A145" s="8" t="inlineStr">
        <is>
          <t>23/04/2026</t>
        </is>
      </c>
      <c r="B145" s="8" t="inlineStr">
        <is>
          <t>PAV</t>
        </is>
      </c>
      <c r="C145" s="8" t="inlineStr">
        <is>
          <t>1900042908</t>
        </is>
      </c>
      <c r="D145" s="9" t="n">
        <v>30130.95</v>
      </c>
      <c r="E145" s="8" t="inlineStr">
        <is>
          <t>23/04/2026</t>
        </is>
      </c>
      <c r="F145" s="8" t="inlineStr">
        <is>
          <t>23/04/2026</t>
        </is>
      </c>
      <c r="G145" s="8" t="inlineStr">
        <is>
          <t>CR LIQ MASTER DEB 24H</t>
        </is>
      </c>
      <c r="H145" s="8" t="inlineStr">
        <is>
          <t>29841670</t>
        </is>
      </c>
      <c r="I145" s="8" t="inlineStr">
        <is>
          <t>No</t>
        </is>
      </c>
    </row>
    <row r="146">
      <c r="A146" s="8" t="inlineStr">
        <is>
          <t>23/04/2026</t>
        </is>
      </c>
      <c r="B146" s="8" t="inlineStr">
        <is>
          <t>PAV</t>
        </is>
      </c>
      <c r="C146" s="8" t="inlineStr">
        <is>
          <t>1900042909</t>
        </is>
      </c>
      <c r="D146" s="9" t="n">
        <v>37759.29</v>
      </c>
      <c r="E146" s="8" t="inlineStr">
        <is>
          <t>22/04/2026</t>
        </is>
      </c>
      <c r="F146" s="8" t="inlineStr">
        <is>
          <t>23/04/2026</t>
        </is>
      </c>
      <c r="G146" s="8" t="inlineStr">
        <is>
          <t>CR LIQ MASTERCARD 24H</t>
        </is>
      </c>
      <c r="H146" s="8" t="inlineStr">
        <is>
          <t>29841670</t>
        </is>
      </c>
      <c r="I146" s="8" t="inlineStr">
        <is>
          <t>Sí</t>
        </is>
      </c>
    </row>
    <row r="147">
      <c r="A147" s="8" t="inlineStr">
        <is>
          <t>23/04/2026</t>
        </is>
      </c>
      <c r="B147" s="8" t="inlineStr">
        <is>
          <t>PAV</t>
        </is>
      </c>
      <c r="C147" s="8" t="inlineStr">
        <is>
          <t>1900042910</t>
        </is>
      </c>
      <c r="D147" s="9" t="n">
        <v>89602.53</v>
      </c>
      <c r="E147" s="8" t="inlineStr">
        <is>
          <t>21/04/2026</t>
        </is>
      </c>
      <c r="F147" s="8" t="inlineStr">
        <is>
          <t>23/04/2026</t>
        </is>
      </c>
      <c r="G147" s="8" t="inlineStr">
        <is>
          <t>CR LIQ MASTER DEB 24H</t>
        </is>
      </c>
      <c r="H147" s="8" t="inlineStr">
        <is>
          <t>29841670</t>
        </is>
      </c>
      <c r="I147" s="8" t="inlineStr">
        <is>
          <t>Sí</t>
        </is>
      </c>
    </row>
    <row r="148">
      <c r="A148" s="8" t="inlineStr">
        <is>
          <t>23/04/2026</t>
        </is>
      </c>
      <c r="B148" s="8" t="inlineStr">
        <is>
          <t>PAV</t>
        </is>
      </c>
      <c r="C148" s="8" t="inlineStr">
        <is>
          <t>1900042911</t>
        </is>
      </c>
      <c r="D148" s="9" t="n">
        <v>170018.56</v>
      </c>
      <c r="E148" s="8" t="inlineStr">
        <is>
          <t>23/04/2026</t>
        </is>
      </c>
      <c r="F148" s="8" t="inlineStr">
        <is>
          <t>23/04/2026</t>
        </is>
      </c>
      <c r="G148" s="8" t="inlineStr">
        <is>
          <t>CR LIQ MASTERCARD 24H</t>
        </is>
      </c>
      <c r="H148" s="8" t="inlineStr">
        <is>
          <t>29841670</t>
        </is>
      </c>
      <c r="I148" s="8" t="inlineStr">
        <is>
          <t>No</t>
        </is>
      </c>
    </row>
    <row r="149">
      <c r="A149" s="8" t="inlineStr">
        <is>
          <t>23/04/2026</t>
        </is>
      </c>
      <c r="B149" s="8" t="inlineStr">
        <is>
          <t>PAV</t>
        </is>
      </c>
      <c r="C149" s="8" t="inlineStr">
        <is>
          <t>1900042912</t>
        </is>
      </c>
      <c r="D149" s="9" t="n">
        <v>30716.11</v>
      </c>
      <c r="E149" s="8" t="inlineStr">
        <is>
          <t>21/04/2026</t>
        </is>
      </c>
      <c r="F149" s="8" t="inlineStr">
        <is>
          <t>23/04/2026</t>
        </is>
      </c>
      <c r="G149" s="8" t="inlineStr">
        <is>
          <t>CR LIQ MASTERCARD 24H</t>
        </is>
      </c>
      <c r="H149" s="8" t="inlineStr">
        <is>
          <t>29841670</t>
        </is>
      </c>
      <c r="I149" s="8" t="inlineStr">
        <is>
          <t>Sí</t>
        </is>
      </c>
    </row>
    <row r="150">
      <c r="A150" s="8" t="inlineStr">
        <is>
          <t>23/04/2026</t>
        </is>
      </c>
      <c r="B150" s="8" t="inlineStr">
        <is>
          <t>PAV</t>
        </is>
      </c>
      <c r="C150" s="8" t="inlineStr">
        <is>
          <t>1800042796</t>
        </is>
      </c>
      <c r="D150" s="9" t="n">
        <v>33489.81</v>
      </c>
      <c r="E150" s="8" t="inlineStr">
        <is>
          <t>23/04/2026</t>
        </is>
      </c>
      <c r="F150" s="8" t="inlineStr">
        <is>
          <t>23/04/2026</t>
        </is>
      </c>
      <c r="G150" s="8" t="inlineStr">
        <is>
          <t>CR LIQ MASTER DEB 24H</t>
        </is>
      </c>
      <c r="H150" s="8" t="inlineStr">
        <is>
          <t>29841683</t>
        </is>
      </c>
      <c r="I150" s="8" t="inlineStr">
        <is>
          <t>No</t>
        </is>
      </c>
    </row>
    <row r="151">
      <c r="A151" s="8" t="inlineStr">
        <is>
          <t>23/04/2026</t>
        </is>
      </c>
      <c r="B151" s="8" t="inlineStr">
        <is>
          <t>PAV</t>
        </is>
      </c>
      <c r="C151" s="8" t="inlineStr">
        <is>
          <t>1800042797</t>
        </is>
      </c>
      <c r="D151" s="9" t="n">
        <v>119961.34</v>
      </c>
      <c r="E151" s="8" t="inlineStr">
        <is>
          <t>23/04/2026</t>
        </is>
      </c>
      <c r="F151" s="8" t="inlineStr">
        <is>
          <t>23/04/2026</t>
        </is>
      </c>
      <c r="G151" s="8" t="inlineStr">
        <is>
          <t>CR LIQ MASTERCARD 24H</t>
        </is>
      </c>
      <c r="H151" s="8" t="inlineStr">
        <is>
          <t>29841683</t>
        </is>
      </c>
      <c r="I151" s="8" t="inlineStr">
        <is>
          <t>No</t>
        </is>
      </c>
    </row>
    <row r="152">
      <c r="A152" s="8" t="inlineStr">
        <is>
          <t>23/04/2026</t>
        </is>
      </c>
      <c r="B152" s="8" t="inlineStr">
        <is>
          <t>PAV</t>
        </is>
      </c>
      <c r="C152" s="8" t="inlineStr">
        <is>
          <t>1900042917</t>
        </is>
      </c>
      <c r="D152" s="9" t="n">
        <v>18023.82</v>
      </c>
      <c r="E152" s="8" t="inlineStr">
        <is>
          <t>23/04/2026</t>
        </is>
      </c>
      <c r="F152" s="8" t="inlineStr">
        <is>
          <t>23/04/2026</t>
        </is>
      </c>
      <c r="G152" s="8" t="inlineStr">
        <is>
          <t>CR DEBIN SPOT - CUIT/CUIL: 30711424179</t>
        </is>
      </c>
      <c r="H152" s="8" t="inlineStr">
        <is>
          <t>108384</t>
        </is>
      </c>
      <c r="I152" s="8" t="inlineStr">
        <is>
          <t>No</t>
        </is>
      </c>
    </row>
    <row r="153">
      <c r="A153" s="8" t="inlineStr">
        <is>
          <t>23/04/2026</t>
        </is>
      </c>
      <c r="B153" s="8" t="inlineStr">
        <is>
          <t>PAV</t>
        </is>
      </c>
      <c r="C153" s="8" t="inlineStr">
        <is>
          <t>1800042798</t>
        </is>
      </c>
      <c r="D153" s="9" t="n">
        <v>29735.79</v>
      </c>
      <c r="E153" s="8" t="inlineStr">
        <is>
          <t>22/04/2026</t>
        </is>
      </c>
      <c r="F153" s="8" t="inlineStr">
        <is>
          <t>23/04/2026</t>
        </is>
      </c>
      <c r="G153" s="8" t="inlineStr">
        <is>
          <t>CR LIQ MASTER DEB 24H</t>
        </is>
      </c>
      <c r="H153" s="8" t="inlineStr">
        <is>
          <t>29841683</t>
        </is>
      </c>
      <c r="I153" s="8" t="inlineStr">
        <is>
          <t>Sí</t>
        </is>
      </c>
    </row>
    <row r="154">
      <c r="A154" s="8" t="inlineStr">
        <is>
          <t>23/04/2026</t>
        </is>
      </c>
      <c r="B154" s="8" t="inlineStr">
        <is>
          <t>PAV</t>
        </is>
      </c>
      <c r="C154" s="8" t="inlineStr">
        <is>
          <t>1800042799</t>
        </is>
      </c>
      <c r="D154" s="9" t="n">
        <v>103339.16</v>
      </c>
      <c r="E154" s="8" t="inlineStr">
        <is>
          <t>23/04/2026</t>
        </is>
      </c>
      <c r="F154" s="8" t="inlineStr">
        <is>
          <t>23/04/2026</t>
        </is>
      </c>
      <c r="G154" s="8" t="inlineStr">
        <is>
          <t>CR LIQ MASTER DEB 24H</t>
        </is>
      </c>
      <c r="H154" s="8" t="inlineStr">
        <is>
          <t>29841683</t>
        </is>
      </c>
      <c r="I154" s="8" t="inlineStr">
        <is>
          <t>No</t>
        </is>
      </c>
    </row>
    <row r="155">
      <c r="A155" s="8" t="inlineStr">
        <is>
          <t>23/04/2026</t>
        </is>
      </c>
      <c r="B155" s="8" t="inlineStr">
        <is>
          <t>PAV</t>
        </is>
      </c>
      <c r="C155" s="8" t="inlineStr">
        <is>
          <t>1800042800</t>
        </is>
      </c>
      <c r="D155" s="9" t="n">
        <v>125064.83</v>
      </c>
      <c r="E155" s="8" t="inlineStr">
        <is>
          <t>22/04/2026</t>
        </is>
      </c>
      <c r="F155" s="8" t="inlineStr">
        <is>
          <t>23/04/2026</t>
        </is>
      </c>
      <c r="G155" s="8" t="inlineStr">
        <is>
          <t>CR LIQ MASTER DEB 24H</t>
        </is>
      </c>
      <c r="H155" s="8" t="inlineStr">
        <is>
          <t>29841683</t>
        </is>
      </c>
      <c r="I155" s="8" t="inlineStr">
        <is>
          <t>Sí</t>
        </is>
      </c>
    </row>
    <row r="156">
      <c r="A156" s="8" t="inlineStr">
        <is>
          <t>23/04/2026</t>
        </is>
      </c>
      <c r="B156" s="8" t="inlineStr">
        <is>
          <t>PAV</t>
        </is>
      </c>
      <c r="C156" s="8" t="inlineStr">
        <is>
          <t>1800042801</t>
        </is>
      </c>
      <c r="D156" s="9" t="n">
        <v>11249.53</v>
      </c>
      <c r="E156" s="8" t="inlineStr">
        <is>
          <t>22/04/2026</t>
        </is>
      </c>
      <c r="F156" s="8" t="inlineStr">
        <is>
          <t>23/04/2026</t>
        </is>
      </c>
      <c r="G156" s="8" t="inlineStr">
        <is>
          <t>CR LIQ MASTERCARD 24H</t>
        </is>
      </c>
      <c r="H156" s="8" t="inlineStr">
        <is>
          <t>29841683</t>
        </is>
      </c>
      <c r="I156" s="8" t="inlineStr">
        <is>
          <t>Sí</t>
        </is>
      </c>
    </row>
    <row r="157">
      <c r="A157" s="8" t="inlineStr">
        <is>
          <t>23/04/2026</t>
        </is>
      </c>
      <c r="B157" s="8" t="inlineStr">
        <is>
          <t>PAV</t>
        </is>
      </c>
      <c r="C157" s="8" t="inlineStr">
        <is>
          <t>2100058059</t>
        </is>
      </c>
      <c r="D157" s="9" t="n">
        <v>15845.12</v>
      </c>
      <c r="E157" s="8" t="inlineStr">
        <is>
          <t>23/04/2026</t>
        </is>
      </c>
      <c r="F157" s="8" t="inlineStr">
        <is>
          <t>23/04/2026</t>
        </is>
      </c>
      <c r="G157" s="8" t="inlineStr">
        <is>
          <t>CR DEBIN SPOT - CUIT/CUIL: 30711424179</t>
        </is>
      </c>
      <c r="H157" s="8" t="inlineStr">
        <is>
          <t>108385</t>
        </is>
      </c>
      <c r="I157" s="8" t="inlineStr">
        <is>
          <t>No</t>
        </is>
      </c>
    </row>
    <row r="158">
      <c r="A158" s="8" t="inlineStr">
        <is>
          <t>23/04/2026</t>
        </is>
      </c>
      <c r="B158" s="8" t="inlineStr">
        <is>
          <t>PAV</t>
        </is>
      </c>
      <c r="C158" s="8" t="inlineStr">
        <is>
          <t>1900042922</t>
        </is>
      </c>
      <c r="D158" s="9" t="n">
        <v>33274.75</v>
      </c>
      <c r="E158" s="8" t="inlineStr">
        <is>
          <t>23/04/2026</t>
        </is>
      </c>
      <c r="F158" s="8" t="inlineStr">
        <is>
          <t>23/04/2026</t>
        </is>
      </c>
      <c r="G158" s="8" t="inlineStr">
        <is>
          <t>CR DEBIN SPOT - CUIT/CUIL: 30711424179</t>
        </is>
      </c>
      <c r="H158" s="8" t="inlineStr">
        <is>
          <t>108386</t>
        </is>
      </c>
      <c r="I158" s="8" t="inlineStr">
        <is>
          <t>No</t>
        </is>
      </c>
    </row>
    <row r="159">
      <c r="A159" s="8" t="inlineStr">
        <is>
          <t>23/04/2026</t>
        </is>
      </c>
      <c r="B159" s="8" t="inlineStr">
        <is>
          <t>PAV</t>
        </is>
      </c>
      <c r="C159" s="8" t="inlineStr">
        <is>
          <t>2100058061</t>
        </is>
      </c>
      <c r="D159" s="9" t="n">
        <v>11388.68</v>
      </c>
      <c r="E159" s="8" t="inlineStr">
        <is>
          <t>23/04/2026</t>
        </is>
      </c>
      <c r="F159" s="8" t="inlineStr">
        <is>
          <t>23/04/2026</t>
        </is>
      </c>
      <c r="G159" s="8" t="inlineStr">
        <is>
          <t>CR DEBIN SPOT - CUIT/CUIL: 30711424179</t>
        </is>
      </c>
      <c r="H159" s="8" t="inlineStr">
        <is>
          <t>108423</t>
        </is>
      </c>
      <c r="I159" s="8" t="inlineStr">
        <is>
          <t>No</t>
        </is>
      </c>
    </row>
    <row r="160">
      <c r="A160" s="8" t="inlineStr">
        <is>
          <t>23/04/2026</t>
        </is>
      </c>
      <c r="B160" s="8" t="inlineStr">
        <is>
          <t>PAV</t>
        </is>
      </c>
      <c r="C160" s="8" t="inlineStr">
        <is>
          <t>2300014022</t>
        </is>
      </c>
      <c r="D160" s="9" t="n">
        <v>34166.04</v>
      </c>
      <c r="E160" s="8" t="inlineStr">
        <is>
          <t>23/04/2026</t>
        </is>
      </c>
      <c r="F160" s="8" t="inlineStr">
        <is>
          <t>23/04/2026</t>
        </is>
      </c>
      <c r="G160" s="8" t="inlineStr">
        <is>
          <t>CR DEBIN SPOT - CUIT/CUIL: 30711424179</t>
        </is>
      </c>
      <c r="H160" s="8" t="inlineStr">
        <is>
          <t>108388</t>
        </is>
      </c>
      <c r="I160" s="8" t="inlineStr">
        <is>
          <t>No</t>
        </is>
      </c>
    </row>
    <row r="161">
      <c r="A161" s="8" t="inlineStr">
        <is>
          <t>23/04/2026</t>
        </is>
      </c>
      <c r="B161" s="8" t="inlineStr">
        <is>
          <t>PAV</t>
        </is>
      </c>
      <c r="C161" s="8" t="inlineStr">
        <is>
          <t>2100058064</t>
        </is>
      </c>
      <c r="D161" s="9" t="n">
        <v>14854.8</v>
      </c>
      <c r="E161" s="8" t="inlineStr">
        <is>
          <t>23/04/2026</t>
        </is>
      </c>
      <c r="F161" s="8" t="inlineStr">
        <is>
          <t>23/04/2026</t>
        </is>
      </c>
      <c r="G161" s="8" t="inlineStr">
        <is>
          <t>CR DEBIN SPOT - CUIT/CUIL: 30711424179</t>
        </is>
      </c>
      <c r="H161" s="8" t="inlineStr">
        <is>
          <t>108412</t>
        </is>
      </c>
      <c r="I161" s="8" t="inlineStr">
        <is>
          <t>No</t>
        </is>
      </c>
    </row>
    <row r="162">
      <c r="A162" s="8" t="inlineStr">
        <is>
          <t>23/04/2026</t>
        </is>
      </c>
      <c r="B162" s="8" t="inlineStr">
        <is>
          <t>PAV</t>
        </is>
      </c>
      <c r="C162" s="8" t="inlineStr">
        <is>
          <t>2300014029</t>
        </is>
      </c>
      <c r="D162" s="9" t="n">
        <v>62984.35</v>
      </c>
      <c r="E162" s="8" t="inlineStr">
        <is>
          <t>23/04/2026</t>
        </is>
      </c>
      <c r="F162" s="8" t="inlineStr">
        <is>
          <t>23/04/2026</t>
        </is>
      </c>
      <c r="G162" s="8" t="inlineStr">
        <is>
          <t>CR DEBIN SPOT - CUIT/CUIL: 30711424179</t>
        </is>
      </c>
      <c r="H162" s="8" t="inlineStr">
        <is>
          <t>108421</t>
        </is>
      </c>
      <c r="I162" s="8" t="inlineStr">
        <is>
          <t>No</t>
        </is>
      </c>
    </row>
    <row r="163">
      <c r="A163" s="8" t="inlineStr">
        <is>
          <t>23/04/2026</t>
        </is>
      </c>
      <c r="B163" s="8" t="inlineStr">
        <is>
          <t>PAV</t>
        </is>
      </c>
      <c r="C163" s="8" t="inlineStr">
        <is>
          <t>3400068476</t>
        </is>
      </c>
      <c r="D163" s="9" t="n">
        <v>43237.32</v>
      </c>
      <c r="E163" s="8" t="inlineStr">
        <is>
          <t>23/04/2026</t>
        </is>
      </c>
      <c r="F163" s="8" t="inlineStr">
        <is>
          <t>23/04/2026</t>
        </is>
      </c>
      <c r="G163" s="8" t="inlineStr">
        <is>
          <t>CR LIQ MASTERCARD 24H</t>
        </is>
      </c>
      <c r="H163" s="8" t="inlineStr">
        <is>
          <t>29841705</t>
        </is>
      </c>
      <c r="I163" s="8" t="inlineStr">
        <is>
          <t>No</t>
        </is>
      </c>
    </row>
    <row r="164">
      <c r="A164" s="8" t="inlineStr">
        <is>
          <t>23/04/2026</t>
        </is>
      </c>
      <c r="B164" s="8" t="inlineStr">
        <is>
          <t>PAV</t>
        </is>
      </c>
      <c r="C164" s="8" t="inlineStr">
        <is>
          <t>3400068477</t>
        </is>
      </c>
      <c r="D164" s="9" t="n">
        <v>46727.67</v>
      </c>
      <c r="E164" s="8" t="inlineStr">
        <is>
          <t>23/04/2026</t>
        </is>
      </c>
      <c r="F164" s="8" t="inlineStr">
        <is>
          <t>23/04/2026</t>
        </is>
      </c>
      <c r="G164" s="8" t="inlineStr">
        <is>
          <t>CR LIQ MASTER DEB 24H</t>
        </is>
      </c>
      <c r="H164" s="8" t="inlineStr">
        <is>
          <t>29841705</t>
        </is>
      </c>
      <c r="I164" s="8" t="inlineStr">
        <is>
          <t>No</t>
        </is>
      </c>
    </row>
    <row r="165">
      <c r="A165" s="8" t="inlineStr">
        <is>
          <t>23/04/2026</t>
        </is>
      </c>
      <c r="B165" s="8" t="inlineStr">
        <is>
          <t>PAV</t>
        </is>
      </c>
      <c r="C165" s="8" t="inlineStr">
        <is>
          <t>3400068478</t>
        </is>
      </c>
      <c r="D165" s="9" t="n">
        <v>40306.32</v>
      </c>
      <c r="E165" s="8" t="inlineStr">
        <is>
          <t>23/04/2026</t>
        </is>
      </c>
      <c r="F165" s="8" t="inlineStr">
        <is>
          <t>23/04/2026</t>
        </is>
      </c>
      <c r="G165" s="8" t="inlineStr">
        <is>
          <t>CR LIQ MASTER DEB 24H</t>
        </is>
      </c>
      <c r="H165" s="8" t="inlineStr">
        <is>
          <t>29841705</t>
        </is>
      </c>
      <c r="I165" s="8" t="inlineStr">
        <is>
          <t>No</t>
        </is>
      </c>
    </row>
    <row r="166">
      <c r="A166" s="8" t="inlineStr">
        <is>
          <t>23/04/2026</t>
        </is>
      </c>
      <c r="B166" s="8" t="inlineStr">
        <is>
          <t>PAV</t>
        </is>
      </c>
      <c r="C166" s="8" t="inlineStr">
        <is>
          <t>3400068479</t>
        </is>
      </c>
      <c r="D166" s="9" t="n">
        <v>456869.88</v>
      </c>
      <c r="E166" s="8" t="inlineStr">
        <is>
          <t>23/04/2026</t>
        </is>
      </c>
      <c r="F166" s="8" t="inlineStr">
        <is>
          <t>23/04/2026</t>
        </is>
      </c>
      <c r="G166" s="8" t="inlineStr">
        <is>
          <t>CR LIQ MASTER DEB 24H</t>
        </is>
      </c>
      <c r="H166" s="8" t="inlineStr">
        <is>
          <t>29841705</t>
        </is>
      </c>
      <c r="I166" s="8" t="inlineStr">
        <is>
          <t>No</t>
        </is>
      </c>
    </row>
    <row r="167">
      <c r="A167" s="8" t="inlineStr">
        <is>
          <t>23/04/2026</t>
        </is>
      </c>
      <c r="B167" s="8" t="inlineStr">
        <is>
          <t>PAV</t>
        </is>
      </c>
      <c r="C167" s="8" t="inlineStr">
        <is>
          <t>2300014044</t>
        </is>
      </c>
      <c r="D167" s="9" t="n">
        <v>11388.68</v>
      </c>
      <c r="E167" s="8" t="inlineStr">
        <is>
          <t>23/04/2026</t>
        </is>
      </c>
      <c r="F167" s="8" t="inlineStr">
        <is>
          <t>23/04/2026</t>
        </is>
      </c>
      <c r="G167" s="8" t="inlineStr">
        <is>
          <t>CR DEBIN SPOT - CUIT/CUIL: 30711424179</t>
        </is>
      </c>
      <c r="H167" s="8" t="inlineStr">
        <is>
          <t>108387</t>
        </is>
      </c>
      <c r="I167" s="8" t="inlineStr">
        <is>
          <t>No</t>
        </is>
      </c>
    </row>
    <row r="168">
      <c r="A168" s="8" t="inlineStr">
        <is>
          <t>23/04/2026</t>
        </is>
      </c>
      <c r="B168" s="8" t="inlineStr">
        <is>
          <t>PAV</t>
        </is>
      </c>
      <c r="C168" s="8" t="inlineStr">
        <is>
          <t>1700036938</t>
        </is>
      </c>
      <c r="D168" s="9" t="n">
        <v>232199</v>
      </c>
      <c r="E168" s="8" t="inlineStr">
        <is>
          <t>23/04/2026</t>
        </is>
      </c>
      <c r="F168" s="8" t="inlineStr">
        <is>
          <t>23/04/2026</t>
        </is>
      </c>
      <c r="G168" s="8" t="inlineStr">
        <is>
          <t>CR LIQ MASTER DEB 24H</t>
        </is>
      </c>
      <c r="H168" s="8" t="inlineStr">
        <is>
          <t>29841627</t>
        </is>
      </c>
      <c r="I168" s="8" t="inlineStr">
        <is>
          <t>No</t>
        </is>
      </c>
    </row>
    <row r="169">
      <c r="A169" s="8" t="inlineStr">
        <is>
          <t>23/04/2026</t>
        </is>
      </c>
      <c r="B169" s="8" t="inlineStr">
        <is>
          <t>PAV</t>
        </is>
      </c>
      <c r="C169" s="8" t="inlineStr">
        <is>
          <t>1700036939</t>
        </is>
      </c>
      <c r="D169" s="9" t="n">
        <v>45443.4</v>
      </c>
      <c r="E169" s="8" t="inlineStr">
        <is>
          <t>23/04/2026</t>
        </is>
      </c>
      <c r="F169" s="8" t="inlineStr">
        <is>
          <t>23/04/2026</t>
        </is>
      </c>
      <c r="G169" s="8" t="inlineStr">
        <is>
          <t>CR LIQ MASTER DEB 24H</t>
        </is>
      </c>
      <c r="H169" s="8" t="inlineStr">
        <is>
          <t>29841627</t>
        </is>
      </c>
      <c r="I169" s="8" t="inlineStr">
        <is>
          <t>No</t>
        </is>
      </c>
    </row>
    <row r="170">
      <c r="A170" s="8" t="inlineStr">
        <is>
          <t>23/04/2026</t>
        </is>
      </c>
      <c r="B170" s="8" t="inlineStr">
        <is>
          <t>PAV</t>
        </is>
      </c>
      <c r="C170" s="8" t="inlineStr">
        <is>
          <t>1700036940</t>
        </is>
      </c>
      <c r="D170" s="9" t="n">
        <v>64073.41</v>
      </c>
      <c r="E170" s="8" t="inlineStr">
        <is>
          <t>23/04/2026</t>
        </is>
      </c>
      <c r="F170" s="8" t="inlineStr">
        <is>
          <t>23/04/2026</t>
        </is>
      </c>
      <c r="G170" s="8" t="inlineStr">
        <is>
          <t>CR LIQ MASTERCARD 24H</t>
        </is>
      </c>
      <c r="H170" s="8" t="inlineStr">
        <is>
          <t>29841627</t>
        </is>
      </c>
      <c r="I170" s="8" t="inlineStr">
        <is>
          <t>No</t>
        </is>
      </c>
    </row>
    <row r="171">
      <c r="A171" s="8" t="inlineStr">
        <is>
          <t>23/04/2026</t>
        </is>
      </c>
      <c r="B171" s="8" t="inlineStr">
        <is>
          <t>PAV</t>
        </is>
      </c>
      <c r="C171" s="8" t="inlineStr">
        <is>
          <t>1700036941</t>
        </is>
      </c>
      <c r="D171" s="9" t="n">
        <v>22721.7</v>
      </c>
      <c r="E171" s="8" t="inlineStr">
        <is>
          <t>23/04/2026</t>
        </is>
      </c>
      <c r="F171" s="8" t="inlineStr">
        <is>
          <t>23/04/2026</t>
        </is>
      </c>
      <c r="G171" s="8" t="inlineStr">
        <is>
          <t>CR LIQ MASTER DEB 24H</t>
        </is>
      </c>
      <c r="H171" s="8" t="inlineStr">
        <is>
          <t>29841627</t>
        </is>
      </c>
      <c r="I171" s="8" t="inlineStr">
        <is>
          <t>No</t>
        </is>
      </c>
    </row>
    <row r="172">
      <c r="A172" s="8" t="inlineStr">
        <is>
          <t>23/04/2026</t>
        </is>
      </c>
      <c r="B172" s="8" t="inlineStr">
        <is>
          <t>PAV</t>
        </is>
      </c>
      <c r="C172" s="8" t="inlineStr">
        <is>
          <t>1900042926</t>
        </is>
      </c>
      <c r="D172" s="9" t="n">
        <v>8912.879999999999</v>
      </c>
      <c r="E172" s="8" t="inlineStr">
        <is>
          <t>23/04/2026</t>
        </is>
      </c>
      <c r="F172" s="8" t="inlineStr">
        <is>
          <t>23/04/2026</t>
        </is>
      </c>
      <c r="G172" s="8" t="inlineStr">
        <is>
          <t>CR DEBIN SPOT - CUIT/CUIL: 30711424179</t>
        </is>
      </c>
      <c r="H172" s="8" t="inlineStr">
        <is>
          <t>108425</t>
        </is>
      </c>
      <c r="I172" s="8" t="inlineStr">
        <is>
          <t>No</t>
        </is>
      </c>
    </row>
    <row r="173">
      <c r="A173" s="8" t="inlineStr">
        <is>
          <t>23/04/2026</t>
        </is>
      </c>
      <c r="B173" s="8" t="inlineStr">
        <is>
          <t>PAV</t>
        </is>
      </c>
      <c r="C173" s="8" t="inlineStr">
        <is>
          <t>2100058066</t>
        </is>
      </c>
      <c r="D173" s="9" t="n">
        <v>73877.87</v>
      </c>
      <c r="E173" s="8" t="inlineStr">
        <is>
          <t>23/04/2026</t>
        </is>
      </c>
      <c r="F173" s="8" t="inlineStr">
        <is>
          <t>23/04/2026</t>
        </is>
      </c>
      <c r="G173" s="8" t="inlineStr">
        <is>
          <t>CR DEBIN SPOT - CUIT/CUIL: 30711424179</t>
        </is>
      </c>
      <c r="H173" s="8" t="inlineStr">
        <is>
          <t>108426</t>
        </is>
      </c>
      <c r="I173" s="8" t="inlineStr">
        <is>
          <t>No</t>
        </is>
      </c>
    </row>
    <row r="174">
      <c r="A174" s="8" t="inlineStr">
        <is>
          <t>23/04/2026</t>
        </is>
      </c>
      <c r="B174" s="8" t="inlineStr">
        <is>
          <t>PAV</t>
        </is>
      </c>
      <c r="C174" s="8" t="inlineStr">
        <is>
          <t>1800042811</t>
        </is>
      </c>
      <c r="D174" s="9" t="n">
        <v>49516</v>
      </c>
      <c r="E174" s="8" t="inlineStr">
        <is>
          <t>23/04/2026</t>
        </is>
      </c>
      <c r="F174" s="8" t="inlineStr">
        <is>
          <t>23/04/2026</t>
        </is>
      </c>
      <c r="G174" s="8" t="inlineStr">
        <is>
          <t>CR DEBIN SPOT - CUIT/CUIL: 30711424179</t>
        </is>
      </c>
      <c r="H174" s="8" t="inlineStr">
        <is>
          <t>108422</t>
        </is>
      </c>
      <c r="I174" s="8" t="inlineStr">
        <is>
          <t>No</t>
        </is>
      </c>
    </row>
    <row r="175">
      <c r="A175" s="8" t="inlineStr">
        <is>
          <t>23/04/2026</t>
        </is>
      </c>
      <c r="B175" s="8" t="inlineStr">
        <is>
          <t>PAV</t>
        </is>
      </c>
      <c r="C175" s="8" t="inlineStr">
        <is>
          <t>3400068490</t>
        </is>
      </c>
      <c r="D175" s="9" t="n">
        <v>21688.01</v>
      </c>
      <c r="E175" s="8" t="inlineStr">
        <is>
          <t>23/04/2026</t>
        </is>
      </c>
      <c r="F175" s="8" t="inlineStr">
        <is>
          <t>23/04/2026</t>
        </is>
      </c>
      <c r="G175" s="8" t="inlineStr">
        <is>
          <t>CR DEBIN SPOT - CUIT/CUIL: 30711424179</t>
        </is>
      </c>
      <c r="H175" s="8" t="inlineStr">
        <is>
          <t>108389</t>
        </is>
      </c>
      <c r="I175" s="8" t="inlineStr">
        <is>
          <t>No</t>
        </is>
      </c>
    </row>
    <row r="176">
      <c r="A176" s="8" t="inlineStr">
        <is>
          <t>24/04/2026</t>
        </is>
      </c>
      <c r="B176" s="8" t="inlineStr">
        <is>
          <t>MB-ENT-EX</t>
        </is>
      </c>
      <c r="C176" s="8" t="inlineStr">
        <is>
          <t>0000-00026791</t>
        </is>
      </c>
      <c r="D176" s="9" t="n">
        <v>600000</v>
      </c>
      <c r="E176" s="8" t="inlineStr">
        <is>
          <t>24/04/2026</t>
        </is>
      </c>
      <c r="F176" s="8" t="inlineStr">
        <is>
          <t>24/04/2026</t>
        </is>
      </c>
      <c r="G176" s="8" t="inlineStr">
        <is>
          <t>DB CREDIN TRANSFERENCIA</t>
        </is>
      </c>
      <c r="H176" s="8" t="inlineStr">
        <is>
          <t>108558</t>
        </is>
      </c>
      <c r="I176" s="8" t="inlineStr">
        <is>
          <t>No</t>
        </is>
      </c>
    </row>
    <row r="177">
      <c r="A177" s="8" t="inlineStr">
        <is>
          <t>24/04/2026</t>
        </is>
      </c>
      <c r="B177" s="8" t="inlineStr">
        <is>
          <t>PAV</t>
        </is>
      </c>
      <c r="C177" s="8" t="inlineStr">
        <is>
          <t>2200022599</t>
        </is>
      </c>
      <c r="D177" s="9" t="n">
        <v>435165.36</v>
      </c>
      <c r="E177" s="8" t="inlineStr">
        <is>
          <t>24/04/2026</t>
        </is>
      </c>
      <c r="F177" s="8" t="inlineStr">
        <is>
          <t>24/04/2026</t>
        </is>
      </c>
      <c r="G177" s="8" t="inlineStr">
        <is>
          <t>CR LIQ MASTER DEB 24H</t>
        </is>
      </c>
      <c r="H177" s="8" t="inlineStr">
        <is>
          <t>31995644</t>
        </is>
      </c>
      <c r="I177" s="8" t="inlineStr">
        <is>
          <t>No</t>
        </is>
      </c>
    </row>
    <row r="178">
      <c r="A178" s="8" t="inlineStr">
        <is>
          <t>24/04/2026</t>
        </is>
      </c>
      <c r="B178" s="8" t="inlineStr">
        <is>
          <t>PAV</t>
        </is>
      </c>
      <c r="C178" s="8" t="inlineStr">
        <is>
          <t>2200022600</t>
        </is>
      </c>
      <c r="D178" s="9" t="n">
        <v>118722.93</v>
      </c>
      <c r="E178" s="8" t="inlineStr">
        <is>
          <t>24/04/2026</t>
        </is>
      </c>
      <c r="F178" s="8" t="inlineStr">
        <is>
          <t>24/04/2026</t>
        </is>
      </c>
      <c r="G178" s="8" t="inlineStr">
        <is>
          <t>CR LIQ MASTERCARD 24H</t>
        </is>
      </c>
      <c r="H178" s="8" t="inlineStr">
        <is>
          <t>31995644</t>
        </is>
      </c>
      <c r="I178" s="8" t="inlineStr">
        <is>
          <t>No</t>
        </is>
      </c>
    </row>
    <row r="179">
      <c r="A179" s="8" t="inlineStr">
        <is>
          <t>24/04/2026</t>
        </is>
      </c>
      <c r="B179" s="8" t="inlineStr">
        <is>
          <t>PAV</t>
        </is>
      </c>
      <c r="C179" s="8" t="inlineStr">
        <is>
          <t>2200022601</t>
        </is>
      </c>
      <c r="D179" s="9" t="n">
        <v>83624.69</v>
      </c>
      <c r="E179" s="8" t="inlineStr">
        <is>
          <t>24/04/2026</t>
        </is>
      </c>
      <c r="F179" s="8" t="inlineStr">
        <is>
          <t>24/04/2026</t>
        </is>
      </c>
      <c r="G179" s="8" t="inlineStr">
        <is>
          <t>CR LIQ AMEX/MADQ FIS 24H</t>
        </is>
      </c>
      <c r="H179" s="8" t="inlineStr">
        <is>
          <t>31995644</t>
        </is>
      </c>
      <c r="I179" s="8" t="inlineStr">
        <is>
          <t>No</t>
        </is>
      </c>
    </row>
    <row r="180">
      <c r="A180" s="8" t="inlineStr">
        <is>
          <t>24/04/2026</t>
        </is>
      </c>
      <c r="B180" s="8" t="inlineStr">
        <is>
          <t>PAV</t>
        </is>
      </c>
      <c r="C180" s="8" t="inlineStr">
        <is>
          <t>2200022602</t>
        </is>
      </c>
      <c r="D180" s="9" t="n">
        <v>291342</v>
      </c>
      <c r="E180" s="8" t="inlineStr">
        <is>
          <t>24/04/2026</t>
        </is>
      </c>
      <c r="F180" s="8" t="inlineStr">
        <is>
          <t>24/04/2026</t>
        </is>
      </c>
      <c r="G180" s="8" t="inlineStr">
        <is>
          <t>CR LIQ MASTER DEB 24H</t>
        </is>
      </c>
      <c r="H180" s="8" t="inlineStr">
        <is>
          <t>31995644</t>
        </is>
      </c>
      <c r="I180" s="8" t="inlineStr">
        <is>
          <t>No</t>
        </is>
      </c>
    </row>
    <row r="181">
      <c r="A181" s="8" t="inlineStr">
        <is>
          <t>24/04/2026</t>
        </is>
      </c>
      <c r="B181" s="8" t="inlineStr">
        <is>
          <t>PAV</t>
        </is>
      </c>
      <c r="C181" s="8" t="inlineStr">
        <is>
          <t>2200022603</t>
        </is>
      </c>
      <c r="D181" s="9" t="n">
        <v>302950.44</v>
      </c>
      <c r="E181" s="8" t="inlineStr">
        <is>
          <t>24/04/2026</t>
        </is>
      </c>
      <c r="F181" s="8" t="inlineStr">
        <is>
          <t>24/04/2026</t>
        </is>
      </c>
      <c r="G181" s="8" t="inlineStr">
        <is>
          <t>CR LIQ MASTER DEB 24H</t>
        </is>
      </c>
      <c r="H181" s="8" t="inlineStr">
        <is>
          <t>31995644</t>
        </is>
      </c>
      <c r="I181" s="8" t="inlineStr">
        <is>
          <t>No</t>
        </is>
      </c>
    </row>
    <row r="182">
      <c r="A182" s="8" t="inlineStr">
        <is>
          <t>24/04/2026</t>
        </is>
      </c>
      <c r="B182" s="8" t="inlineStr">
        <is>
          <t>PAV</t>
        </is>
      </c>
      <c r="C182" s="8" t="inlineStr">
        <is>
          <t>2200022604</t>
        </is>
      </c>
      <c r="D182" s="9" t="n">
        <v>11487.71</v>
      </c>
      <c r="E182" s="8" t="inlineStr">
        <is>
          <t>24/04/2026</t>
        </is>
      </c>
      <c r="F182" s="8" t="inlineStr">
        <is>
          <t>24/04/2026</t>
        </is>
      </c>
      <c r="G182" s="8" t="inlineStr">
        <is>
          <t>CR DEBIN SPOT - CUIT/CUIL: 30711424179</t>
        </is>
      </c>
      <c r="H182" s="8" t="inlineStr">
        <is>
          <t>108557</t>
        </is>
      </c>
      <c r="I182" s="8" t="inlineStr">
        <is>
          <t>No</t>
        </is>
      </c>
    </row>
    <row r="183">
      <c r="A183" s="8" t="inlineStr">
        <is>
          <t>24/04/2026</t>
        </is>
      </c>
      <c r="B183" s="8" t="inlineStr">
        <is>
          <t>PAV</t>
        </is>
      </c>
      <c r="C183" s="8" t="inlineStr">
        <is>
          <t>2100058069</t>
        </is>
      </c>
      <c r="D183" s="9" t="n">
        <v>23709.6</v>
      </c>
      <c r="E183" s="8" t="inlineStr">
        <is>
          <t>24/04/2026</t>
        </is>
      </c>
      <c r="F183" s="8" t="inlineStr">
        <is>
          <t>24/04/2026</t>
        </is>
      </c>
      <c r="G183" s="8" t="inlineStr">
        <is>
          <t>CR LIQ MASTER DEB 24H</t>
        </is>
      </c>
      <c r="H183" s="8" t="inlineStr">
        <is>
          <t>29841642</t>
        </is>
      </c>
      <c r="I183" s="8" t="inlineStr">
        <is>
          <t>No</t>
        </is>
      </c>
    </row>
    <row r="184">
      <c r="A184" s="8" t="inlineStr">
        <is>
          <t>24/04/2026</t>
        </is>
      </c>
      <c r="B184" s="8" t="inlineStr">
        <is>
          <t>PAV</t>
        </is>
      </c>
      <c r="C184" s="8" t="inlineStr">
        <is>
          <t>2100058072</t>
        </is>
      </c>
      <c r="D184" s="9" t="n">
        <v>28125.09</v>
      </c>
      <c r="E184" s="8" t="inlineStr">
        <is>
          <t>24/04/2026</t>
        </is>
      </c>
      <c r="F184" s="8" t="inlineStr">
        <is>
          <t>24/04/2026</t>
        </is>
      </c>
      <c r="G184" s="8" t="inlineStr">
        <is>
          <t>CR DEBIN SPOT - CUIT/CUIL: 30711424179</t>
        </is>
      </c>
      <c r="H184" s="8" t="inlineStr">
        <is>
          <t>108560</t>
        </is>
      </c>
      <c r="I184" s="8" t="inlineStr">
        <is>
          <t>No</t>
        </is>
      </c>
    </row>
    <row r="185">
      <c r="A185" s="8" t="inlineStr">
        <is>
          <t>24/04/2026</t>
        </is>
      </c>
      <c r="B185" s="8" t="inlineStr">
        <is>
          <t>PAV</t>
        </is>
      </c>
      <c r="C185" s="8" t="inlineStr">
        <is>
          <t>1900042932</t>
        </is>
      </c>
      <c r="D185" s="9" t="n">
        <v>22777.36</v>
      </c>
      <c r="E185" s="8" t="inlineStr">
        <is>
          <t>24/04/2026</t>
        </is>
      </c>
      <c r="F185" s="8" t="inlineStr">
        <is>
          <t>24/04/2026</t>
        </is>
      </c>
      <c r="G185" s="8" t="inlineStr">
        <is>
          <t>CR DEBIN SPOT - CUIT/CUIL: 30711424179</t>
        </is>
      </c>
      <c r="H185" s="8" t="inlineStr">
        <is>
          <t>108562</t>
        </is>
      </c>
      <c r="I185" s="8" t="inlineStr">
        <is>
          <t>No</t>
        </is>
      </c>
    </row>
    <row r="186">
      <c r="A186" s="8" t="inlineStr">
        <is>
          <t>24/04/2026</t>
        </is>
      </c>
      <c r="B186" s="8" t="inlineStr">
        <is>
          <t>PAV</t>
        </is>
      </c>
      <c r="C186" s="8" t="inlineStr">
        <is>
          <t>2100058076</t>
        </is>
      </c>
      <c r="D186" s="9" t="n">
        <v>26738.64</v>
      </c>
      <c r="E186" s="8" t="inlineStr">
        <is>
          <t>24/04/2026</t>
        </is>
      </c>
      <c r="F186" s="8" t="inlineStr">
        <is>
          <t>24/04/2026</t>
        </is>
      </c>
      <c r="G186" s="8" t="inlineStr">
        <is>
          <t>CR DEBIN SPOT - CUIT/CUIL: 30711424179</t>
        </is>
      </c>
      <c r="H186" s="8" t="inlineStr">
        <is>
          <t>108589</t>
        </is>
      </c>
      <c r="I186" s="8" t="inlineStr">
        <is>
          <t>No</t>
        </is>
      </c>
    </row>
    <row r="187">
      <c r="A187" s="8" t="inlineStr">
        <is>
          <t>24/04/2026</t>
        </is>
      </c>
      <c r="B187" s="8" t="inlineStr">
        <is>
          <t>PAV</t>
        </is>
      </c>
      <c r="C187" s="8" t="inlineStr">
        <is>
          <t>2300014076</t>
        </is>
      </c>
      <c r="D187" s="9" t="n">
        <v>67341.75999999999</v>
      </c>
      <c r="E187" s="8" t="inlineStr">
        <is>
          <t>24/04/2026</t>
        </is>
      </c>
      <c r="F187" s="8" t="inlineStr">
        <is>
          <t>24/04/2026</t>
        </is>
      </c>
      <c r="G187" s="8" t="inlineStr">
        <is>
          <t>CR DEBIN SPOT - CUIT/CUIL: 30711424179</t>
        </is>
      </c>
      <c r="H187" s="8" t="inlineStr">
        <is>
          <t>108591</t>
        </is>
      </c>
      <c r="I187" s="8" t="inlineStr">
        <is>
          <t>No</t>
        </is>
      </c>
    </row>
    <row r="188">
      <c r="A188" s="8" t="inlineStr">
        <is>
          <t>24/04/2026</t>
        </is>
      </c>
      <c r="B188" s="8" t="inlineStr">
        <is>
          <t>PAV</t>
        </is>
      </c>
      <c r="C188" s="8" t="inlineStr">
        <is>
          <t>2200022613</t>
        </is>
      </c>
      <c r="D188" s="9" t="n">
        <v>198757.22</v>
      </c>
      <c r="E188" s="8" t="inlineStr">
        <is>
          <t>24/04/2026</t>
        </is>
      </c>
      <c r="F188" s="8" t="inlineStr">
        <is>
          <t>24/04/2026</t>
        </is>
      </c>
      <c r="G188" s="8" t="inlineStr">
        <is>
          <t>CR DEBIN SPOT - CUIT/CUIL: 30711424179</t>
        </is>
      </c>
      <c r="H188" s="8" t="inlineStr">
        <is>
          <t>108590</t>
        </is>
      </c>
      <c r="I188" s="8" t="inlineStr">
        <is>
          <t>No</t>
        </is>
      </c>
    </row>
    <row r="189">
      <c r="A189" s="8" t="inlineStr">
        <is>
          <t>24/04/2026</t>
        </is>
      </c>
      <c r="B189" s="8" t="inlineStr">
        <is>
          <t>PAV</t>
        </is>
      </c>
      <c r="C189" s="8" t="inlineStr">
        <is>
          <t>2300014081</t>
        </is>
      </c>
      <c r="D189" s="9" t="n">
        <v>3515.64</v>
      </c>
      <c r="E189" s="8" t="inlineStr">
        <is>
          <t>24/04/2026</t>
        </is>
      </c>
      <c r="F189" s="8" t="inlineStr">
        <is>
          <t>24/04/2026</t>
        </is>
      </c>
      <c r="G189" s="8" t="inlineStr">
        <is>
          <t>CR DEBIN SPOT - CUIT/CUIL: 30711424179</t>
        </is>
      </c>
      <c r="H189" s="8" t="inlineStr">
        <is>
          <t>108592</t>
        </is>
      </c>
      <c r="I189" s="8" t="inlineStr">
        <is>
          <t>No</t>
        </is>
      </c>
    </row>
    <row r="190">
      <c r="A190" s="8" t="inlineStr">
        <is>
          <t>24/04/2026</t>
        </is>
      </c>
      <c r="B190" s="8" t="inlineStr">
        <is>
          <t>PAV</t>
        </is>
      </c>
      <c r="C190" s="8" t="inlineStr">
        <is>
          <t>1700036947</t>
        </is>
      </c>
      <c r="D190" s="9" t="n">
        <v>26673.3</v>
      </c>
      <c r="E190" s="8" t="inlineStr">
        <is>
          <t>24/04/2026</t>
        </is>
      </c>
      <c r="F190" s="8" t="inlineStr">
        <is>
          <t>24/04/2026</t>
        </is>
      </c>
      <c r="G190" s="8" t="inlineStr">
        <is>
          <t>CR LIQ MASTER DEB 24H</t>
        </is>
      </c>
      <c r="H190" s="8" t="inlineStr">
        <is>
          <t>29841627</t>
        </is>
      </c>
      <c r="I190" s="8" t="inlineStr">
        <is>
          <t>No</t>
        </is>
      </c>
    </row>
    <row r="191">
      <c r="A191" s="8" t="inlineStr">
        <is>
          <t>24/04/2026</t>
        </is>
      </c>
      <c r="B191" s="8" t="inlineStr">
        <is>
          <t>PAV</t>
        </is>
      </c>
      <c r="C191" s="8" t="inlineStr">
        <is>
          <t>3400068505</t>
        </is>
      </c>
      <c r="D191" s="9" t="n">
        <v>7532.29</v>
      </c>
      <c r="E191" s="8" t="inlineStr">
        <is>
          <t>24/04/2026</t>
        </is>
      </c>
      <c r="F191" s="8" t="inlineStr">
        <is>
          <t>24/04/2026</t>
        </is>
      </c>
      <c r="G191" s="8" t="inlineStr">
        <is>
          <t>CR LIQ MASTER DEB 24H</t>
        </is>
      </c>
      <c r="H191" s="8" t="inlineStr">
        <is>
          <t>29841705</t>
        </is>
      </c>
      <c r="I191" s="8" t="inlineStr">
        <is>
          <t>No</t>
        </is>
      </c>
    </row>
    <row r="192">
      <c r="A192" s="8" t="inlineStr">
        <is>
          <t>24/04/2026</t>
        </is>
      </c>
      <c r="B192" s="8" t="inlineStr">
        <is>
          <t>PAV</t>
        </is>
      </c>
      <c r="C192" s="8" t="inlineStr">
        <is>
          <t>3400068506</t>
        </is>
      </c>
      <c r="D192" s="9" t="n">
        <v>11360.85</v>
      </c>
      <c r="E192" s="8" t="inlineStr">
        <is>
          <t>24/04/2026</t>
        </is>
      </c>
      <c r="F192" s="8" t="inlineStr">
        <is>
          <t>24/04/2026</t>
        </is>
      </c>
      <c r="G192" s="8" t="inlineStr">
        <is>
          <t>CR LIQ MASTER DEB 24H</t>
        </is>
      </c>
      <c r="H192" s="8" t="inlineStr">
        <is>
          <t>29841705</t>
        </is>
      </c>
      <c r="I192" s="8" t="inlineStr">
        <is>
          <t>No</t>
        </is>
      </c>
    </row>
    <row r="193">
      <c r="A193" s="8" t="inlineStr">
        <is>
          <t>24/04/2026</t>
        </is>
      </c>
      <c r="B193" s="8" t="inlineStr">
        <is>
          <t>PAV</t>
        </is>
      </c>
      <c r="C193" s="8" t="inlineStr">
        <is>
          <t>3400068507</t>
        </is>
      </c>
      <c r="D193" s="9" t="n">
        <v>41183.06</v>
      </c>
      <c r="E193" s="8" t="inlineStr">
        <is>
          <t>24/04/2026</t>
        </is>
      </c>
      <c r="F193" s="8" t="inlineStr">
        <is>
          <t>24/04/2026</t>
        </is>
      </c>
      <c r="G193" s="8" t="inlineStr">
        <is>
          <t>CR LIQ MASTER DEB 24H</t>
        </is>
      </c>
      <c r="H193" s="8" t="inlineStr">
        <is>
          <t>29841705</t>
        </is>
      </c>
      <c r="I193" s="8" t="inlineStr">
        <is>
          <t>No</t>
        </is>
      </c>
    </row>
    <row r="194">
      <c r="A194" s="8" t="inlineStr">
        <is>
          <t>24/04/2026</t>
        </is>
      </c>
      <c r="B194" s="8" t="inlineStr">
        <is>
          <t>PAV</t>
        </is>
      </c>
      <c r="C194" s="8" t="inlineStr">
        <is>
          <t>1700036950</t>
        </is>
      </c>
      <c r="D194" s="9" t="n">
        <v>47535.36</v>
      </c>
      <c r="E194" s="8" t="inlineStr">
        <is>
          <t>24/04/2026</t>
        </is>
      </c>
      <c r="F194" s="8" t="inlineStr">
        <is>
          <t>24/04/2026</t>
        </is>
      </c>
      <c r="G194" s="8" t="inlineStr">
        <is>
          <t>CR DEBIN SPOT</t>
        </is>
      </c>
      <c r="H194" s="8" t="inlineStr">
        <is>
          <t>108598</t>
        </is>
      </c>
      <c r="I194" s="8" t="inlineStr">
        <is>
          <t>No</t>
        </is>
      </c>
    </row>
    <row r="195">
      <c r="A195" s="8" t="inlineStr">
        <is>
          <t>24/04/2026</t>
        </is>
      </c>
      <c r="B195" s="8" t="inlineStr">
        <is>
          <t>PAV</t>
        </is>
      </c>
      <c r="C195" s="8" t="inlineStr">
        <is>
          <t>1800042827</t>
        </is>
      </c>
      <c r="D195" s="9" t="n">
        <v>11388.68</v>
      </c>
      <c r="E195" s="8" t="inlineStr">
        <is>
          <t>24/04/2026</t>
        </is>
      </c>
      <c r="F195" s="8" t="inlineStr">
        <is>
          <t>24/04/2026</t>
        </is>
      </c>
      <c r="G195" s="8" t="inlineStr">
        <is>
          <t>CR DEBIN SPOT</t>
        </is>
      </c>
      <c r="H195" s="8" t="inlineStr">
        <is>
          <t>108596</t>
        </is>
      </c>
      <c r="I195" s="8" t="inlineStr">
        <is>
          <t>No</t>
        </is>
      </c>
    </row>
    <row r="196">
      <c r="A196" s="8" t="inlineStr">
        <is>
          <t>24/04/2026</t>
        </is>
      </c>
      <c r="B196" s="8" t="inlineStr">
        <is>
          <t>PAV</t>
        </is>
      </c>
      <c r="C196" s="8" t="inlineStr">
        <is>
          <t>2200022617</t>
        </is>
      </c>
      <c r="D196" s="9" t="n">
        <v>150000</v>
      </c>
      <c r="E196" s="8" t="inlineStr">
        <is>
          <t>24/04/2026</t>
        </is>
      </c>
      <c r="F196" s="8" t="inlineStr">
        <is>
          <t>24/04/2026</t>
        </is>
      </c>
      <c r="G196" s="8" t="inlineStr">
        <is>
          <t>TRANSF.INT.DIST.TITULAR</t>
        </is>
      </c>
      <c r="H196" s="8" t="inlineStr">
        <is>
          <t>108597</t>
        </is>
      </c>
      <c r="I196" s="8" t="inlineStr">
        <is>
          <t>No</t>
        </is>
      </c>
    </row>
    <row r="197">
      <c r="A197" s="8" t="inlineStr">
        <is>
          <t>24/04/2026</t>
        </is>
      </c>
      <c r="B197" s="8" t="inlineStr">
        <is>
          <t>PAV</t>
        </is>
      </c>
      <c r="C197" s="8" t="inlineStr">
        <is>
          <t>2300014088</t>
        </is>
      </c>
      <c r="D197" s="9" t="n">
        <v>22183.17</v>
      </c>
      <c r="E197" s="8" t="inlineStr">
        <is>
          <t>24/04/2026</t>
        </is>
      </c>
      <c r="F197" s="8" t="inlineStr">
        <is>
          <t>24/04/2026</t>
        </is>
      </c>
      <c r="G197" s="8" t="inlineStr">
        <is>
          <t>CR DEBIN SPOT</t>
        </is>
      </c>
      <c r="H197" s="8" t="inlineStr">
        <is>
          <t>108599</t>
        </is>
      </c>
      <c r="I197" s="8" t="inlineStr">
        <is>
          <t>No</t>
        </is>
      </c>
    </row>
    <row r="198">
      <c r="A198" s="8" t="inlineStr">
        <is>
          <t>24/04/2026</t>
        </is>
      </c>
      <c r="B198" s="8" t="inlineStr">
        <is>
          <t>PAV</t>
        </is>
      </c>
      <c r="C198" s="8" t="inlineStr">
        <is>
          <t>2300014090</t>
        </is>
      </c>
      <c r="D198" s="9" t="n">
        <v>7724.5</v>
      </c>
      <c r="E198" s="8" t="inlineStr">
        <is>
          <t>24/04/2026</t>
        </is>
      </c>
      <c r="F198" s="8" t="inlineStr">
        <is>
          <t>24/04/2026</t>
        </is>
      </c>
      <c r="G198" s="8" t="inlineStr">
        <is>
          <t>CR DEBIN SPOT</t>
        </is>
      </c>
      <c r="H198" s="8" t="inlineStr">
        <is>
          <t>108600</t>
        </is>
      </c>
      <c r="I198" s="8" t="inlineStr">
        <is>
          <t>No</t>
        </is>
      </c>
    </row>
    <row r="199">
      <c r="A199" s="8" t="inlineStr">
        <is>
          <t>24/04/2026</t>
        </is>
      </c>
      <c r="B199" s="8" t="inlineStr">
        <is>
          <t>PAV</t>
        </is>
      </c>
      <c r="C199" s="8" t="inlineStr">
        <is>
          <t>3400068510</t>
        </is>
      </c>
      <c r="D199" s="9" t="n">
        <v>35453.46</v>
      </c>
      <c r="E199" s="8" t="inlineStr">
        <is>
          <t>24/04/2026</t>
        </is>
      </c>
      <c r="F199" s="8" t="inlineStr">
        <is>
          <t>24/04/2026</t>
        </is>
      </c>
      <c r="G199" s="8" t="inlineStr">
        <is>
          <t>CR DEBIN SPOT - CUIT/CUIL: 30711424179</t>
        </is>
      </c>
      <c r="H199" s="8" t="inlineStr">
        <is>
          <t>108588</t>
        </is>
      </c>
      <c r="I199" s="8" t="inlineStr">
        <is>
          <t>No</t>
        </is>
      </c>
    </row>
    <row r="200">
      <c r="A200" s="8" t="inlineStr">
        <is>
          <t>24/04/2026</t>
        </is>
      </c>
      <c r="B200" s="8" t="inlineStr">
        <is>
          <t>PAV</t>
        </is>
      </c>
      <c r="C200" s="8" t="inlineStr">
        <is>
          <t>3400068511</t>
        </is>
      </c>
      <c r="D200" s="9" t="n">
        <v>4456.44</v>
      </c>
      <c r="E200" s="8" t="inlineStr">
        <is>
          <t>24/04/2026</t>
        </is>
      </c>
      <c r="F200" s="8" t="inlineStr">
        <is>
          <t>24/04/2026</t>
        </is>
      </c>
      <c r="G200" s="8" t="inlineStr">
        <is>
          <t>CR DEBIN SPOT</t>
        </is>
      </c>
      <c r="H200" s="8" t="inlineStr">
        <is>
          <t>108601</t>
        </is>
      </c>
      <c r="I200" s="8" t="inlineStr">
        <is>
          <t>No</t>
        </is>
      </c>
    </row>
    <row r="201">
      <c r="A201" s="8" t="inlineStr">
        <is>
          <t>24/04/2026</t>
        </is>
      </c>
      <c r="B201" s="8" t="inlineStr">
        <is>
          <t>PAV</t>
        </is>
      </c>
      <c r="C201" s="8" t="inlineStr">
        <is>
          <t>3400068512</t>
        </is>
      </c>
      <c r="D201" s="9" t="n">
        <v>12864.26</v>
      </c>
      <c r="E201" s="8" t="inlineStr">
        <is>
          <t>24/04/2026</t>
        </is>
      </c>
      <c r="F201" s="8" t="inlineStr">
        <is>
          <t>24/04/2026</t>
        </is>
      </c>
      <c r="G201" s="8" t="inlineStr">
        <is>
          <t>CR DEBIN SPOT</t>
        </is>
      </c>
      <c r="H201" s="8" t="inlineStr">
        <is>
          <t>108594</t>
        </is>
      </c>
      <c r="I201" s="8" t="inlineStr">
        <is>
          <t>No</t>
        </is>
      </c>
    </row>
    <row r="202">
      <c r="A202" s="8" t="inlineStr">
        <is>
          <t>24/04/2026</t>
        </is>
      </c>
      <c r="B202" s="8" t="inlineStr">
        <is>
          <t>PAV</t>
        </is>
      </c>
      <c r="C202" s="8" t="inlineStr">
        <is>
          <t>3400068515</t>
        </is>
      </c>
      <c r="D202" s="9" t="n">
        <v>4456.44</v>
      </c>
      <c r="E202" s="8" t="inlineStr">
        <is>
          <t>24/04/2026</t>
        </is>
      </c>
      <c r="F202" s="8" t="inlineStr">
        <is>
          <t>24/04/2026</t>
        </is>
      </c>
      <c r="G202" s="8" t="inlineStr">
        <is>
          <t>CR DEBIN SPOT</t>
        </is>
      </c>
      <c r="H202" s="8" t="inlineStr">
        <is>
          <t>108593</t>
        </is>
      </c>
      <c r="I202" s="8" t="inlineStr">
        <is>
          <t>No</t>
        </is>
      </c>
    </row>
    <row r="203">
      <c r="A203" s="8" t="inlineStr">
        <is>
          <t>24/04/2026</t>
        </is>
      </c>
      <c r="B203" s="8" t="inlineStr">
        <is>
          <t>PAV</t>
        </is>
      </c>
      <c r="C203" s="8" t="inlineStr">
        <is>
          <t>3400068517</t>
        </is>
      </c>
      <c r="D203" s="9" t="n">
        <v>7625.46</v>
      </c>
      <c r="E203" s="8" t="inlineStr">
        <is>
          <t>24/04/2026</t>
        </is>
      </c>
      <c r="F203" s="8" t="inlineStr">
        <is>
          <t>24/04/2026</t>
        </is>
      </c>
      <c r="G203" s="8" t="inlineStr">
        <is>
          <t>CR DEBIN SPOT</t>
        </is>
      </c>
      <c r="H203" s="8" t="inlineStr">
        <is>
          <t>108602</t>
        </is>
      </c>
      <c r="I203" s="8" t="inlineStr">
        <is>
          <t>No</t>
        </is>
      </c>
    </row>
    <row r="204">
      <c r="A204" s="8" t="inlineStr">
        <is>
          <t>24/04/2026</t>
        </is>
      </c>
      <c r="B204" s="8" t="inlineStr">
        <is>
          <t>PAV</t>
        </is>
      </c>
      <c r="C204" s="8" t="inlineStr">
        <is>
          <t>2100058081</t>
        </is>
      </c>
      <c r="D204" s="9" t="n">
        <v>15746.09</v>
      </c>
      <c r="E204" s="8" t="inlineStr">
        <is>
          <t>24/04/2026</t>
        </is>
      </c>
      <c r="F204" s="8" t="inlineStr">
        <is>
          <t>24/04/2026</t>
        </is>
      </c>
      <c r="G204" s="8" t="inlineStr">
        <is>
          <t>CR DEBIN SPOT</t>
        </is>
      </c>
      <c r="H204" s="8" t="inlineStr">
        <is>
          <t>108595</t>
        </is>
      </c>
      <c r="I204" s="8" t="inlineStr">
        <is>
          <t>No</t>
        </is>
      </c>
    </row>
    <row r="205">
      <c r="A205" s="8" t="inlineStr">
        <is>
          <t>24/04/2026</t>
        </is>
      </c>
      <c r="B205" s="8" t="inlineStr">
        <is>
          <t>PAV</t>
        </is>
      </c>
      <c r="C205" s="8" t="inlineStr">
        <is>
          <t>2200022619</t>
        </is>
      </c>
      <c r="D205" s="9" t="n">
        <v>67539.82000000001</v>
      </c>
      <c r="E205" s="8" t="inlineStr">
        <is>
          <t>24/04/2026</t>
        </is>
      </c>
      <c r="F205" s="8" t="inlineStr">
        <is>
          <t>24/04/2026</t>
        </is>
      </c>
      <c r="G205" s="8" t="inlineStr">
        <is>
          <t>CR DEBIN SPOT</t>
        </is>
      </c>
      <c r="H205" s="8" t="inlineStr">
        <is>
          <t>108603</t>
        </is>
      </c>
      <c r="I205" s="8" t="inlineStr">
        <is>
          <t>No</t>
        </is>
      </c>
    </row>
    <row r="206">
      <c r="A206" s="8" t="inlineStr">
        <is>
          <t>24/04/2026</t>
        </is>
      </c>
      <c r="B206" s="8" t="inlineStr">
        <is>
          <t>PAV</t>
        </is>
      </c>
      <c r="C206" s="8" t="inlineStr">
        <is>
          <t>3400068530</t>
        </is>
      </c>
      <c r="D206" s="9" t="n">
        <v>10497.39</v>
      </c>
      <c r="E206" s="8" t="inlineStr">
        <is>
          <t>24/04/2026</t>
        </is>
      </c>
      <c r="F206" s="8" t="inlineStr">
        <is>
          <t>24/04/2026</t>
        </is>
      </c>
      <c r="G206" s="8" t="inlineStr">
        <is>
          <t>CR DEBIN SPOT</t>
        </is>
      </c>
      <c r="H206" s="8" t="inlineStr">
        <is>
          <t>108604</t>
        </is>
      </c>
      <c r="I206" s="8" t="inlineStr">
        <is>
          <t>No</t>
        </is>
      </c>
    </row>
    <row r="207">
      <c r="A207" s="8" t="inlineStr">
        <is>
          <t>24/04/2026</t>
        </is>
      </c>
      <c r="B207" s="8" t="inlineStr">
        <is>
          <t>PAV</t>
        </is>
      </c>
      <c r="C207" s="8" t="inlineStr">
        <is>
          <t>2300014101</t>
        </is>
      </c>
      <c r="D207" s="9" t="n">
        <v>6833.21</v>
      </c>
      <c r="E207" s="8" t="inlineStr">
        <is>
          <t>20/04/2026</t>
        </is>
      </c>
      <c r="F207" s="8" t="inlineStr">
        <is>
          <t>24/04/2026</t>
        </is>
      </c>
      <c r="G207" s="8" t="inlineStr">
        <is>
          <t>CR DEBIN SPOT - CUIT/CUIL: 30711424179</t>
        </is>
      </c>
      <c r="H207" s="8" t="inlineStr">
        <is>
          <t>107393</t>
        </is>
      </c>
      <c r="I207" s="8" t="inlineStr">
        <is>
          <t>Sí</t>
        </is>
      </c>
    </row>
    <row r="208">
      <c r="A208" s="8" t="inlineStr">
        <is>
          <t>24/04/2026</t>
        </is>
      </c>
      <c r="B208" s="8" t="inlineStr">
        <is>
          <t>PAV</t>
        </is>
      </c>
      <c r="C208" s="8" t="inlineStr">
        <is>
          <t>2300014102</t>
        </is>
      </c>
      <c r="D208" s="9" t="n">
        <v>71699.17</v>
      </c>
      <c r="E208" s="8" t="inlineStr">
        <is>
          <t>24/04/2026</t>
        </is>
      </c>
      <c r="F208" s="8" t="inlineStr">
        <is>
          <t>24/04/2026</t>
        </is>
      </c>
      <c r="G208" s="8" t="inlineStr">
        <is>
          <t>CR DEBIN SPOT</t>
        </is>
      </c>
      <c r="H208" s="8" t="inlineStr">
        <is>
          <t>108605</t>
        </is>
      </c>
      <c r="I208" s="8" t="inlineStr">
        <is>
          <t>No</t>
        </is>
      </c>
    </row>
    <row r="209">
      <c r="A209" s="8" t="inlineStr">
        <is>
          <t>25/04/2026</t>
        </is>
      </c>
      <c r="B209" s="8" t="inlineStr">
        <is>
          <t>PAV</t>
        </is>
      </c>
      <c r="C209" s="8" t="inlineStr">
        <is>
          <t>1900042935</t>
        </is>
      </c>
      <c r="D209" s="9" t="n">
        <v>120939.01</v>
      </c>
      <c r="E209" s="8" t="inlineStr">
        <is>
          <t>24/04/2026</t>
        </is>
      </c>
      <c r="F209" s="8" t="inlineStr">
        <is>
          <t>25/04/2026</t>
        </is>
      </c>
      <c r="G209" s="8" t="inlineStr">
        <is>
          <t>CR LIQ MASTER DEB 24H</t>
        </is>
      </c>
      <c r="H209" s="8" t="inlineStr">
        <is>
          <t>29841670</t>
        </is>
      </c>
      <c r="I209" s="8" t="inlineStr">
        <is>
          <t>Sí</t>
        </is>
      </c>
    </row>
    <row r="210">
      <c r="A210" s="8" t="inlineStr">
        <is>
          <t>25/04/2026</t>
        </is>
      </c>
      <c r="B210" s="8" t="inlineStr">
        <is>
          <t>PAV</t>
        </is>
      </c>
      <c r="C210" s="8" t="inlineStr">
        <is>
          <t>1900042936</t>
        </is>
      </c>
      <c r="D210" s="9" t="n">
        <v>60854.64</v>
      </c>
      <c r="E210" s="8" t="inlineStr">
        <is>
          <t>24/04/2026</t>
        </is>
      </c>
      <c r="F210" s="8" t="inlineStr">
        <is>
          <t>25/04/2026</t>
        </is>
      </c>
      <c r="G210" s="8" t="inlineStr">
        <is>
          <t>CR LIQ MASTER DEB 24H</t>
        </is>
      </c>
      <c r="H210" s="8" t="inlineStr">
        <is>
          <t>29841670</t>
        </is>
      </c>
      <c r="I210" s="8" t="inlineStr">
        <is>
          <t>Sí</t>
        </is>
      </c>
    </row>
    <row r="211">
      <c r="A211" s="8" t="inlineStr">
        <is>
          <t>25/04/2026</t>
        </is>
      </c>
      <c r="B211" s="8" t="inlineStr">
        <is>
          <t>PAV</t>
        </is>
      </c>
      <c r="C211" s="8" t="inlineStr">
        <is>
          <t>1900042937</t>
        </is>
      </c>
      <c r="D211" s="9" t="n">
        <v>21129.55</v>
      </c>
      <c r="E211" s="8" t="inlineStr">
        <is>
          <t>24/04/2026</t>
        </is>
      </c>
      <c r="F211" s="8" t="inlineStr">
        <is>
          <t>25/04/2026</t>
        </is>
      </c>
      <c r="G211" s="8" t="inlineStr">
        <is>
          <t>CR LIQ MASTERCARD 24H</t>
        </is>
      </c>
      <c r="H211" s="8" t="inlineStr">
        <is>
          <t>29841670</t>
        </is>
      </c>
      <c r="I211" s="8" t="inlineStr">
        <is>
          <t>Sí</t>
        </is>
      </c>
    </row>
    <row r="212">
      <c r="A212" s="8" t="inlineStr">
        <is>
          <t>25/04/2026</t>
        </is>
      </c>
      <c r="B212" s="8" t="inlineStr">
        <is>
          <t>PAV</t>
        </is>
      </c>
      <c r="C212" s="8" t="inlineStr">
        <is>
          <t>1800042828</t>
        </is>
      </c>
      <c r="D212" s="9" t="n">
        <v>60747.46</v>
      </c>
      <c r="E212" s="8" t="inlineStr">
        <is>
          <t>24/04/2026</t>
        </is>
      </c>
      <c r="F212" s="8" t="inlineStr">
        <is>
          <t>25/04/2026</t>
        </is>
      </c>
      <c r="G212" s="8" t="inlineStr">
        <is>
          <t>CR LIQ MASTERCARD 24H</t>
        </is>
      </c>
      <c r="H212" s="8" t="inlineStr">
        <is>
          <t>29841683</t>
        </is>
      </c>
      <c r="I212" s="8" t="inlineStr">
        <is>
          <t>Sí</t>
        </is>
      </c>
    </row>
    <row r="213">
      <c r="A213" s="8" t="inlineStr">
        <is>
          <t>25/04/2026</t>
        </is>
      </c>
      <c r="B213" s="8" t="inlineStr">
        <is>
          <t>PAV</t>
        </is>
      </c>
      <c r="C213" s="8" t="inlineStr">
        <is>
          <t>1800042831</t>
        </is>
      </c>
      <c r="D213" s="9" t="n">
        <v>47517.75</v>
      </c>
      <c r="E213" s="8" t="inlineStr">
        <is>
          <t>24/04/2026</t>
        </is>
      </c>
      <c r="F213" s="8" t="inlineStr">
        <is>
          <t>25/04/2026</t>
        </is>
      </c>
      <c r="G213" s="8" t="inlineStr">
        <is>
          <t>CR LIQ AMEX/MADQ FIS 24H</t>
        </is>
      </c>
      <c r="H213" s="8" t="inlineStr">
        <is>
          <t>29841683</t>
        </is>
      </c>
      <c r="I213" s="8" t="inlineStr">
        <is>
          <t>Sí</t>
        </is>
      </c>
    </row>
    <row r="214">
      <c r="A214" s="8" t="inlineStr">
        <is>
          <t>25/04/2026</t>
        </is>
      </c>
      <c r="B214" s="8" t="inlineStr">
        <is>
          <t>PAV</t>
        </is>
      </c>
      <c r="C214" s="8" t="inlineStr">
        <is>
          <t>1800042832</t>
        </is>
      </c>
      <c r="D214" s="9" t="n">
        <v>58384.89</v>
      </c>
      <c r="E214" s="8" t="inlineStr">
        <is>
          <t>24/04/2026</t>
        </is>
      </c>
      <c r="F214" s="8" t="inlineStr">
        <is>
          <t>25/04/2026</t>
        </is>
      </c>
      <c r="G214" s="8" t="inlineStr">
        <is>
          <t>CR LIQ MASTER DEB 24H</t>
        </is>
      </c>
      <c r="H214" s="8" t="inlineStr">
        <is>
          <t>29841683</t>
        </is>
      </c>
      <c r="I214" s="8" t="inlineStr">
        <is>
          <t>Sí</t>
        </is>
      </c>
    </row>
    <row r="215">
      <c r="A215" s="8" t="inlineStr">
        <is>
          <t>25/04/2026</t>
        </is>
      </c>
      <c r="B215" s="8" t="inlineStr">
        <is>
          <t>PAV</t>
        </is>
      </c>
      <c r="C215" s="8" t="inlineStr">
        <is>
          <t>2100058090</t>
        </is>
      </c>
      <c r="D215" s="9" t="n">
        <v>26738.64</v>
      </c>
      <c r="E215" s="8" t="inlineStr">
        <is>
          <t>20/04/2026</t>
        </is>
      </c>
      <c r="F215" s="8" t="inlineStr">
        <is>
          <t>25/04/2026</t>
        </is>
      </c>
      <c r="G215" s="8" t="inlineStr">
        <is>
          <t>CR DEBIN SPOT - CUIT/CUIL: 30711424179</t>
        </is>
      </c>
      <c r="H215" s="8" t="inlineStr">
        <is>
          <t>107382</t>
        </is>
      </c>
      <c r="I215" s="8" t="inlineStr">
        <is>
          <t>Sí</t>
        </is>
      </c>
    </row>
    <row r="216">
      <c r="A216" s="8" t="inlineStr">
        <is>
          <t>25/04/2026</t>
        </is>
      </c>
      <c r="B216" s="8" t="inlineStr">
        <is>
          <t>PAV</t>
        </is>
      </c>
      <c r="C216" s="8" t="inlineStr">
        <is>
          <t>2100058092</t>
        </is>
      </c>
      <c r="D216" s="9" t="n">
        <v>40107.96</v>
      </c>
      <c r="E216" s="8" t="inlineStr">
        <is>
          <t>20/04/2026</t>
        </is>
      </c>
      <c r="F216" s="8" t="inlineStr">
        <is>
          <t>25/04/2026</t>
        </is>
      </c>
      <c r="G216" s="8" t="inlineStr">
        <is>
          <t>CR DEBIN SPOT - CUIT/CUIL: 30711424179</t>
        </is>
      </c>
      <c r="H216" s="8" t="inlineStr">
        <is>
          <t>107394</t>
        </is>
      </c>
      <c r="I216" s="8" t="inlineStr">
        <is>
          <t>Sí</t>
        </is>
      </c>
    </row>
    <row r="217">
      <c r="A217" s="8" t="inlineStr">
        <is>
          <t>25/04/2026</t>
        </is>
      </c>
      <c r="B217" s="8" t="inlineStr">
        <is>
          <t>PAV</t>
        </is>
      </c>
      <c r="C217" s="8" t="inlineStr">
        <is>
          <t>1700036961</t>
        </is>
      </c>
      <c r="D217" s="9" t="n">
        <v>22777.36</v>
      </c>
      <c r="E217" s="8" t="inlineStr">
        <is>
          <t>20/04/2026</t>
        </is>
      </c>
      <c r="F217" s="8" t="inlineStr">
        <is>
          <t>25/04/2026</t>
        </is>
      </c>
      <c r="G217" s="8" t="inlineStr">
        <is>
          <t>CR DEBIN SPOT - CUIT/CUIL: 30711424179</t>
        </is>
      </c>
      <c r="H217" s="8" t="inlineStr">
        <is>
          <t>107390</t>
        </is>
      </c>
      <c r="I217" s="8" t="inlineStr">
        <is>
          <t>Sí</t>
        </is>
      </c>
    </row>
    <row r="218">
      <c r="A218" s="8" t="inlineStr">
        <is>
          <t>25/04/2026</t>
        </is>
      </c>
      <c r="B218" s="8" t="inlineStr">
        <is>
          <t>PAV</t>
        </is>
      </c>
      <c r="C218" s="8" t="inlineStr">
        <is>
          <t>1900042944</t>
        </is>
      </c>
      <c r="D218" s="9" t="n">
        <v>13369.32</v>
      </c>
      <c r="E218" s="8" t="inlineStr">
        <is>
          <t>20/04/2026</t>
        </is>
      </c>
      <c r="F218" s="8" t="inlineStr">
        <is>
          <t>25/04/2026</t>
        </is>
      </c>
      <c r="G218" s="8" t="inlineStr">
        <is>
          <t>CR DEBIN SPOT - CUIT/CUIL: 30711424179</t>
        </is>
      </c>
      <c r="H218" s="8" t="inlineStr">
        <is>
          <t>107450</t>
        </is>
      </c>
      <c r="I218" s="8" t="inlineStr">
        <is>
          <t>Sí</t>
        </is>
      </c>
    </row>
    <row r="219">
      <c r="A219" s="8" t="inlineStr">
        <is>
          <t>25/04/2026</t>
        </is>
      </c>
      <c r="B219" s="8" t="inlineStr">
        <is>
          <t>PAV</t>
        </is>
      </c>
      <c r="C219" s="8" t="inlineStr">
        <is>
          <t>1900042945</t>
        </is>
      </c>
      <c r="D219" s="9" t="n">
        <v>13369.32</v>
      </c>
      <c r="E219" s="8" t="inlineStr">
        <is>
          <t>20/04/2026</t>
        </is>
      </c>
      <c r="F219" s="8" t="inlineStr">
        <is>
          <t>25/04/2026</t>
        </is>
      </c>
      <c r="G219" s="8" t="inlineStr">
        <is>
          <t>CR DEBIN SPOT - CUIT/CUIL: 30711424179</t>
        </is>
      </c>
      <c r="H219" s="8" t="inlineStr">
        <is>
          <t>107340</t>
        </is>
      </c>
      <c r="I219" s="8" t="inlineStr">
        <is>
          <t>Sí</t>
        </is>
      </c>
    </row>
    <row r="220">
      <c r="A220" s="8" t="inlineStr">
        <is>
          <t>25/04/2026</t>
        </is>
      </c>
      <c r="B220" s="8" t="inlineStr">
        <is>
          <t>PAV</t>
        </is>
      </c>
      <c r="C220" s="8" t="inlineStr">
        <is>
          <t>1900042952</t>
        </is>
      </c>
      <c r="D220" s="9" t="n">
        <v>7724.5</v>
      </c>
      <c r="E220" s="8" t="inlineStr">
        <is>
          <t>20/04/2026</t>
        </is>
      </c>
      <c r="F220" s="8" t="inlineStr">
        <is>
          <t>25/04/2026</t>
        </is>
      </c>
      <c r="G220" s="8" t="inlineStr">
        <is>
          <t>CR DEBIN SPOT - CUIT/CUIL: 30711424179</t>
        </is>
      </c>
      <c r="H220" s="8" t="inlineStr">
        <is>
          <t>107383</t>
        </is>
      </c>
      <c r="I220" s="8" t="inlineStr">
        <is>
          <t>Sí</t>
        </is>
      </c>
    </row>
    <row r="221">
      <c r="A221" s="8" t="inlineStr">
        <is>
          <t>25/04/2026</t>
        </is>
      </c>
      <c r="B221" s="8" t="inlineStr">
        <is>
          <t>PAV</t>
        </is>
      </c>
      <c r="C221" s="8" t="inlineStr">
        <is>
          <t>2200022643</t>
        </is>
      </c>
      <c r="D221" s="9" t="n">
        <v>33175.72</v>
      </c>
      <c r="E221" s="8" t="inlineStr">
        <is>
          <t>20/04/2026</t>
        </is>
      </c>
      <c r="F221" s="8" t="inlineStr">
        <is>
          <t>25/04/2026</t>
        </is>
      </c>
      <c r="G221" s="8" t="inlineStr">
        <is>
          <t>CR DEBIN SPOT - CUIT/CUIL: 30711424179</t>
        </is>
      </c>
      <c r="H221" s="8" t="inlineStr">
        <is>
          <t>107427</t>
        </is>
      </c>
      <c r="I221" s="8" t="inlineStr">
        <is>
          <t>Sí</t>
        </is>
      </c>
    </row>
    <row r="222">
      <c r="A222" s="8" t="inlineStr">
        <is>
          <t>25/04/2026</t>
        </is>
      </c>
      <c r="B222" s="8" t="inlineStr">
        <is>
          <t>PAV</t>
        </is>
      </c>
      <c r="C222" s="8" t="inlineStr">
        <is>
          <t>3400068557</t>
        </is>
      </c>
      <c r="D222" s="9" t="n">
        <v>8417.719999999999</v>
      </c>
      <c r="E222" s="8" t="inlineStr">
        <is>
          <t>20/04/2026</t>
        </is>
      </c>
      <c r="F222" s="8" t="inlineStr">
        <is>
          <t>25/04/2026</t>
        </is>
      </c>
      <c r="G222" s="8" t="inlineStr">
        <is>
          <t>CR DEBIN SPOT - CUIT/CUIL: 30711424179</t>
        </is>
      </c>
      <c r="H222" s="8" t="inlineStr">
        <is>
          <t>107336</t>
        </is>
      </c>
      <c r="I222" s="8" t="inlineStr">
        <is>
          <t>Sí</t>
        </is>
      </c>
    </row>
    <row r="223">
      <c r="A223" s="8" t="inlineStr">
        <is>
          <t>25/04/2026</t>
        </is>
      </c>
      <c r="B223" s="8" t="inlineStr">
        <is>
          <t>PAV</t>
        </is>
      </c>
      <c r="C223" s="8" t="inlineStr">
        <is>
          <t>1800042860</t>
        </is>
      </c>
      <c r="D223" s="9" t="n">
        <v>4456.44</v>
      </c>
      <c r="E223" s="8" t="inlineStr">
        <is>
          <t>20/04/2026</t>
        </is>
      </c>
      <c r="F223" s="8" t="inlineStr">
        <is>
          <t>25/04/2026</t>
        </is>
      </c>
      <c r="G223" s="8" t="inlineStr">
        <is>
          <t>CR DEBIN SPOT - CUIT/CUIL: 30711424179</t>
        </is>
      </c>
      <c r="H223" s="8" t="inlineStr">
        <is>
          <t>107418</t>
        </is>
      </c>
      <c r="I223" s="8" t="inlineStr">
        <is>
          <t>Sí</t>
        </is>
      </c>
    </row>
    <row r="224">
      <c r="A224" s="8" t="inlineStr">
        <is>
          <t>25/04/2026</t>
        </is>
      </c>
      <c r="B224" s="8" t="inlineStr">
        <is>
          <t>PAV</t>
        </is>
      </c>
      <c r="C224" s="8" t="inlineStr">
        <is>
          <t>1800042861</t>
        </is>
      </c>
      <c r="D224" s="9" t="n">
        <v>24758</v>
      </c>
      <c r="E224" s="8" t="inlineStr">
        <is>
          <t>20/04/2026</t>
        </is>
      </c>
      <c r="F224" s="8" t="inlineStr">
        <is>
          <t>25/04/2026</t>
        </is>
      </c>
      <c r="G224" s="8" t="inlineStr">
        <is>
          <t>CR DEBIN SPOT - CUIT/CUIL: 30711424179</t>
        </is>
      </c>
      <c r="H224" s="8" t="inlineStr">
        <is>
          <t>107413</t>
        </is>
      </c>
      <c r="I224" s="8" t="inlineStr">
        <is>
          <t>Sí</t>
        </is>
      </c>
    </row>
    <row r="225">
      <c r="A225" s="8" t="inlineStr">
        <is>
          <t>25/04/2026</t>
        </is>
      </c>
      <c r="B225" s="8" t="inlineStr">
        <is>
          <t>PAV</t>
        </is>
      </c>
      <c r="C225" s="8" t="inlineStr">
        <is>
          <t>1900042962</t>
        </is>
      </c>
      <c r="D225" s="9" t="n">
        <v>11388.68</v>
      </c>
      <c r="E225" s="8" t="inlineStr">
        <is>
          <t>20/04/2026</t>
        </is>
      </c>
      <c r="F225" s="8" t="inlineStr">
        <is>
          <t>25/04/2026</t>
        </is>
      </c>
      <c r="G225" s="8" t="inlineStr">
        <is>
          <t>CR DEBIN SPOT - CUIT/CUIL: 30711424179</t>
        </is>
      </c>
      <c r="H225" s="8" t="inlineStr">
        <is>
          <t>107349</t>
        </is>
      </c>
      <c r="I225" s="8" t="inlineStr">
        <is>
          <t>Sí</t>
        </is>
      </c>
    </row>
    <row r="226">
      <c r="A226" s="8" t="inlineStr">
        <is>
          <t>25/04/2026</t>
        </is>
      </c>
      <c r="B226" s="8" t="inlineStr">
        <is>
          <t>PAV</t>
        </is>
      </c>
      <c r="C226" s="8" t="inlineStr">
        <is>
          <t>2300014150</t>
        </is>
      </c>
      <c r="D226" s="9" t="n">
        <v>34166.04</v>
      </c>
      <c r="E226" s="8" t="inlineStr">
        <is>
          <t>20/04/2026</t>
        </is>
      </c>
      <c r="F226" s="8" t="inlineStr">
        <is>
          <t>25/04/2026</t>
        </is>
      </c>
      <c r="G226" s="8" t="inlineStr">
        <is>
          <t>CR DEBIN SPOT - CUIT/CUIL: 30711424179</t>
        </is>
      </c>
      <c r="H226" s="8" t="inlineStr">
        <is>
          <t>107426</t>
        </is>
      </c>
      <c r="I226" s="8" t="inlineStr">
        <is>
          <t>Sí</t>
        </is>
      </c>
    </row>
    <row r="227">
      <c r="A227" s="8" t="inlineStr">
        <is>
          <t>25/04/2026</t>
        </is>
      </c>
      <c r="B227" s="8" t="inlineStr">
        <is>
          <t>PAV</t>
        </is>
      </c>
      <c r="C227" s="8" t="inlineStr">
        <is>
          <t>3400068571</t>
        </is>
      </c>
      <c r="D227" s="9" t="n">
        <v>45455.69</v>
      </c>
      <c r="E227" s="8" t="inlineStr">
        <is>
          <t>20/04/2026</t>
        </is>
      </c>
      <c r="F227" s="8" t="inlineStr">
        <is>
          <t>25/04/2026</t>
        </is>
      </c>
      <c r="G227" s="8" t="inlineStr">
        <is>
          <t>CR DEBIN SPOT - CUIT/CUIL: 30711424179</t>
        </is>
      </c>
      <c r="H227" s="8" t="inlineStr">
        <is>
          <t>107448</t>
        </is>
      </c>
      <c r="I227" s="8" t="inlineStr">
        <is>
          <t>Sí</t>
        </is>
      </c>
    </row>
    <row r="228">
      <c r="A228" s="8" t="inlineStr">
        <is>
          <t>25/04/2026</t>
        </is>
      </c>
      <c r="B228" s="8" t="inlineStr">
        <is>
          <t>PAV</t>
        </is>
      </c>
      <c r="C228" s="8" t="inlineStr">
        <is>
          <t>3400068573</t>
        </is>
      </c>
      <c r="D228" s="9" t="n">
        <v>18915.11</v>
      </c>
      <c r="E228" s="8" t="inlineStr">
        <is>
          <t>20/04/2026</t>
        </is>
      </c>
      <c r="F228" s="8" t="inlineStr">
        <is>
          <t>25/04/2026</t>
        </is>
      </c>
      <c r="G228" s="8" t="inlineStr">
        <is>
          <t>CR DEBIN SPOT - CUIT/CUIL: 30711424179</t>
        </is>
      </c>
      <c r="H228" s="8" t="inlineStr">
        <is>
          <t>107406</t>
        </is>
      </c>
      <c r="I228" s="8" t="inlineStr">
        <is>
          <t>Sí</t>
        </is>
      </c>
    </row>
    <row r="229">
      <c r="A229" s="8" t="inlineStr">
        <is>
          <t>26/04/2026</t>
        </is>
      </c>
      <c r="B229" s="8" t="inlineStr">
        <is>
          <t>PAV</t>
        </is>
      </c>
      <c r="C229" s="8" t="inlineStr">
        <is>
          <t>2300014165</t>
        </is>
      </c>
      <c r="D229" s="9" t="n">
        <v>121314.12</v>
      </c>
      <c r="E229" s="8" t="inlineStr">
        <is>
          <t>24/04/2026</t>
        </is>
      </c>
      <c r="F229" s="8" t="inlineStr">
        <is>
          <t>26/04/2026</t>
        </is>
      </c>
      <c r="G229" s="8" t="inlineStr">
        <is>
          <t>CR LIQ MASTER DEB 24H</t>
        </is>
      </c>
      <c r="H229" s="8" t="inlineStr">
        <is>
          <t>32032899</t>
        </is>
      </c>
      <c r="I229" s="8" t="inlineStr">
        <is>
          <t>Sí</t>
        </is>
      </c>
    </row>
    <row r="230">
      <c r="A230" s="8" t="inlineStr">
        <is>
          <t>26/04/2026</t>
        </is>
      </c>
      <c r="B230" s="8" t="inlineStr">
        <is>
          <t>PAV</t>
        </is>
      </c>
      <c r="C230" s="8" t="inlineStr">
        <is>
          <t>2300014166</t>
        </is>
      </c>
      <c r="D230" s="9" t="n">
        <v>41672.17</v>
      </c>
      <c r="E230" s="8" t="inlineStr">
        <is>
          <t>24/04/2026</t>
        </is>
      </c>
      <c r="F230" s="8" t="inlineStr">
        <is>
          <t>26/04/2026</t>
        </is>
      </c>
      <c r="G230" s="8" t="inlineStr">
        <is>
          <t>CR LIQ MASTERCARD 24H</t>
        </is>
      </c>
      <c r="H230" s="8" t="inlineStr">
        <is>
          <t>32032899</t>
        </is>
      </c>
      <c r="I230" s="8" t="inlineStr">
        <is>
          <t>Sí</t>
        </is>
      </c>
    </row>
    <row r="231">
      <c r="A231" s="8" t="inlineStr">
        <is>
          <t>26/04/2026</t>
        </is>
      </c>
      <c r="B231" s="8" t="inlineStr">
        <is>
          <t>PAV</t>
        </is>
      </c>
      <c r="C231" s="8" t="inlineStr">
        <is>
          <t>2300014167</t>
        </is>
      </c>
      <c r="D231" s="9" t="n">
        <v>291440.76</v>
      </c>
      <c r="E231" s="8" t="inlineStr">
        <is>
          <t>24/04/2026</t>
        </is>
      </c>
      <c r="F231" s="8" t="inlineStr">
        <is>
          <t>26/04/2026</t>
        </is>
      </c>
      <c r="G231" s="8" t="inlineStr">
        <is>
          <t>CR LIQ MASTER DEB 24H</t>
        </is>
      </c>
      <c r="H231" s="8" t="inlineStr">
        <is>
          <t>32032899</t>
        </is>
      </c>
      <c r="I231" s="8" t="inlineStr">
        <is>
          <t>Sí</t>
        </is>
      </c>
    </row>
    <row r="232">
      <c r="A232" s="8" t="inlineStr">
        <is>
          <t>26/04/2026</t>
        </is>
      </c>
      <c r="B232" s="8" t="inlineStr">
        <is>
          <t>PAV</t>
        </is>
      </c>
      <c r="C232" s="8" t="inlineStr">
        <is>
          <t>2100058113</t>
        </is>
      </c>
      <c r="D232" s="9" t="n">
        <v>8912.879999999999</v>
      </c>
      <c r="E232" s="8" t="inlineStr">
        <is>
          <t>20/04/2026</t>
        </is>
      </c>
      <c r="F232" s="8" t="inlineStr">
        <is>
          <t>26/04/2026</t>
        </is>
      </c>
      <c r="G232" s="8" t="inlineStr">
        <is>
          <t>CR DEBIN SPOT - CUIT/CUIL: 30711424179</t>
        </is>
      </c>
      <c r="H232" s="8" t="inlineStr">
        <is>
          <t>107437</t>
        </is>
      </c>
      <c r="I232" s="8" t="inlineStr">
        <is>
          <t>Sí</t>
        </is>
      </c>
    </row>
    <row r="233">
      <c r="A233" s="8" t="inlineStr">
        <is>
          <t>26/04/2026</t>
        </is>
      </c>
      <c r="B233" s="8" t="inlineStr">
        <is>
          <t>PAV</t>
        </is>
      </c>
      <c r="C233" s="8" t="inlineStr">
        <is>
          <t>2200022662</t>
        </is>
      </c>
      <c r="D233" s="9" t="n">
        <v>52184.78</v>
      </c>
      <c r="E233" s="8" t="inlineStr">
        <is>
          <t>20/04/2026</t>
        </is>
      </c>
      <c r="F233" s="8" t="inlineStr">
        <is>
          <t>26/04/2026</t>
        </is>
      </c>
      <c r="G233" s="8" t="inlineStr">
        <is>
          <t>CR LIQ MASTERCARD 24H</t>
        </is>
      </c>
      <c r="H233" s="8" t="inlineStr">
        <is>
          <t>31995644</t>
        </is>
      </c>
      <c r="I233" s="8" t="inlineStr">
        <is>
          <t>Sí</t>
        </is>
      </c>
    </row>
    <row r="234">
      <c r="A234" s="8" t="inlineStr">
        <is>
          <t>26/04/2026</t>
        </is>
      </c>
      <c r="B234" s="8" t="inlineStr">
        <is>
          <t>PAV</t>
        </is>
      </c>
      <c r="C234" s="8" t="inlineStr">
        <is>
          <t>2300014174</t>
        </is>
      </c>
      <c r="D234" s="9" t="n">
        <v>26738.64</v>
      </c>
      <c r="E234" s="8" t="inlineStr">
        <is>
          <t>20/04/2026</t>
        </is>
      </c>
      <c r="F234" s="8" t="inlineStr">
        <is>
          <t>26/04/2026</t>
        </is>
      </c>
      <c r="G234" s="8" t="inlineStr">
        <is>
          <t>CR DEBIN SPOT - CUIT/CUIL: 30711424179</t>
        </is>
      </c>
      <c r="H234" s="8" t="inlineStr">
        <is>
          <t>107377</t>
        </is>
      </c>
      <c r="I234" s="8" t="inlineStr">
        <is>
          <t>Sí</t>
        </is>
      </c>
    </row>
    <row r="235">
      <c r="A235" s="8" t="inlineStr">
        <is>
          <t>26/04/2026</t>
        </is>
      </c>
      <c r="B235" s="8" t="inlineStr">
        <is>
          <t>PAV</t>
        </is>
      </c>
      <c r="C235" s="8" t="inlineStr">
        <is>
          <t>2100058124</t>
        </is>
      </c>
      <c r="D235" s="9" t="n">
        <v>14854.8</v>
      </c>
      <c r="E235" s="8" t="inlineStr">
        <is>
          <t>20/04/2026</t>
        </is>
      </c>
      <c r="F235" s="8" t="inlineStr">
        <is>
          <t>26/04/2026</t>
        </is>
      </c>
      <c r="G235" s="8" t="inlineStr">
        <is>
          <t>CR DEBIN SPOT - CUIT/CUIL: 30711424179</t>
        </is>
      </c>
      <c r="H235" s="8" t="inlineStr">
        <is>
          <t>107405</t>
        </is>
      </c>
      <c r="I235" s="8" t="inlineStr">
        <is>
          <t>Sí</t>
        </is>
      </c>
    </row>
    <row r="236">
      <c r="A236" s="8" t="inlineStr">
        <is>
          <t>26/04/2026</t>
        </is>
      </c>
      <c r="B236" s="8" t="inlineStr">
        <is>
          <t>PAV</t>
        </is>
      </c>
      <c r="C236" s="8" t="inlineStr">
        <is>
          <t>1900042981</t>
        </is>
      </c>
      <c r="D236" s="9" t="n">
        <v>38127.32</v>
      </c>
      <c r="E236" s="8" t="inlineStr">
        <is>
          <t>20/04/2026</t>
        </is>
      </c>
      <c r="F236" s="8" t="inlineStr">
        <is>
          <t>26/04/2026</t>
        </is>
      </c>
      <c r="G236" s="8" t="inlineStr">
        <is>
          <t>CR DEBIN SPOT - CUIT/CUIL: 30711424179</t>
        </is>
      </c>
      <c r="H236" s="8" t="inlineStr">
        <is>
          <t>107439</t>
        </is>
      </c>
      <c r="I236" s="8" t="inlineStr">
        <is>
          <t>Sí</t>
        </is>
      </c>
    </row>
    <row r="237">
      <c r="A237" s="8" t="inlineStr">
        <is>
          <t>26/04/2026</t>
        </is>
      </c>
      <c r="B237" s="8" t="inlineStr">
        <is>
          <t>PAV</t>
        </is>
      </c>
      <c r="C237" s="8" t="inlineStr">
        <is>
          <t>2100058128</t>
        </is>
      </c>
      <c r="D237" s="9" t="n">
        <v>26738.64</v>
      </c>
      <c r="E237" s="8" t="inlineStr">
        <is>
          <t>20/04/2026</t>
        </is>
      </c>
      <c r="F237" s="8" t="inlineStr">
        <is>
          <t>26/04/2026</t>
        </is>
      </c>
      <c r="G237" s="8" t="inlineStr">
        <is>
          <t>CR DEBIN SPOT - CUIT/CUIL: 30711424179</t>
        </is>
      </c>
      <c r="H237" s="8" t="inlineStr">
        <is>
          <t>107380</t>
        </is>
      </c>
      <c r="I237" s="8" t="inlineStr">
        <is>
          <t>Sí</t>
        </is>
      </c>
    </row>
    <row r="238">
      <c r="A238" s="8" t="inlineStr">
        <is>
          <t>26/04/2026</t>
        </is>
      </c>
      <c r="B238" s="8" t="inlineStr">
        <is>
          <t>PAV</t>
        </is>
      </c>
      <c r="C238" s="8" t="inlineStr">
        <is>
          <t>2300014181</t>
        </is>
      </c>
      <c r="D238" s="9" t="n">
        <v>23767.68</v>
      </c>
      <c r="E238" s="8" t="inlineStr">
        <is>
          <t>20/04/2026</t>
        </is>
      </c>
      <c r="F238" s="8" t="inlineStr">
        <is>
          <t>26/04/2026</t>
        </is>
      </c>
      <c r="G238" s="8" t="inlineStr">
        <is>
          <t>CR DEBIN SPOT - CUIT/CUIL: 30711424179</t>
        </is>
      </c>
      <c r="H238" s="8" t="inlineStr">
        <is>
          <t>107414</t>
        </is>
      </c>
      <c r="I238" s="8" t="inlineStr">
        <is>
          <t>Sí</t>
        </is>
      </c>
    </row>
    <row r="239">
      <c r="A239" s="8" t="inlineStr">
        <is>
          <t>26/04/2026</t>
        </is>
      </c>
      <c r="B239" s="8" t="inlineStr">
        <is>
          <t>PAV</t>
        </is>
      </c>
      <c r="C239" s="8" t="inlineStr">
        <is>
          <t>1900042987</t>
        </is>
      </c>
      <c r="D239" s="9" t="n">
        <v>11388.68</v>
      </c>
      <c r="E239" s="8" t="inlineStr">
        <is>
          <t>20/04/2026</t>
        </is>
      </c>
      <c r="F239" s="8" t="inlineStr">
        <is>
          <t>26/04/2026</t>
        </is>
      </c>
      <c r="G239" s="8" t="inlineStr">
        <is>
          <t>CR DEBIN SPOT - CUIT/CUIL: 30711424179</t>
        </is>
      </c>
      <c r="H239" s="8" t="inlineStr">
        <is>
          <t>107504</t>
        </is>
      </c>
      <c r="I239" s="8" t="inlineStr">
        <is>
          <t>Sí</t>
        </is>
      </c>
    </row>
    <row r="240">
      <c r="A240" s="8" t="inlineStr">
        <is>
          <t>26/04/2026</t>
        </is>
      </c>
      <c r="B240" s="8" t="inlineStr">
        <is>
          <t>PAV</t>
        </is>
      </c>
      <c r="C240" s="8" t="inlineStr">
        <is>
          <t>2300014182</t>
        </is>
      </c>
      <c r="D240" s="9" t="n">
        <v>31303.04</v>
      </c>
      <c r="E240" s="8" t="inlineStr">
        <is>
          <t>20/04/2026</t>
        </is>
      </c>
      <c r="F240" s="8" t="inlineStr">
        <is>
          <t>26/04/2026</t>
        </is>
      </c>
      <c r="G240" s="8" t="inlineStr">
        <is>
          <t>CR LIQ MASTER DEB 24H</t>
        </is>
      </c>
      <c r="H240" s="8" t="inlineStr">
        <is>
          <t>32032899</t>
        </is>
      </c>
      <c r="I240" s="8" t="inlineStr">
        <is>
          <t>Sí</t>
        </is>
      </c>
    </row>
    <row r="241">
      <c r="A241" s="8" t="inlineStr">
        <is>
          <t>26/04/2026</t>
        </is>
      </c>
      <c r="B241" s="8" t="inlineStr">
        <is>
          <t>PAV</t>
        </is>
      </c>
      <c r="C241" s="8" t="inlineStr">
        <is>
          <t>2300014183</t>
        </is>
      </c>
      <c r="D241" s="9" t="n">
        <v>95474.32000000001</v>
      </c>
      <c r="E241" s="8" t="inlineStr">
        <is>
          <t>20/04/2026</t>
        </is>
      </c>
      <c r="F241" s="8" t="inlineStr">
        <is>
          <t>26/04/2026</t>
        </is>
      </c>
      <c r="G241" s="8" t="inlineStr">
        <is>
          <t>CR LIQ MASTERCARD 24H</t>
        </is>
      </c>
      <c r="H241" s="8" t="inlineStr">
        <is>
          <t>32032899</t>
        </is>
      </c>
      <c r="I241" s="8" t="inlineStr">
        <is>
          <t>Sí</t>
        </is>
      </c>
    </row>
    <row r="242">
      <c r="A242" s="8" t="inlineStr">
        <is>
          <t>26/04/2026</t>
        </is>
      </c>
      <c r="B242" s="8" t="inlineStr">
        <is>
          <t>PAV</t>
        </is>
      </c>
      <c r="C242" s="8" t="inlineStr">
        <is>
          <t>2300014184</t>
        </is>
      </c>
      <c r="D242" s="9" t="n">
        <v>121916.69</v>
      </c>
      <c r="E242" s="8" t="inlineStr">
        <is>
          <t>20/04/2026</t>
        </is>
      </c>
      <c r="F242" s="8" t="inlineStr">
        <is>
          <t>26/04/2026</t>
        </is>
      </c>
      <c r="G242" s="8" t="inlineStr">
        <is>
          <t>CR LIQ MASTER DEB 24H</t>
        </is>
      </c>
      <c r="H242" s="8" t="inlineStr">
        <is>
          <t>32032899</t>
        </is>
      </c>
      <c r="I242" s="8" t="inlineStr">
        <is>
          <t>Sí</t>
        </is>
      </c>
    </row>
    <row r="243">
      <c r="A243" s="8" t="inlineStr">
        <is>
          <t>26/04/2026</t>
        </is>
      </c>
      <c r="B243" s="8" t="inlineStr">
        <is>
          <t>PAV</t>
        </is>
      </c>
      <c r="C243" s="8" t="inlineStr">
        <is>
          <t>2300014185</t>
        </is>
      </c>
      <c r="D243" s="9" t="n">
        <v>219782.47</v>
      </c>
      <c r="E243" s="8" t="inlineStr">
        <is>
          <t>21/04/2026</t>
        </is>
      </c>
      <c r="F243" s="8" t="inlineStr">
        <is>
          <t>26/04/2026</t>
        </is>
      </c>
      <c r="G243" s="8" t="inlineStr">
        <is>
          <t>CR LIQ MASTER DEB 24H</t>
        </is>
      </c>
      <c r="H243" s="8" t="inlineStr">
        <is>
          <t>32032899</t>
        </is>
      </c>
      <c r="I243" s="8" t="inlineStr">
        <is>
          <t>Sí</t>
        </is>
      </c>
    </row>
    <row r="244">
      <c r="A244" s="8" t="inlineStr">
        <is>
          <t>26/04/2026</t>
        </is>
      </c>
      <c r="B244" s="8" t="inlineStr">
        <is>
          <t>PAV</t>
        </is>
      </c>
      <c r="C244" s="8" t="inlineStr">
        <is>
          <t>2300014186</t>
        </is>
      </c>
      <c r="D244" s="9" t="n">
        <v>169334.17</v>
      </c>
      <c r="E244" s="8" t="inlineStr">
        <is>
          <t>22/04/2026</t>
        </is>
      </c>
      <c r="F244" s="8" t="inlineStr">
        <is>
          <t>26/04/2026</t>
        </is>
      </c>
      <c r="G244" s="8" t="inlineStr">
        <is>
          <t>CR LIQ MASTERCARD 24H</t>
        </is>
      </c>
      <c r="H244" s="8" t="inlineStr">
        <is>
          <t>32032899</t>
        </is>
      </c>
      <c r="I244" s="8" t="inlineStr">
        <is>
          <t>Sí</t>
        </is>
      </c>
    </row>
    <row r="245">
      <c r="A245" s="8" t="inlineStr">
        <is>
          <t>26/04/2026</t>
        </is>
      </c>
      <c r="B245" s="8" t="inlineStr">
        <is>
          <t>PAV</t>
        </is>
      </c>
      <c r="C245" s="8" t="inlineStr">
        <is>
          <t>2300014187</t>
        </is>
      </c>
      <c r="D245" s="9" t="n">
        <v>111455.52</v>
      </c>
      <c r="E245" s="8" t="inlineStr">
        <is>
          <t>22/04/2026</t>
        </is>
      </c>
      <c r="F245" s="8" t="inlineStr">
        <is>
          <t>26/04/2026</t>
        </is>
      </c>
      <c r="G245" s="8" t="inlineStr">
        <is>
          <t>CR LIQ MASTER DEB 24H</t>
        </is>
      </c>
      <c r="H245" s="8" t="inlineStr">
        <is>
          <t>32032899</t>
        </is>
      </c>
      <c r="I245" s="8" t="inlineStr">
        <is>
          <t>Sí</t>
        </is>
      </c>
    </row>
    <row r="246">
      <c r="A246" s="8" t="inlineStr">
        <is>
          <t>26/04/2026</t>
        </is>
      </c>
      <c r="B246" s="8" t="inlineStr">
        <is>
          <t>PAV</t>
        </is>
      </c>
      <c r="C246" s="8" t="inlineStr">
        <is>
          <t>2300014188</t>
        </is>
      </c>
      <c r="D246" s="9" t="n">
        <v>289588.82</v>
      </c>
      <c r="E246" s="8" t="inlineStr">
        <is>
          <t>23/04/2026</t>
        </is>
      </c>
      <c r="F246" s="8" t="inlineStr">
        <is>
          <t>26/04/2026</t>
        </is>
      </c>
      <c r="G246" s="8" t="inlineStr">
        <is>
          <t>CR LIQ MASTER DEB 24H</t>
        </is>
      </c>
      <c r="H246" s="8" t="inlineStr">
        <is>
          <t>32032899</t>
        </is>
      </c>
      <c r="I246" s="8" t="inlineStr">
        <is>
          <t>Sí</t>
        </is>
      </c>
    </row>
    <row r="247">
      <c r="A247" s="8" t="inlineStr">
        <is>
          <t>26/04/2026</t>
        </is>
      </c>
      <c r="B247" s="8" t="inlineStr">
        <is>
          <t>PAV</t>
        </is>
      </c>
      <c r="C247" s="8" t="inlineStr">
        <is>
          <t>2300014189</t>
        </is>
      </c>
      <c r="D247" s="9" t="n">
        <v>119961.33</v>
      </c>
      <c r="E247" s="8" t="inlineStr">
        <is>
          <t>24/04/2026</t>
        </is>
      </c>
      <c r="F247" s="8" t="inlineStr">
        <is>
          <t>26/04/2026</t>
        </is>
      </c>
      <c r="G247" s="8" t="inlineStr">
        <is>
          <t>CR LIQ MASTER DEB 24H</t>
        </is>
      </c>
      <c r="H247" s="8" t="inlineStr">
        <is>
          <t>32032899</t>
        </is>
      </c>
      <c r="I247" s="8" t="inlineStr">
        <is>
          <t>Sí</t>
        </is>
      </c>
    </row>
    <row r="248">
      <c r="A248" s="8" t="inlineStr">
        <is>
          <t>26/04/2026</t>
        </is>
      </c>
      <c r="B248" s="8" t="inlineStr">
        <is>
          <t>PAV</t>
        </is>
      </c>
      <c r="C248" s="8" t="inlineStr">
        <is>
          <t>1700036995</t>
        </is>
      </c>
      <c r="D248" s="9" t="n">
        <v>34166.04</v>
      </c>
      <c r="E248" s="8" t="inlineStr">
        <is>
          <t>20/04/2026</t>
        </is>
      </c>
      <c r="F248" s="8" t="inlineStr">
        <is>
          <t>26/04/2026</t>
        </is>
      </c>
      <c r="G248" s="8" t="inlineStr">
        <is>
          <t>CR DEBIN SPOT - CUIT/CUIL: 30711424179</t>
        </is>
      </c>
      <c r="H248" s="8" t="inlineStr">
        <is>
          <t>107364</t>
        </is>
      </c>
      <c r="I248" s="8" t="inlineStr">
        <is>
          <t>Sí</t>
        </is>
      </c>
    </row>
    <row r="249">
      <c r="A249" s="8" t="inlineStr">
        <is>
          <t>26/04/2026</t>
        </is>
      </c>
      <c r="B249" s="8" t="inlineStr">
        <is>
          <t>PAV</t>
        </is>
      </c>
      <c r="C249" s="8" t="inlineStr">
        <is>
          <t>2100058144</t>
        </is>
      </c>
      <c r="D249" s="9" t="n">
        <v>24758</v>
      </c>
      <c r="E249" s="8" t="inlineStr">
        <is>
          <t>20/04/2026</t>
        </is>
      </c>
      <c r="F249" s="8" t="inlineStr">
        <is>
          <t>26/04/2026</t>
        </is>
      </c>
      <c r="G249" s="8" t="inlineStr">
        <is>
          <t>CR DEBIN SPOT - CUIT/CUIL: 30711424179</t>
        </is>
      </c>
      <c r="H249" s="8" t="inlineStr">
        <is>
          <t>107488</t>
        </is>
      </c>
      <c r="I249" s="8" t="inlineStr">
        <is>
          <t>Sí</t>
        </is>
      </c>
    </row>
    <row r="250">
      <c r="A250" s="8" t="inlineStr">
        <is>
          <t>26/04/2026</t>
        </is>
      </c>
      <c r="B250" s="8" t="inlineStr">
        <is>
          <t>PAV</t>
        </is>
      </c>
      <c r="C250" s="8" t="inlineStr">
        <is>
          <t>1900042994</t>
        </is>
      </c>
      <c r="D250" s="9" t="n">
        <v>27629.93</v>
      </c>
      <c r="E250" s="8" t="inlineStr">
        <is>
          <t>20/04/2026</t>
        </is>
      </c>
      <c r="F250" s="8" t="inlineStr">
        <is>
          <t>26/04/2026</t>
        </is>
      </c>
      <c r="G250" s="8" t="inlineStr">
        <is>
          <t>CR DEBIN SPOT - CUIT/CUIL: 30711424179</t>
        </is>
      </c>
      <c r="H250" s="8" t="inlineStr">
        <is>
          <t>107451</t>
        </is>
      </c>
      <c r="I250" s="8" t="inlineStr">
        <is>
          <t>Sí</t>
        </is>
      </c>
    </row>
    <row r="251">
      <c r="A251" s="8" t="inlineStr">
        <is>
          <t>26/04/2026</t>
        </is>
      </c>
      <c r="B251" s="8" t="inlineStr">
        <is>
          <t>PAV</t>
        </is>
      </c>
      <c r="C251" s="8" t="inlineStr">
        <is>
          <t>2200022663</t>
        </is>
      </c>
      <c r="D251" s="9" t="n">
        <v>133062.24</v>
      </c>
      <c r="E251" s="8" t="inlineStr">
        <is>
          <t>24/04/2026</t>
        </is>
      </c>
      <c r="F251" s="8" t="inlineStr">
        <is>
          <t>26/04/2026</t>
        </is>
      </c>
      <c r="G251" s="8" t="inlineStr">
        <is>
          <t>CR LIQ MASTERCARD 24H</t>
        </is>
      </c>
      <c r="H251" s="8" t="inlineStr">
        <is>
          <t>31995644</t>
        </is>
      </c>
      <c r="I251" s="8" t="inlineStr">
        <is>
          <t>Sí</t>
        </is>
      </c>
    </row>
    <row r="252">
      <c r="A252" s="8" t="inlineStr">
        <is>
          <t>26/04/2026</t>
        </is>
      </c>
      <c r="B252" s="8" t="inlineStr">
        <is>
          <t>PAV</t>
        </is>
      </c>
      <c r="C252" s="8" t="inlineStr">
        <is>
          <t>2100058153</t>
        </is>
      </c>
      <c r="D252" s="9" t="n">
        <v>26738.64</v>
      </c>
      <c r="E252" s="8" t="inlineStr">
        <is>
          <t>20/04/2026</t>
        </is>
      </c>
      <c r="F252" s="8" t="inlineStr">
        <is>
          <t>26/04/2026</t>
        </is>
      </c>
      <c r="G252" s="8" t="inlineStr">
        <is>
          <t>CR DEBIN SPOT - CUIT/CUIL: 30711424179</t>
        </is>
      </c>
      <c r="H252" s="8" t="inlineStr">
        <is>
          <t>107421</t>
        </is>
      </c>
      <c r="I252" s="8" t="inlineStr">
        <is>
          <t>Sí</t>
        </is>
      </c>
    </row>
    <row r="253">
      <c r="A253" s="8" t="inlineStr">
        <is>
          <t>26/04/2026</t>
        </is>
      </c>
      <c r="B253" s="8" t="inlineStr">
        <is>
          <t>PAV</t>
        </is>
      </c>
      <c r="C253" s="8" t="inlineStr">
        <is>
          <t>1800042914</t>
        </is>
      </c>
      <c r="D253" s="9" t="n">
        <v>22777.36</v>
      </c>
      <c r="E253" s="8" t="inlineStr">
        <is>
          <t>20/04/2026</t>
        </is>
      </c>
      <c r="F253" s="8" t="inlineStr">
        <is>
          <t>26/04/2026</t>
        </is>
      </c>
      <c r="G253" s="8" t="inlineStr">
        <is>
          <t>CR DEBIN SPOT - CUIT/CUIL: 30711424179</t>
        </is>
      </c>
      <c r="H253" s="8" t="inlineStr">
        <is>
          <t>107471</t>
        </is>
      </c>
      <c r="I253" s="8" t="inlineStr">
        <is>
          <t>Sí</t>
        </is>
      </c>
    </row>
    <row r="254">
      <c r="A254" s="8" t="inlineStr">
        <is>
          <t>26/04/2026</t>
        </is>
      </c>
      <c r="B254" s="8" t="inlineStr">
        <is>
          <t>PAV</t>
        </is>
      </c>
      <c r="C254" s="8" t="inlineStr">
        <is>
          <t>1800042917</t>
        </is>
      </c>
      <c r="D254" s="9" t="n">
        <v>13369.32</v>
      </c>
      <c r="E254" s="8" t="inlineStr">
        <is>
          <t>20/04/2026</t>
        </is>
      </c>
      <c r="F254" s="8" t="inlineStr">
        <is>
          <t>26/04/2026</t>
        </is>
      </c>
      <c r="G254" s="8" t="inlineStr">
        <is>
          <t>CR DEBIN SPOT - CUIT/CUIL: 30711424179</t>
        </is>
      </c>
      <c r="H254" s="8" t="inlineStr">
        <is>
          <t>107348</t>
        </is>
      </c>
      <c r="I254" s="8" t="inlineStr">
        <is>
          <t>Sí</t>
        </is>
      </c>
    </row>
    <row r="255">
      <c r="A255" s="8" t="inlineStr">
        <is>
          <t>26/04/2026</t>
        </is>
      </c>
      <c r="B255" s="8" t="inlineStr">
        <is>
          <t>PAV</t>
        </is>
      </c>
      <c r="C255" s="8" t="inlineStr">
        <is>
          <t>3400068645</t>
        </is>
      </c>
      <c r="D255" s="9" t="n">
        <v>22876.39</v>
      </c>
      <c r="E255" s="8" t="inlineStr">
        <is>
          <t>20/04/2026</t>
        </is>
      </c>
      <c r="F255" s="8" t="inlineStr">
        <is>
          <t>26/04/2026</t>
        </is>
      </c>
      <c r="G255" s="8" t="inlineStr">
        <is>
          <t>CR DEBIN SPOT - CUIT/CUIL: 30711424179</t>
        </is>
      </c>
      <c r="H255" s="8" t="inlineStr">
        <is>
          <t>107412</t>
        </is>
      </c>
      <c r="I255" s="8" t="inlineStr">
        <is>
          <t>Sí</t>
        </is>
      </c>
    </row>
    <row r="256">
      <c r="A256" s="8" t="inlineStr">
        <is>
          <t>26/04/2026</t>
        </is>
      </c>
      <c r="B256" s="8" t="inlineStr">
        <is>
          <t>PAV</t>
        </is>
      </c>
      <c r="C256" s="8" t="inlineStr">
        <is>
          <t>3400068655</t>
        </is>
      </c>
      <c r="D256" s="9" t="n">
        <v>11388.68</v>
      </c>
      <c r="E256" s="8" t="inlineStr">
        <is>
          <t>20/04/2026</t>
        </is>
      </c>
      <c r="F256" s="8" t="inlineStr">
        <is>
          <t>26/04/2026</t>
        </is>
      </c>
      <c r="G256" s="8" t="inlineStr">
        <is>
          <t>CR DEBIN SPOT - CUIT/CUIL: 30711424179</t>
        </is>
      </c>
      <c r="H256" s="8" t="inlineStr">
        <is>
          <t>107366</t>
        </is>
      </c>
      <c r="I256" s="8" t="inlineStr">
        <is>
          <t>Sí</t>
        </is>
      </c>
    </row>
  </sheetData>
  <autoFilter ref="A1:I2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3" customWidth="1" min="10" max="10"/>
    <col width="26" customWidth="1" min="11" max="11"/>
  </cols>
  <sheetData>
    <row r="1">
      <c r="A1" s="7" t="inlineStr">
        <is>
          <t>Fecha QR</t>
        </is>
      </c>
      <c r="B1" s="7" t="inlineStr">
        <is>
          <t>Estado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En Flexxus</t>
        </is>
      </c>
      <c r="K1" s="7" t="inlineStr">
        <is>
          <t>Estado Match</t>
        </is>
      </c>
    </row>
    <row r="2">
      <c r="A2" s="8" t="inlineStr">
        <is>
          <t>26/04/2026</t>
        </is>
      </c>
      <c r="B2" s="8" t="inlineStr">
        <is>
          <t>Completa</t>
        </is>
      </c>
      <c r="C2" s="8" t="inlineStr">
        <is>
          <t>29841705</t>
        </is>
      </c>
      <c r="D2" s="8" t="inlineStr">
        <is>
          <t>Local 6</t>
        </is>
      </c>
      <c r="E2" s="8" t="inlineStr">
        <is>
          <t>69333384</t>
        </is>
      </c>
      <c r="F2" s="8" t="inlineStr">
        <is>
          <t>3737</t>
        </is>
      </c>
      <c r="G2" s="9" t="n">
        <v>24600</v>
      </c>
      <c r="H2" s="9" t="n">
        <v>24361.87</v>
      </c>
      <c r="I2" s="8" t="inlineStr">
        <is>
          <t>Sí</t>
        </is>
      </c>
      <c r="J2" s="8" t="inlineStr">
        <is>
          <t>Sí</t>
        </is>
      </c>
      <c r="K2" s="8" t="inlineStr">
        <is>
          <t>OK - en banco y Flexxus</t>
        </is>
      </c>
    </row>
    <row r="3">
      <c r="A3" s="8" t="inlineStr">
        <is>
          <t>26/04/2026</t>
        </is>
      </c>
      <c r="B3" s="8" t="inlineStr">
        <is>
          <t>Completa</t>
        </is>
      </c>
      <c r="C3" s="8" t="inlineStr">
        <is>
          <t>29841705</t>
        </is>
      </c>
      <c r="D3" s="8" t="inlineStr">
        <is>
          <t>Local 6</t>
        </is>
      </c>
      <c r="E3" s="8" t="inlineStr">
        <is>
          <t>69333384</t>
        </is>
      </c>
      <c r="F3" s="8" t="inlineStr">
        <is>
          <t>3736</t>
        </is>
      </c>
      <c r="G3" s="9" t="n">
        <v>11500</v>
      </c>
      <c r="H3" s="9" t="n">
        <v>11388.68</v>
      </c>
      <c r="I3" s="8" t="inlineStr">
        <is>
          <t>Sí</t>
        </is>
      </c>
      <c r="J3" s="8" t="inlineStr">
        <is>
          <t>Sí</t>
        </is>
      </c>
      <c r="K3" s="8" t="inlineStr">
        <is>
          <t>OK - en banco y Flexxus</t>
        </is>
      </c>
    </row>
    <row r="4">
      <c r="A4" s="8" t="inlineStr">
        <is>
          <t>26/04/2026</t>
        </is>
      </c>
      <c r="B4" s="8" t="inlineStr">
        <is>
          <t>Completa</t>
        </is>
      </c>
      <c r="C4" s="8" t="inlineStr">
        <is>
          <t>32032899</t>
        </is>
      </c>
      <c r="D4" s="8" t="inlineStr">
        <is>
          <t>Local 8</t>
        </is>
      </c>
      <c r="E4" s="8" t="inlineStr">
        <is>
          <t>69443515</t>
        </is>
      </c>
      <c r="F4" s="8" t="inlineStr">
        <is>
          <t>1354</t>
        </is>
      </c>
      <c r="G4" s="9" t="n">
        <v>60600</v>
      </c>
      <c r="H4" s="9" t="n">
        <v>60013.39</v>
      </c>
      <c r="I4" s="8" t="inlineStr">
        <is>
          <t>No</t>
        </is>
      </c>
      <c r="J4" s="8" t="inlineStr">
        <is>
          <t>No</t>
        </is>
      </c>
      <c r="K4" s="8" t="inlineStr">
        <is>
          <t>Revisar</t>
        </is>
      </c>
    </row>
    <row r="5">
      <c r="A5" s="8" t="inlineStr">
        <is>
          <t>26/04/2026</t>
        </is>
      </c>
      <c r="B5" s="8" t="inlineStr">
        <is>
          <t>Completa</t>
        </is>
      </c>
      <c r="C5" s="8" t="inlineStr">
        <is>
          <t>32032899</t>
        </is>
      </c>
      <c r="D5" s="8" t="inlineStr">
        <is>
          <t>Local 8</t>
        </is>
      </c>
      <c r="E5" s="8" t="inlineStr">
        <is>
          <t>69443515</t>
        </is>
      </c>
      <c r="F5" s="8" t="inlineStr">
        <is>
          <t>1352</t>
        </is>
      </c>
      <c r="G5" s="9" t="n">
        <v>58200</v>
      </c>
      <c r="H5" s="9" t="n">
        <v>57636.62</v>
      </c>
      <c r="I5" s="8" t="inlineStr">
        <is>
          <t>No</t>
        </is>
      </c>
      <c r="J5" s="8" t="inlineStr">
        <is>
          <t>No</t>
        </is>
      </c>
      <c r="K5" s="8" t="inlineStr">
        <is>
          <t>Revisar</t>
        </is>
      </c>
    </row>
    <row r="6">
      <c r="A6" s="8" t="inlineStr">
        <is>
          <t>26/04/2026</t>
        </is>
      </c>
      <c r="B6" s="8" t="inlineStr">
        <is>
          <t>Completa</t>
        </is>
      </c>
      <c r="C6" s="8" t="inlineStr">
        <is>
          <t>29841705</t>
        </is>
      </c>
      <c r="D6" s="8" t="inlineStr">
        <is>
          <t>Local 6</t>
        </is>
      </c>
      <c r="E6" s="8" t="inlineStr">
        <is>
          <t>69333384</t>
        </is>
      </c>
      <c r="F6" s="8" t="inlineStr">
        <is>
          <t>3735</t>
        </is>
      </c>
      <c r="G6" s="9" t="n">
        <v>67700</v>
      </c>
      <c r="H6" s="9" t="n">
        <v>67044.66</v>
      </c>
      <c r="I6" s="8" t="inlineStr">
        <is>
          <t>No</t>
        </is>
      </c>
      <c r="J6" s="8" t="inlineStr">
        <is>
          <t>No</t>
        </is>
      </c>
      <c r="K6" s="8" t="inlineStr">
        <is>
          <t>Revisar</t>
        </is>
      </c>
    </row>
    <row r="7">
      <c r="A7" s="8" t="inlineStr">
        <is>
          <t>26/04/2026</t>
        </is>
      </c>
      <c r="B7" s="8" t="inlineStr">
        <is>
          <t>Completa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69343173</t>
        </is>
      </c>
      <c r="F7" s="8" t="inlineStr">
        <is>
          <t>1694</t>
        </is>
      </c>
      <c r="G7" s="9" t="n">
        <v>7700</v>
      </c>
      <c r="H7" s="9" t="n">
        <v>7625.46</v>
      </c>
      <c r="I7" s="8" t="inlineStr">
        <is>
          <t>Sí</t>
        </is>
      </c>
      <c r="J7" s="8" t="inlineStr">
        <is>
          <t>Sí</t>
        </is>
      </c>
      <c r="K7" s="8" t="inlineStr">
        <is>
          <t>OK - en banco y Flexxus</t>
        </is>
      </c>
    </row>
    <row r="8">
      <c r="A8" s="8" t="inlineStr">
        <is>
          <t>26/04/2026</t>
        </is>
      </c>
      <c r="B8" s="8" t="inlineStr">
        <is>
          <t>Completa</t>
        </is>
      </c>
      <c r="C8" s="8" t="inlineStr">
        <is>
          <t>29841705</t>
        </is>
      </c>
      <c r="D8" s="8" t="inlineStr">
        <is>
          <t>Local 6</t>
        </is>
      </c>
      <c r="E8" s="8" t="inlineStr">
        <is>
          <t>69333384</t>
        </is>
      </c>
      <c r="F8" s="8" t="inlineStr">
        <is>
          <t>3734</t>
        </is>
      </c>
      <c r="G8" s="9" t="n">
        <v>70200</v>
      </c>
      <c r="H8" s="9" t="n">
        <v>69520.46000000001</v>
      </c>
      <c r="I8" s="8" t="inlineStr">
        <is>
          <t>No</t>
        </is>
      </c>
      <c r="J8" s="8" t="inlineStr">
        <is>
          <t>No</t>
        </is>
      </c>
      <c r="K8" s="8" t="inlineStr">
        <is>
          <t>Revisar</t>
        </is>
      </c>
    </row>
    <row r="9">
      <c r="A9" s="8" t="inlineStr">
        <is>
          <t>26/04/2026</t>
        </is>
      </c>
      <c r="B9" s="8" t="inlineStr">
        <is>
          <t>Completa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69343173</t>
        </is>
      </c>
      <c r="F9" s="8" t="inlineStr">
        <is>
          <t>1692</t>
        </is>
      </c>
      <c r="G9" s="9" t="n">
        <v>65200</v>
      </c>
      <c r="H9" s="9" t="n">
        <v>64568.86</v>
      </c>
      <c r="I9" s="8" t="inlineStr">
        <is>
          <t>No</t>
        </is>
      </c>
      <c r="J9" s="8" t="inlineStr">
        <is>
          <t>No</t>
        </is>
      </c>
      <c r="K9" s="8" t="inlineStr">
        <is>
          <t>Revisar</t>
        </is>
      </c>
    </row>
    <row r="10">
      <c r="A10" s="8" t="inlineStr">
        <is>
          <t>26/04/2026</t>
        </is>
      </c>
      <c r="B10" s="8" t="inlineStr">
        <is>
          <t>Completa</t>
        </is>
      </c>
      <c r="C10" s="8" t="inlineStr">
        <is>
          <t>29841670</t>
        </is>
      </c>
      <c r="D10" s="8" t="inlineStr">
        <is>
          <t>Local 5</t>
        </is>
      </c>
      <c r="E10" s="8" t="inlineStr">
        <is>
          <t>69343173</t>
        </is>
      </c>
      <c r="F10" s="8" t="inlineStr">
        <is>
          <t>1691</t>
        </is>
      </c>
      <c r="G10" s="9" t="n">
        <v>34800</v>
      </c>
      <c r="H10" s="9" t="n">
        <v>34463.14</v>
      </c>
      <c r="I10" s="8" t="inlineStr">
        <is>
          <t>No</t>
        </is>
      </c>
      <c r="J10" s="8" t="inlineStr">
        <is>
          <t>No</t>
        </is>
      </c>
      <c r="K10" s="8" t="inlineStr">
        <is>
          <t>Revisar</t>
        </is>
      </c>
    </row>
    <row r="11">
      <c r="A11" s="8" t="inlineStr">
        <is>
          <t>26/04/2026</t>
        </is>
      </c>
      <c r="B11" s="8" t="inlineStr">
        <is>
          <t>Completa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69467539</t>
        </is>
      </c>
      <c r="F11" s="8" t="inlineStr">
        <is>
          <t>397</t>
        </is>
      </c>
      <c r="G11" s="9" t="n">
        <v>27000</v>
      </c>
      <c r="H11" s="9" t="n">
        <v>26738.64</v>
      </c>
      <c r="I11" s="8" t="inlineStr">
        <is>
          <t>Sí</t>
        </is>
      </c>
      <c r="J11" s="8" t="inlineStr">
        <is>
          <t>Sí</t>
        </is>
      </c>
      <c r="K11" s="8" t="inlineStr">
        <is>
          <t>OK - en banco y Flexxus</t>
        </is>
      </c>
    </row>
    <row r="12">
      <c r="A12" s="8" t="inlineStr">
        <is>
          <t>26/04/2026</t>
        </is>
      </c>
      <c r="B12" s="8" t="inlineStr">
        <is>
          <t>Completa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69333384</t>
        </is>
      </c>
      <c r="F12" s="8" t="inlineStr">
        <is>
          <t>3733</t>
        </is>
      </c>
      <c r="G12" s="9" t="n">
        <v>27100</v>
      </c>
      <c r="H12" s="9" t="n">
        <v>26837.67</v>
      </c>
      <c r="I12" s="8" t="inlineStr">
        <is>
          <t>No</t>
        </is>
      </c>
      <c r="J12" s="8" t="inlineStr">
        <is>
          <t>No</t>
        </is>
      </c>
      <c r="K12" s="8" t="inlineStr">
        <is>
          <t>Revisar</t>
        </is>
      </c>
    </row>
    <row r="13">
      <c r="A13" s="8" t="inlineStr">
        <is>
          <t>26/04/2026</t>
        </is>
      </c>
      <c r="B13" s="8" t="inlineStr">
        <is>
          <t>Completa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69333384</t>
        </is>
      </c>
      <c r="F13" s="8" t="inlineStr">
        <is>
          <t>3732</t>
        </is>
      </c>
      <c r="G13" s="9" t="n">
        <v>39100</v>
      </c>
      <c r="H13" s="9" t="n">
        <v>38721.51</v>
      </c>
      <c r="I13" s="8" t="inlineStr">
        <is>
          <t>No</t>
        </is>
      </c>
      <c r="J13" s="8" t="inlineStr">
        <is>
          <t>No</t>
        </is>
      </c>
      <c r="K13" s="8" t="inlineStr">
        <is>
          <t>Revisar</t>
        </is>
      </c>
    </row>
    <row r="14">
      <c r="A14" s="8" t="inlineStr">
        <is>
          <t>26/04/2026</t>
        </is>
      </c>
      <c r="B14" s="8" t="inlineStr">
        <is>
          <t>Completa</t>
        </is>
      </c>
      <c r="C14" s="8" t="inlineStr">
        <is>
          <t>29841670</t>
        </is>
      </c>
      <c r="D14" s="8" t="inlineStr">
        <is>
          <t>Local 5</t>
        </is>
      </c>
      <c r="E14" s="8" t="inlineStr">
        <is>
          <t>69343173</t>
        </is>
      </c>
      <c r="F14" s="8" t="inlineStr">
        <is>
          <t>1690</t>
        </is>
      </c>
      <c r="G14" s="9" t="n">
        <v>11800</v>
      </c>
      <c r="H14" s="9" t="n">
        <v>11685.78</v>
      </c>
      <c r="I14" s="8" t="inlineStr">
        <is>
          <t>No</t>
        </is>
      </c>
      <c r="J14" s="8" t="inlineStr">
        <is>
          <t>No</t>
        </is>
      </c>
      <c r="K14" s="8" t="inlineStr">
        <is>
          <t>Revisar</t>
        </is>
      </c>
    </row>
    <row r="15">
      <c r="A15" s="8" t="inlineStr">
        <is>
          <t>26/04/2026</t>
        </is>
      </c>
      <c r="B15" s="8" t="inlineStr">
        <is>
          <t>Completa</t>
        </is>
      </c>
      <c r="C15" s="8" t="inlineStr">
        <is>
          <t>29841670</t>
        </is>
      </c>
      <c r="D15" s="8" t="inlineStr">
        <is>
          <t>Local 5</t>
        </is>
      </c>
      <c r="E15" s="8" t="inlineStr">
        <is>
          <t>69467539</t>
        </is>
      </c>
      <c r="F15" s="8" t="inlineStr">
        <is>
          <t>395</t>
        </is>
      </c>
      <c r="G15" s="9" t="n">
        <v>12500</v>
      </c>
      <c r="H15" s="9" t="n">
        <v>12379</v>
      </c>
      <c r="I15" s="8" t="inlineStr">
        <is>
          <t>Sí</t>
        </is>
      </c>
      <c r="J15" s="8" t="inlineStr">
        <is>
          <t>Sí</t>
        </is>
      </c>
      <c r="K15" s="8" t="inlineStr">
        <is>
          <t>OK - en banco y Flexxus</t>
        </is>
      </c>
    </row>
    <row r="16">
      <c r="A16" s="8" t="inlineStr">
        <is>
          <t>26/04/2026</t>
        </is>
      </c>
      <c r="B16" s="8" t="inlineStr">
        <is>
          <t>Completa</t>
        </is>
      </c>
      <c r="C16" s="8" t="inlineStr">
        <is>
          <t>29841670</t>
        </is>
      </c>
      <c r="D16" s="8" t="inlineStr">
        <is>
          <t>Local 5</t>
        </is>
      </c>
      <c r="E16" s="8" t="inlineStr">
        <is>
          <t>69467539</t>
        </is>
      </c>
      <c r="F16" s="8" t="inlineStr">
        <is>
          <t>393</t>
        </is>
      </c>
      <c r="G16" s="9" t="n">
        <v>55500</v>
      </c>
      <c r="H16" s="9" t="n">
        <v>54962.76</v>
      </c>
      <c r="I16" s="8" t="inlineStr">
        <is>
          <t>No</t>
        </is>
      </c>
      <c r="J16" s="8" t="inlineStr">
        <is>
          <t>No</t>
        </is>
      </c>
      <c r="K16" s="8" t="inlineStr">
        <is>
          <t>Revisar</t>
        </is>
      </c>
    </row>
    <row r="17">
      <c r="A17" s="8" t="inlineStr">
        <is>
          <t>26/04/2026</t>
        </is>
      </c>
      <c r="B17" s="8" t="inlineStr">
        <is>
          <t>Completa</t>
        </is>
      </c>
      <c r="C17" s="8" t="inlineStr">
        <is>
          <t>29841670</t>
        </is>
      </c>
      <c r="D17" s="8" t="inlineStr">
        <is>
          <t>Local 5</t>
        </is>
      </c>
      <c r="E17" s="8" t="inlineStr">
        <is>
          <t>39943954</t>
        </is>
      </c>
      <c r="F17" s="8" t="inlineStr">
        <is>
          <t>493</t>
        </is>
      </c>
      <c r="G17" s="9" t="n">
        <v>27900</v>
      </c>
      <c r="H17" s="9" t="n">
        <v>27629.93</v>
      </c>
      <c r="I17" s="8" t="inlineStr">
        <is>
          <t>Sí</t>
        </is>
      </c>
      <c r="J17" s="8" t="inlineStr">
        <is>
          <t>Sí</t>
        </is>
      </c>
      <c r="K17" s="8" t="inlineStr">
        <is>
          <t>OK - en banco y Flexxus</t>
        </is>
      </c>
    </row>
    <row r="18">
      <c r="A18" s="8" t="inlineStr">
        <is>
          <t>26/04/2026</t>
        </is>
      </c>
      <c r="B18" s="8" t="inlineStr">
        <is>
          <t>Completa</t>
        </is>
      </c>
      <c r="C18" s="8" t="inlineStr">
        <is>
          <t>29841705</t>
        </is>
      </c>
      <c r="D18" s="8" t="inlineStr">
        <is>
          <t>Local 6</t>
        </is>
      </c>
      <c r="E18" s="8" t="inlineStr">
        <is>
          <t>69333384</t>
        </is>
      </c>
      <c r="F18" s="8" t="inlineStr">
        <is>
          <t>3731</t>
        </is>
      </c>
      <c r="G18" s="9" t="n">
        <v>24000</v>
      </c>
      <c r="H18" s="9" t="n">
        <v>23767.68</v>
      </c>
      <c r="I18" s="8" t="inlineStr">
        <is>
          <t>Sí</t>
        </is>
      </c>
      <c r="J18" s="8" t="inlineStr">
        <is>
          <t>Sí</t>
        </is>
      </c>
      <c r="K18" s="8" t="inlineStr">
        <is>
          <t>OK - en banco y Flexxus</t>
        </is>
      </c>
    </row>
    <row r="19">
      <c r="A19" s="8" t="inlineStr">
        <is>
          <t>26/04/2026</t>
        </is>
      </c>
      <c r="B19" s="8" t="inlineStr">
        <is>
          <t>Completa</t>
        </is>
      </c>
      <c r="C19" s="8" t="inlineStr">
        <is>
          <t>29841705</t>
        </is>
      </c>
      <c r="D19" s="8" t="inlineStr">
        <is>
          <t>Local 6</t>
        </is>
      </c>
      <c r="E19" s="8" t="inlineStr">
        <is>
          <t>69333384</t>
        </is>
      </c>
      <c r="F19" s="8" t="inlineStr">
        <is>
          <t>3729</t>
        </is>
      </c>
      <c r="G19" s="9" t="n">
        <v>70600</v>
      </c>
      <c r="H19" s="9" t="n">
        <v>69916.59</v>
      </c>
      <c r="I19" s="8" t="inlineStr">
        <is>
          <t>No</t>
        </is>
      </c>
      <c r="J19" s="8" t="inlineStr">
        <is>
          <t>No</t>
        </is>
      </c>
      <c r="K19" s="8" t="inlineStr">
        <is>
          <t>Revisar</t>
        </is>
      </c>
    </row>
    <row r="20">
      <c r="A20" s="8" t="inlineStr">
        <is>
          <t>26/04/2026</t>
        </is>
      </c>
      <c r="B20" s="8" t="inlineStr">
        <is>
          <t>Completa</t>
        </is>
      </c>
      <c r="C20" s="8" t="inlineStr">
        <is>
          <t>29841705</t>
        </is>
      </c>
      <c r="D20" s="8" t="inlineStr">
        <is>
          <t>Local 6</t>
        </is>
      </c>
      <c r="E20" s="8" t="inlineStr">
        <is>
          <t>69333384</t>
        </is>
      </c>
      <c r="F20" s="8" t="inlineStr">
        <is>
          <t>3726</t>
        </is>
      </c>
      <c r="G20" s="9" t="n">
        <v>23100</v>
      </c>
      <c r="H20" s="9" t="n">
        <v>22876.39</v>
      </c>
      <c r="I20" s="8" t="inlineStr">
        <is>
          <t>Sí</t>
        </is>
      </c>
      <c r="J20" s="8" t="inlineStr">
        <is>
          <t>Sí</t>
        </is>
      </c>
      <c r="K20" s="8" t="inlineStr">
        <is>
          <t>OK - en banco y Flexxus</t>
        </is>
      </c>
    </row>
    <row r="21">
      <c r="A21" s="8" t="inlineStr">
        <is>
          <t>26/04/2026</t>
        </is>
      </c>
      <c r="B21" s="8" t="inlineStr">
        <is>
          <t>Completa</t>
        </is>
      </c>
      <c r="C21" s="8" t="inlineStr">
        <is>
          <t>29841670</t>
        </is>
      </c>
      <c r="D21" s="8" t="inlineStr">
        <is>
          <t>Local 5</t>
        </is>
      </c>
      <c r="E21" s="8" t="inlineStr">
        <is>
          <t>69343173</t>
        </is>
      </c>
      <c r="F21" s="8" t="inlineStr">
        <is>
          <t>1688</t>
        </is>
      </c>
      <c r="G21" s="9" t="n">
        <v>13500</v>
      </c>
      <c r="H21" s="9" t="n">
        <v>13369.32</v>
      </c>
      <c r="I21" s="8" t="inlineStr">
        <is>
          <t>Sí</t>
        </is>
      </c>
      <c r="J21" s="8" t="inlineStr">
        <is>
          <t>Sí</t>
        </is>
      </c>
      <c r="K21" s="8" t="inlineStr">
        <is>
          <t>OK - en banco y Flexxus</t>
        </is>
      </c>
    </row>
    <row r="22">
      <c r="A22" s="8" t="inlineStr">
        <is>
          <t>26/04/2026</t>
        </is>
      </c>
      <c r="B22" s="8" t="inlineStr">
        <is>
          <t>Completa</t>
        </is>
      </c>
      <c r="C22" s="8" t="inlineStr">
        <is>
          <t>29841670</t>
        </is>
      </c>
      <c r="D22" s="8" t="inlineStr">
        <is>
          <t>Local 5</t>
        </is>
      </c>
      <c r="E22" s="8" t="inlineStr">
        <is>
          <t>69205177</t>
        </is>
      </c>
      <c r="F22" s="8" t="inlineStr">
        <is>
          <t>1423</t>
        </is>
      </c>
      <c r="G22" s="9" t="n">
        <v>34500</v>
      </c>
      <c r="H22" s="9" t="n">
        <v>34166.04</v>
      </c>
      <c r="I22" s="8" t="inlineStr">
        <is>
          <t>Sí</t>
        </is>
      </c>
      <c r="J22" s="8" t="inlineStr">
        <is>
          <t>Sí</t>
        </is>
      </c>
      <c r="K22" s="8" t="inlineStr">
        <is>
          <t>OK - en banco y Flexxus</t>
        </is>
      </c>
    </row>
    <row r="23">
      <c r="A23" s="8" t="inlineStr">
        <is>
          <t>26/04/2026</t>
        </is>
      </c>
      <c r="B23" s="8" t="inlineStr">
        <is>
          <t>Completa</t>
        </is>
      </c>
      <c r="C23" s="8" t="inlineStr">
        <is>
          <t>29841670</t>
        </is>
      </c>
      <c r="D23" s="8" t="inlineStr">
        <is>
          <t>Local 5</t>
        </is>
      </c>
      <c r="E23" s="8" t="inlineStr">
        <is>
          <t>69467539</t>
        </is>
      </c>
      <c r="F23" s="8" t="inlineStr">
        <is>
          <t>392</t>
        </is>
      </c>
      <c r="G23" s="9" t="n">
        <v>25000</v>
      </c>
      <c r="H23" s="9" t="n">
        <v>24758</v>
      </c>
      <c r="I23" s="8" t="inlineStr">
        <is>
          <t>Sí</t>
        </is>
      </c>
      <c r="J23" s="8" t="inlineStr">
        <is>
          <t>Sí</t>
        </is>
      </c>
      <c r="K23" s="8" t="inlineStr">
        <is>
          <t>OK - en banco y Flexxus</t>
        </is>
      </c>
    </row>
    <row r="24">
      <c r="A24" s="8" t="inlineStr">
        <is>
          <t>26/04/2026</t>
        </is>
      </c>
      <c r="B24" s="8" t="inlineStr">
        <is>
          <t>Completa</t>
        </is>
      </c>
      <c r="C24" s="8" t="inlineStr">
        <is>
          <t>29841670</t>
        </is>
      </c>
      <c r="D24" s="8" t="inlineStr">
        <is>
          <t>Local 5</t>
        </is>
      </c>
      <c r="E24" s="8" t="inlineStr">
        <is>
          <t>39943954</t>
        </is>
      </c>
      <c r="F24" s="8" t="inlineStr">
        <is>
          <t>486</t>
        </is>
      </c>
      <c r="G24" s="9" t="n">
        <v>11500</v>
      </c>
      <c r="H24" s="9" t="n">
        <v>11388.68</v>
      </c>
      <c r="I24" s="8" t="inlineStr">
        <is>
          <t>Sí</t>
        </is>
      </c>
      <c r="J24" s="8" t="inlineStr">
        <is>
          <t>Sí</t>
        </is>
      </c>
      <c r="K24" s="8" t="inlineStr">
        <is>
          <t>OK - en banco y Flexxus</t>
        </is>
      </c>
    </row>
    <row r="25">
      <c r="A25" s="8" t="inlineStr">
        <is>
          <t>26/04/2026</t>
        </is>
      </c>
      <c r="B25" s="8" t="inlineStr">
        <is>
          <t>Completa</t>
        </is>
      </c>
      <c r="C25" s="8" t="inlineStr">
        <is>
          <t>29841705</t>
        </is>
      </c>
      <c r="D25" s="8" t="inlineStr">
        <is>
          <t>Local 6</t>
        </is>
      </c>
      <c r="E25" s="8" t="inlineStr">
        <is>
          <t>69333384</t>
        </is>
      </c>
      <c r="F25" s="8" t="inlineStr">
        <is>
          <t>3724</t>
        </is>
      </c>
      <c r="G25" s="9" t="n">
        <v>80500</v>
      </c>
      <c r="H25" s="9" t="n">
        <v>79720.75999999999</v>
      </c>
      <c r="I25" s="8" t="inlineStr">
        <is>
          <t>No</t>
        </is>
      </c>
      <c r="J25" s="8" t="inlineStr">
        <is>
          <t>No</t>
        </is>
      </c>
      <c r="K25" s="8" t="inlineStr">
        <is>
          <t>Revisar</t>
        </is>
      </c>
    </row>
    <row r="26">
      <c r="A26" s="8" t="inlineStr">
        <is>
          <t>26/04/2026</t>
        </is>
      </c>
      <c r="B26" s="8" t="inlineStr">
        <is>
          <t>Completa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69443515</t>
        </is>
      </c>
      <c r="F26" s="8" t="inlineStr">
        <is>
          <t>1349</t>
        </is>
      </c>
      <c r="G26" s="9" t="n">
        <v>24000</v>
      </c>
      <c r="H26" s="9" t="n">
        <v>23767.68</v>
      </c>
      <c r="I26" s="8" t="inlineStr">
        <is>
          <t>Sí</t>
        </is>
      </c>
      <c r="J26" s="8" t="inlineStr">
        <is>
          <t>Sí</t>
        </is>
      </c>
      <c r="K26" s="8" t="inlineStr">
        <is>
          <t>OK - en banco y Flexxus</t>
        </is>
      </c>
    </row>
    <row r="27">
      <c r="A27" s="8" t="inlineStr">
        <is>
          <t>26/04/2026</t>
        </is>
      </c>
      <c r="B27" s="8" t="inlineStr">
        <is>
          <t>Completa</t>
        </is>
      </c>
      <c r="C27" s="8" t="inlineStr">
        <is>
          <t>29841670</t>
        </is>
      </c>
      <c r="D27" s="8" t="inlineStr">
        <is>
          <t>Local 5</t>
        </is>
      </c>
      <c r="E27" s="8" t="inlineStr">
        <is>
          <t>69205177</t>
        </is>
      </c>
      <c r="F27" s="8" t="inlineStr">
        <is>
          <t>1422</t>
        </is>
      </c>
      <c r="G27" s="9" t="n">
        <v>16800</v>
      </c>
      <c r="H27" s="9" t="n">
        <v>16637.38</v>
      </c>
      <c r="I27" s="8" t="inlineStr">
        <is>
          <t>No</t>
        </is>
      </c>
      <c r="J27" s="8" t="inlineStr">
        <is>
          <t>No</t>
        </is>
      </c>
      <c r="K27" s="8" t="inlineStr">
        <is>
          <t>Revisar</t>
        </is>
      </c>
    </row>
    <row r="28">
      <c r="A28" s="8" t="inlineStr">
        <is>
          <t>26/04/2026</t>
        </is>
      </c>
      <c r="B28" s="8" t="inlineStr">
        <is>
          <t>Completa</t>
        </is>
      </c>
      <c r="C28" s="8" t="inlineStr">
        <is>
          <t>32032899</t>
        </is>
      </c>
      <c r="D28" s="8" t="inlineStr">
        <is>
          <t>Local 8</t>
        </is>
      </c>
      <c r="E28" s="8" t="inlineStr">
        <is>
          <t>69443515</t>
        </is>
      </c>
      <c r="F28" s="8" t="inlineStr">
        <is>
          <t>1348</t>
        </is>
      </c>
      <c r="G28" s="9" t="n">
        <v>95000</v>
      </c>
      <c r="H28" s="9" t="n">
        <v>94080.39999999999</v>
      </c>
      <c r="I28" s="8" t="inlineStr">
        <is>
          <t>No</t>
        </is>
      </c>
      <c r="J28" s="8" t="inlineStr">
        <is>
          <t>No</t>
        </is>
      </c>
      <c r="K28" s="8" t="inlineStr">
        <is>
          <t>Revisar</t>
        </is>
      </c>
    </row>
    <row r="29">
      <c r="A29" s="8" t="inlineStr">
        <is>
          <t>26/04/2026</t>
        </is>
      </c>
      <c r="B29" s="8" t="inlineStr">
        <is>
          <t>Completa</t>
        </is>
      </c>
      <c r="C29" s="8" t="inlineStr">
        <is>
          <t>29841670</t>
        </is>
      </c>
      <c r="D29" s="8" t="inlineStr">
        <is>
          <t>Local 5</t>
        </is>
      </c>
      <c r="E29" s="8" t="inlineStr">
        <is>
          <t>69343173</t>
        </is>
      </c>
      <c r="F29" s="8" t="inlineStr">
        <is>
          <t>1686</t>
        </is>
      </c>
      <c r="G29" s="9" t="n">
        <v>43800</v>
      </c>
      <c r="H29" s="9" t="n">
        <v>43376.02</v>
      </c>
      <c r="I29" s="8" t="inlineStr">
        <is>
          <t>No</t>
        </is>
      </c>
      <c r="J29" s="8" t="inlineStr">
        <is>
          <t>No</t>
        </is>
      </c>
      <c r="K29" s="8" t="inlineStr">
        <is>
          <t>Revisar</t>
        </is>
      </c>
    </row>
    <row r="30">
      <c r="A30" s="8" t="inlineStr">
        <is>
          <t>26/04/2026</t>
        </is>
      </c>
      <c r="B30" s="8" t="inlineStr">
        <is>
          <t>Completa</t>
        </is>
      </c>
      <c r="C30" s="8" t="inlineStr">
        <is>
          <t>29841670</t>
        </is>
      </c>
      <c r="D30" s="8" t="inlineStr">
        <is>
          <t>Local 5</t>
        </is>
      </c>
      <c r="E30" s="8" t="inlineStr">
        <is>
          <t>69205177</t>
        </is>
      </c>
      <c r="F30" s="8" t="inlineStr">
        <is>
          <t>1421</t>
        </is>
      </c>
      <c r="G30" s="9" t="n">
        <v>13500</v>
      </c>
      <c r="H30" s="9" t="n">
        <v>13369.32</v>
      </c>
      <c r="I30" s="8" t="inlineStr">
        <is>
          <t>Sí</t>
        </is>
      </c>
      <c r="J30" s="8" t="inlineStr">
        <is>
          <t>Sí</t>
        </is>
      </c>
      <c r="K30" s="8" t="inlineStr">
        <is>
          <t>OK - en banco y Flexxus</t>
        </is>
      </c>
    </row>
    <row r="31">
      <c r="A31" s="8" t="inlineStr">
        <is>
          <t>26/04/2026</t>
        </is>
      </c>
      <c r="B31" s="8" t="inlineStr">
        <is>
          <t>Completa</t>
        </is>
      </c>
      <c r="C31" s="8" t="inlineStr">
        <is>
          <t>29841670</t>
        </is>
      </c>
      <c r="D31" s="8" t="inlineStr">
        <is>
          <t>Local 5</t>
        </is>
      </c>
      <c r="E31" s="8" t="inlineStr">
        <is>
          <t>69343173</t>
        </is>
      </c>
      <c r="F31" s="8" t="inlineStr">
        <is>
          <t>1685</t>
        </is>
      </c>
      <c r="G31" s="9" t="n">
        <v>14800</v>
      </c>
      <c r="H31" s="9" t="n">
        <v>14656.74</v>
      </c>
      <c r="I31" s="8" t="inlineStr">
        <is>
          <t>Sí</t>
        </is>
      </c>
      <c r="J31" s="8" t="inlineStr">
        <is>
          <t>Sí</t>
        </is>
      </c>
      <c r="K31" s="8" t="inlineStr">
        <is>
          <t>OK - en banco y Flexxus</t>
        </is>
      </c>
    </row>
    <row r="32">
      <c r="A32" s="8" t="inlineStr">
        <is>
          <t>26/04/2026</t>
        </is>
      </c>
      <c r="B32" s="8" t="inlineStr">
        <is>
          <t>Completa</t>
        </is>
      </c>
      <c r="C32" s="8" t="inlineStr">
        <is>
          <t>29841670</t>
        </is>
      </c>
      <c r="D32" s="8" t="inlineStr">
        <is>
          <t>Local 5</t>
        </is>
      </c>
      <c r="E32" s="8" t="inlineStr">
        <is>
          <t>69343173</t>
        </is>
      </c>
      <c r="F32" s="8" t="inlineStr">
        <is>
          <t>1684</t>
        </is>
      </c>
      <c r="G32" s="9" t="n">
        <v>23000</v>
      </c>
      <c r="H32" s="9" t="n">
        <v>22777.36</v>
      </c>
      <c r="I32" s="8" t="inlineStr">
        <is>
          <t>Sí</t>
        </is>
      </c>
      <c r="J32" s="8" t="inlineStr">
        <is>
          <t>Sí</t>
        </is>
      </c>
      <c r="K32" s="8" t="inlineStr">
        <is>
          <t>OK - en banco y Flexxus</t>
        </is>
      </c>
    </row>
    <row r="33">
      <c r="A33" s="8" t="inlineStr">
        <is>
          <t>26/04/2026</t>
        </is>
      </c>
      <c r="B33" s="8" t="inlineStr">
        <is>
          <t>Completa</t>
        </is>
      </c>
      <c r="C33" s="8" t="inlineStr">
        <is>
          <t>29841670</t>
        </is>
      </c>
      <c r="D33" s="8" t="inlineStr">
        <is>
          <t>Local 5</t>
        </is>
      </c>
      <c r="E33" s="8" t="inlineStr">
        <is>
          <t>69467539</t>
        </is>
      </c>
      <c r="F33" s="8" t="inlineStr">
        <is>
          <t>390</t>
        </is>
      </c>
      <c r="G33" s="9" t="n">
        <v>27000</v>
      </c>
      <c r="H33" s="9" t="n">
        <v>26738.64</v>
      </c>
      <c r="I33" s="8" t="inlineStr">
        <is>
          <t>Sí</t>
        </is>
      </c>
      <c r="J33" s="8" t="inlineStr">
        <is>
          <t>Sí</t>
        </is>
      </c>
      <c r="K33" s="8" t="inlineStr">
        <is>
          <t>OK - en banco y Flexxus</t>
        </is>
      </c>
    </row>
    <row r="34">
      <c r="A34" s="8" t="inlineStr">
        <is>
          <t>26/04/2026</t>
        </is>
      </c>
      <c r="B34" s="8" t="inlineStr">
        <is>
          <t>Completa</t>
        </is>
      </c>
      <c r="C34" s="8" t="inlineStr">
        <is>
          <t>29841670</t>
        </is>
      </c>
      <c r="D34" s="8" t="inlineStr">
        <is>
          <t>Local 5</t>
        </is>
      </c>
      <c r="E34" s="8" t="inlineStr">
        <is>
          <t>69343173</t>
        </is>
      </c>
      <c r="F34" s="8" t="inlineStr">
        <is>
          <t>1681</t>
        </is>
      </c>
      <c r="G34" s="9" t="n">
        <v>50000</v>
      </c>
      <c r="H34" s="9" t="n">
        <v>49516</v>
      </c>
      <c r="I34" s="8" t="inlineStr">
        <is>
          <t>Sí</t>
        </is>
      </c>
      <c r="J34" s="8" t="inlineStr">
        <is>
          <t>Sí</t>
        </is>
      </c>
      <c r="K34" s="8" t="inlineStr">
        <is>
          <t>OK - en banco y Flexxus</t>
        </is>
      </c>
    </row>
    <row r="35">
      <c r="A35" s="8" t="inlineStr">
        <is>
          <t>26/04/2026</t>
        </is>
      </c>
      <c r="B35" s="8" t="inlineStr">
        <is>
          <t>Completa</t>
        </is>
      </c>
      <c r="C35" s="8" t="inlineStr">
        <is>
          <t>29841670</t>
        </is>
      </c>
      <c r="D35" s="8" t="inlineStr">
        <is>
          <t>Local 5</t>
        </is>
      </c>
      <c r="E35" s="8" t="inlineStr">
        <is>
          <t>69467539</t>
        </is>
      </c>
      <c r="F35" s="8" t="inlineStr">
        <is>
          <t>389</t>
        </is>
      </c>
      <c r="G35" s="9" t="n">
        <v>51800</v>
      </c>
      <c r="H35" s="9" t="n">
        <v>51298.58</v>
      </c>
      <c r="I35" s="8" t="inlineStr">
        <is>
          <t>No</t>
        </is>
      </c>
      <c r="J35" s="8" t="inlineStr">
        <is>
          <t>No</t>
        </is>
      </c>
      <c r="K35" s="8" t="inlineStr">
        <is>
          <t>Revisar</t>
        </is>
      </c>
    </row>
    <row r="36">
      <c r="A36" s="8" t="inlineStr">
        <is>
          <t>26/04/2026</t>
        </is>
      </c>
      <c r="B36" s="8" t="inlineStr">
        <is>
          <t>Completa</t>
        </is>
      </c>
      <c r="C36" s="8" t="inlineStr">
        <is>
          <t>29841670</t>
        </is>
      </c>
      <c r="D36" s="8" t="inlineStr">
        <is>
          <t>Local 5</t>
        </is>
      </c>
      <c r="E36" s="8" t="inlineStr">
        <is>
          <t>69343173</t>
        </is>
      </c>
      <c r="F36" s="8" t="inlineStr">
        <is>
          <t>1679</t>
        </is>
      </c>
      <c r="G36" s="9" t="n">
        <v>76500</v>
      </c>
      <c r="H36" s="9" t="n">
        <v>75759.48</v>
      </c>
      <c r="I36" s="8" t="inlineStr">
        <is>
          <t>No</t>
        </is>
      </c>
      <c r="J36" s="8" t="inlineStr">
        <is>
          <t>No</t>
        </is>
      </c>
      <c r="K36" s="8" t="inlineStr">
        <is>
          <t>Revisar</t>
        </is>
      </c>
    </row>
    <row r="37">
      <c r="A37" s="8" t="inlineStr">
        <is>
          <t>26/04/2026</t>
        </is>
      </c>
      <c r="B37" s="8" t="inlineStr">
        <is>
          <t>Completa</t>
        </is>
      </c>
      <c r="C37" s="8" t="inlineStr">
        <is>
          <t>29841670</t>
        </is>
      </c>
      <c r="D37" s="8" t="inlineStr">
        <is>
          <t>Local 5</t>
        </is>
      </c>
      <c r="E37" s="8" t="inlineStr">
        <is>
          <t>69205177</t>
        </is>
      </c>
      <c r="F37" s="8" t="inlineStr">
        <is>
          <t>1420</t>
        </is>
      </c>
      <c r="G37" s="9" t="n">
        <v>24800</v>
      </c>
      <c r="H37" s="9" t="n">
        <v>24559.94</v>
      </c>
      <c r="I37" s="8" t="inlineStr">
        <is>
          <t>No</t>
        </is>
      </c>
      <c r="J37" s="8" t="inlineStr">
        <is>
          <t>No</t>
        </is>
      </c>
      <c r="K37" s="8" t="inlineStr">
        <is>
          <t>Revisar</t>
        </is>
      </c>
    </row>
    <row r="38">
      <c r="A38" s="8" t="inlineStr">
        <is>
          <t>26/04/2026</t>
        </is>
      </c>
      <c r="B38" s="8" t="inlineStr">
        <is>
          <t>Completa</t>
        </is>
      </c>
      <c r="C38" s="8" t="inlineStr">
        <is>
          <t>29841670</t>
        </is>
      </c>
      <c r="D38" s="8" t="inlineStr">
        <is>
          <t>Local 5</t>
        </is>
      </c>
      <c r="E38" s="8" t="inlineStr">
        <is>
          <t>69467539</t>
        </is>
      </c>
      <c r="F38" s="8" t="inlineStr">
        <is>
          <t>388</t>
        </is>
      </c>
      <c r="G38" s="9" t="n">
        <v>15000</v>
      </c>
      <c r="H38" s="9" t="n">
        <v>14854.8</v>
      </c>
      <c r="I38" s="8" t="inlineStr">
        <is>
          <t>Sí</t>
        </is>
      </c>
      <c r="J38" s="8" t="inlineStr">
        <is>
          <t>Sí</t>
        </is>
      </c>
      <c r="K38" s="8" t="inlineStr">
        <is>
          <t>OK - en banco y Flexxus</t>
        </is>
      </c>
    </row>
    <row r="39">
      <c r="A39" s="8" t="inlineStr">
        <is>
          <t>26/04/2026</t>
        </is>
      </c>
      <c r="B39" s="8" t="inlineStr">
        <is>
          <t>Completa</t>
        </is>
      </c>
      <c r="C39" s="8" t="inlineStr">
        <is>
          <t>29841705</t>
        </is>
      </c>
      <c r="D39" s="8" t="inlineStr">
        <is>
          <t>Local 6</t>
        </is>
      </c>
      <c r="E39" s="8" t="inlineStr">
        <is>
          <t>69333384</t>
        </is>
      </c>
      <c r="F39" s="8" t="inlineStr">
        <is>
          <t>3722</t>
        </is>
      </c>
      <c r="G39" s="9" t="n">
        <v>61500</v>
      </c>
      <c r="H39" s="9" t="n">
        <v>60904.68</v>
      </c>
      <c r="I39" s="8" t="inlineStr">
        <is>
          <t>No</t>
        </is>
      </c>
      <c r="J39" s="8" t="inlineStr">
        <is>
          <t>No</t>
        </is>
      </c>
      <c r="K39" s="8" t="inlineStr">
        <is>
          <t>Revisar</t>
        </is>
      </c>
    </row>
    <row r="40">
      <c r="A40" s="8" t="inlineStr">
        <is>
          <t>26/04/2026</t>
        </is>
      </c>
      <c r="B40" s="8" t="inlineStr">
        <is>
          <t>Completa</t>
        </is>
      </c>
      <c r="C40" s="8" t="inlineStr">
        <is>
          <t>29841670</t>
        </is>
      </c>
      <c r="D40" s="8" t="inlineStr">
        <is>
          <t>Local 5</t>
        </is>
      </c>
      <c r="E40" s="8" t="inlineStr">
        <is>
          <t>69343173</t>
        </is>
      </c>
      <c r="F40" s="8" t="inlineStr">
        <is>
          <t>1678</t>
        </is>
      </c>
      <c r="G40" s="9" t="n">
        <v>28300</v>
      </c>
      <c r="H40" s="9" t="n">
        <v>28026.06</v>
      </c>
      <c r="I40" s="8" t="inlineStr">
        <is>
          <t>No</t>
        </is>
      </c>
      <c r="J40" s="8" t="inlineStr">
        <is>
          <t>No</t>
        </is>
      </c>
      <c r="K40" s="8" t="inlineStr">
        <is>
          <t>Revisar</t>
        </is>
      </c>
    </row>
    <row r="41">
      <c r="A41" s="8" t="inlineStr">
        <is>
          <t>26/04/2026</t>
        </is>
      </c>
      <c r="B41" s="8" t="inlineStr">
        <is>
          <t>Completa</t>
        </is>
      </c>
      <c r="C41" s="8" t="inlineStr">
        <is>
          <t>32032899</t>
        </is>
      </c>
      <c r="D41" s="8" t="inlineStr">
        <is>
          <t>Local 8</t>
        </is>
      </c>
      <c r="E41" s="8" t="inlineStr">
        <is>
          <t>69443515</t>
        </is>
      </c>
      <c r="F41" s="8" t="inlineStr">
        <is>
          <t>1344</t>
        </is>
      </c>
      <c r="G41" s="9" t="n">
        <v>27000</v>
      </c>
      <c r="H41" s="9" t="n">
        <v>26738.64</v>
      </c>
      <c r="I41" s="8" t="inlineStr">
        <is>
          <t>Sí</t>
        </is>
      </c>
      <c r="J41" s="8" t="inlineStr">
        <is>
          <t>Sí</t>
        </is>
      </c>
      <c r="K41" s="8" t="inlineStr">
        <is>
          <t>OK - en banco y Flexxus</t>
        </is>
      </c>
    </row>
    <row r="42">
      <c r="A42" s="8" t="inlineStr">
        <is>
          <t>26/04/2026</t>
        </is>
      </c>
      <c r="B42" s="8" t="inlineStr">
        <is>
          <t>Completa</t>
        </is>
      </c>
      <c r="C42" s="8" t="inlineStr">
        <is>
          <t>29841670</t>
        </is>
      </c>
      <c r="D42" s="8" t="inlineStr">
        <is>
          <t>Local 5</t>
        </is>
      </c>
      <c r="E42" s="8" t="inlineStr">
        <is>
          <t>69343173</t>
        </is>
      </c>
      <c r="F42" s="8" t="inlineStr">
        <is>
          <t>1677</t>
        </is>
      </c>
      <c r="G42" s="9" t="n">
        <v>39200</v>
      </c>
      <c r="H42" s="9" t="n">
        <v>38820.54</v>
      </c>
      <c r="I42" s="8" t="inlineStr">
        <is>
          <t>No</t>
        </is>
      </c>
      <c r="J42" s="8" t="inlineStr">
        <is>
          <t>No</t>
        </is>
      </c>
      <c r="K42" s="8" t="inlineStr">
        <is>
          <t>Revisar</t>
        </is>
      </c>
    </row>
    <row r="43">
      <c r="A43" s="8" t="inlineStr">
        <is>
          <t>26/04/2026</t>
        </is>
      </c>
      <c r="B43" s="8" t="inlineStr">
        <is>
          <t>Completa</t>
        </is>
      </c>
      <c r="C43" s="8" t="inlineStr">
        <is>
          <t>29841705</t>
        </is>
      </c>
      <c r="D43" s="8" t="inlineStr">
        <is>
          <t>Local 6</t>
        </is>
      </c>
      <c r="E43" s="8" t="inlineStr">
        <is>
          <t>69333384</t>
        </is>
      </c>
      <c r="F43" s="8" t="inlineStr">
        <is>
          <t>3720</t>
        </is>
      </c>
      <c r="G43" s="9" t="n">
        <v>24500</v>
      </c>
      <c r="H43" s="9" t="n">
        <v>24262.84</v>
      </c>
      <c r="I43" s="8" t="inlineStr">
        <is>
          <t>No</t>
        </is>
      </c>
      <c r="J43" s="8" t="inlineStr">
        <is>
          <t>No</t>
        </is>
      </c>
      <c r="K43" s="8" t="inlineStr">
        <is>
          <t>Revisar</t>
        </is>
      </c>
    </row>
    <row r="44">
      <c r="A44" s="8" t="inlineStr">
        <is>
          <t>26/04/2026</t>
        </is>
      </c>
      <c r="B44" s="8" t="inlineStr">
        <is>
          <t>Completa</t>
        </is>
      </c>
      <c r="C44" s="8" t="inlineStr">
        <is>
          <t>29841670</t>
        </is>
      </c>
      <c r="D44" s="8" t="inlineStr">
        <is>
          <t>Local 5</t>
        </is>
      </c>
      <c r="E44" s="8" t="inlineStr">
        <is>
          <t>39943954</t>
        </is>
      </c>
      <c r="F44" s="8" t="inlineStr">
        <is>
          <t>481</t>
        </is>
      </c>
      <c r="G44" s="9" t="n">
        <v>38500</v>
      </c>
      <c r="H44" s="9" t="n">
        <v>38127.32</v>
      </c>
      <c r="I44" s="8" t="inlineStr">
        <is>
          <t>Sí</t>
        </is>
      </c>
      <c r="J44" s="8" t="inlineStr">
        <is>
          <t>Sí</t>
        </is>
      </c>
      <c r="K44" s="8" t="inlineStr">
        <is>
          <t>OK - en banco y Flexxus</t>
        </is>
      </c>
    </row>
    <row r="45">
      <c r="A45" s="8" t="inlineStr">
        <is>
          <t>26/04/2026</t>
        </is>
      </c>
      <c r="B45" s="8" t="inlineStr">
        <is>
          <t>Completa</t>
        </is>
      </c>
      <c r="C45" s="8" t="inlineStr">
        <is>
          <t>29841705</t>
        </is>
      </c>
      <c r="D45" s="8" t="inlineStr">
        <is>
          <t>Local 6</t>
        </is>
      </c>
      <c r="E45" s="8" t="inlineStr">
        <is>
          <t>69333384</t>
        </is>
      </c>
      <c r="F45" s="8" t="inlineStr">
        <is>
          <t>3719</t>
        </is>
      </c>
      <c r="G45" s="9" t="n">
        <v>9000</v>
      </c>
      <c r="H45" s="9" t="n">
        <v>8912.879999999999</v>
      </c>
      <c r="I45" s="8" t="inlineStr">
        <is>
          <t>Sí</t>
        </is>
      </c>
      <c r="J45" s="8" t="inlineStr">
        <is>
          <t>Sí</t>
        </is>
      </c>
      <c r="K45" s="8" t="inlineStr">
        <is>
          <t>OK - en banco y Flexxus</t>
        </is>
      </c>
    </row>
    <row r="46">
      <c r="A46" s="8" t="inlineStr">
        <is>
          <t>26/04/2026</t>
        </is>
      </c>
      <c r="B46" s="8" t="inlineStr">
        <is>
          <t>Completa</t>
        </is>
      </c>
      <c r="C46" s="8" t="inlineStr">
        <is>
          <t>29841670</t>
        </is>
      </c>
      <c r="D46" s="8" t="inlineStr">
        <is>
          <t>Local 5</t>
        </is>
      </c>
      <c r="E46" s="8" t="inlineStr">
        <is>
          <t>69467539</t>
        </is>
      </c>
      <c r="F46" s="8" t="inlineStr">
        <is>
          <t>386</t>
        </is>
      </c>
      <c r="G46" s="9" t="n">
        <v>4500</v>
      </c>
      <c r="H46" s="9" t="n">
        <v>4456.44</v>
      </c>
      <c r="I46" s="8" t="inlineStr">
        <is>
          <t>Sí</t>
        </is>
      </c>
      <c r="J46" s="8" t="inlineStr">
        <is>
          <t>Sí</t>
        </is>
      </c>
      <c r="K46" s="8" t="inlineStr">
        <is>
          <t>OK - en banco y Flexxus</t>
        </is>
      </c>
    </row>
    <row r="47">
      <c r="A47" s="8" t="inlineStr">
        <is>
          <t>26/04/2026</t>
        </is>
      </c>
      <c r="B47" s="8" t="inlineStr">
        <is>
          <t>Completa</t>
        </is>
      </c>
      <c r="C47" s="8" t="inlineStr">
        <is>
          <t>29841670</t>
        </is>
      </c>
      <c r="D47" s="8" t="inlineStr">
        <is>
          <t>Local 5</t>
        </is>
      </c>
      <c r="E47" s="8" t="inlineStr">
        <is>
          <t>69467539</t>
        </is>
      </c>
      <c r="F47" s="8" t="inlineStr">
        <is>
          <t>385</t>
        </is>
      </c>
      <c r="G47" s="9" t="n">
        <v>9000</v>
      </c>
      <c r="H47" s="9" t="n">
        <v>8912.879999999999</v>
      </c>
      <c r="I47" s="8" t="inlineStr">
        <is>
          <t>Sí</t>
        </is>
      </c>
      <c r="J47" s="8" t="inlineStr">
        <is>
          <t>Sí</t>
        </is>
      </c>
      <c r="K47" s="8" t="inlineStr">
        <is>
          <t>OK - en banco y Flexxus</t>
        </is>
      </c>
    </row>
    <row r="48">
      <c r="A48" s="8" t="inlineStr">
        <is>
          <t>26/04/2026</t>
        </is>
      </c>
      <c r="B48" s="8" t="inlineStr">
        <is>
          <t>Completa</t>
        </is>
      </c>
      <c r="C48" s="8" t="inlineStr">
        <is>
          <t>29841670</t>
        </is>
      </c>
      <c r="D48" s="8" t="inlineStr">
        <is>
          <t>Local 5</t>
        </is>
      </c>
      <c r="E48" s="8" t="inlineStr">
        <is>
          <t>69343173</t>
        </is>
      </c>
      <c r="F48" s="8" t="inlineStr">
        <is>
          <t>1676</t>
        </is>
      </c>
      <c r="G48" s="9" t="n">
        <v>43400</v>
      </c>
      <c r="H48" s="9" t="n">
        <v>42979.89</v>
      </c>
      <c r="I48" s="8" t="inlineStr">
        <is>
          <t>No</t>
        </is>
      </c>
      <c r="J48" s="8" t="inlineStr">
        <is>
          <t>No</t>
        </is>
      </c>
      <c r="K48" s="8" t="inlineStr">
        <is>
          <t>Revisar</t>
        </is>
      </c>
    </row>
    <row r="49">
      <c r="A49" s="8" t="inlineStr">
        <is>
          <t>26/04/2026</t>
        </is>
      </c>
      <c r="B49" s="8" t="inlineStr">
        <is>
          <t>Completa</t>
        </is>
      </c>
      <c r="C49" s="8" t="inlineStr">
        <is>
          <t>29841670</t>
        </is>
      </c>
      <c r="D49" s="8" t="inlineStr">
        <is>
          <t>Local 5</t>
        </is>
      </c>
      <c r="E49" s="8" t="inlineStr">
        <is>
          <t>69467539</t>
        </is>
      </c>
      <c r="F49" s="8" t="inlineStr">
        <is>
          <t>384</t>
        </is>
      </c>
      <c r="G49" s="9" t="n">
        <v>25800</v>
      </c>
      <c r="H49" s="9" t="n">
        <v>25550.26</v>
      </c>
      <c r="I49" s="8" t="inlineStr">
        <is>
          <t>Sí</t>
        </is>
      </c>
      <c r="J49" s="8" t="inlineStr">
        <is>
          <t>Sí</t>
        </is>
      </c>
      <c r="K49" s="8" t="inlineStr">
        <is>
          <t>OK - en banco y Flexxus</t>
        </is>
      </c>
    </row>
    <row r="50">
      <c r="A50" s="8" t="inlineStr">
        <is>
          <t>26/04/2026</t>
        </is>
      </c>
      <c r="B50" s="8" t="inlineStr">
        <is>
          <t>Completa</t>
        </is>
      </c>
      <c r="C50" s="8" t="inlineStr">
        <is>
          <t>29841670</t>
        </is>
      </c>
      <c r="D50" s="8" t="inlineStr">
        <is>
          <t>Local 5</t>
        </is>
      </c>
      <c r="E50" s="8" t="inlineStr">
        <is>
          <t>69467539</t>
        </is>
      </c>
      <c r="F50" s="8" t="inlineStr">
        <is>
          <t>383</t>
        </is>
      </c>
      <c r="G50" s="9" t="n">
        <v>78800</v>
      </c>
      <c r="H50" s="9" t="n">
        <v>78037.22</v>
      </c>
      <c r="I50" s="8" t="inlineStr">
        <is>
          <t>No</t>
        </is>
      </c>
      <c r="J50" s="8" t="inlineStr">
        <is>
          <t>No</t>
        </is>
      </c>
      <c r="K50" s="8" t="inlineStr">
        <is>
          <t>Revisar</t>
        </is>
      </c>
    </row>
    <row r="51">
      <c r="A51" s="8" t="inlineStr">
        <is>
          <t>25/04/2026</t>
        </is>
      </c>
      <c r="B51" s="8" t="inlineStr">
        <is>
          <t>Completa</t>
        </is>
      </c>
      <c r="C51" s="8" t="inlineStr">
        <is>
          <t>31995644</t>
        </is>
      </c>
      <c r="D51" s="8" t="inlineStr">
        <is>
          <t>Local 7</t>
        </is>
      </c>
      <c r="E51" s="8" t="inlineStr">
        <is>
          <t>69443513</t>
        </is>
      </c>
      <c r="F51" s="8" t="inlineStr">
        <is>
          <t>712</t>
        </is>
      </c>
      <c r="G51" s="9" t="n">
        <v>85200</v>
      </c>
      <c r="H51" s="9" t="n">
        <v>84375.25999999999</v>
      </c>
      <c r="I51" s="8" t="inlineStr">
        <is>
          <t>No</t>
        </is>
      </c>
      <c r="J51" s="8" t="inlineStr">
        <is>
          <t>No</t>
        </is>
      </c>
      <c r="K51" s="8" t="inlineStr">
        <is>
          <t>Revisar</t>
        </is>
      </c>
    </row>
    <row r="52">
      <c r="A52" s="8" t="inlineStr">
        <is>
          <t>25/04/2026</t>
        </is>
      </c>
      <c r="B52" s="8" t="inlineStr">
        <is>
          <t>Completa</t>
        </is>
      </c>
      <c r="C52" s="8" t="inlineStr">
        <is>
          <t>29841705</t>
        </is>
      </c>
      <c r="D52" s="8" t="inlineStr">
        <is>
          <t>Local 6</t>
        </is>
      </c>
      <c r="E52" s="8" t="inlineStr">
        <is>
          <t>69333384</t>
        </is>
      </c>
      <c r="F52" s="8" t="inlineStr">
        <is>
          <t>3716</t>
        </is>
      </c>
      <c r="G52" s="9" t="n">
        <v>12700</v>
      </c>
      <c r="H52" s="9" t="n">
        <v>12577.06</v>
      </c>
      <c r="I52" s="8" t="inlineStr">
        <is>
          <t>No</t>
        </is>
      </c>
      <c r="J52" s="8" t="inlineStr">
        <is>
          <t>No</t>
        </is>
      </c>
      <c r="K52" s="8" t="inlineStr">
        <is>
          <t>Revisar</t>
        </is>
      </c>
    </row>
    <row r="53">
      <c r="A53" s="8" t="inlineStr">
        <is>
          <t>25/04/2026</t>
        </is>
      </c>
      <c r="B53" s="8" t="inlineStr">
        <is>
          <t>Completa</t>
        </is>
      </c>
      <c r="C53" s="8" t="inlineStr">
        <is>
          <t>32032899</t>
        </is>
      </c>
      <c r="D53" s="8" t="inlineStr">
        <is>
          <t>Local 8</t>
        </is>
      </c>
      <c r="E53" s="8" t="inlineStr">
        <is>
          <t>69443515</t>
        </is>
      </c>
      <c r="F53" s="8" t="inlineStr">
        <is>
          <t>1341</t>
        </is>
      </c>
      <c r="G53" s="9" t="n">
        <v>122600</v>
      </c>
      <c r="H53" s="9" t="n">
        <v>121413.23</v>
      </c>
      <c r="I53" s="8" t="inlineStr">
        <is>
          <t>No</t>
        </is>
      </c>
      <c r="J53" s="8" t="inlineStr">
        <is>
          <t>No</t>
        </is>
      </c>
      <c r="K53" s="8" t="inlineStr">
        <is>
          <t>Revisar</t>
        </is>
      </c>
    </row>
    <row r="54">
      <c r="A54" s="8" t="inlineStr">
        <is>
          <t>25/04/2026</t>
        </is>
      </c>
      <c r="B54" s="8" t="inlineStr">
        <is>
          <t>Completa</t>
        </is>
      </c>
      <c r="C54" s="8" t="inlineStr">
        <is>
          <t>32032899</t>
        </is>
      </c>
      <c r="D54" s="8" t="inlineStr">
        <is>
          <t>Local 8</t>
        </is>
      </c>
      <c r="E54" s="8" t="inlineStr">
        <is>
          <t>69443515</t>
        </is>
      </c>
      <c r="F54" s="8" t="inlineStr">
        <is>
          <t>1339</t>
        </is>
      </c>
      <c r="G54" s="9" t="n">
        <v>34500</v>
      </c>
      <c r="H54" s="9" t="n">
        <v>34166.04</v>
      </c>
      <c r="I54" s="8" t="inlineStr">
        <is>
          <t>Sí</t>
        </is>
      </c>
      <c r="J54" s="8" t="inlineStr">
        <is>
          <t>Sí</t>
        </is>
      </c>
      <c r="K54" s="8" t="inlineStr">
        <is>
          <t>OK - en banco y Flexxus</t>
        </is>
      </c>
    </row>
    <row r="55">
      <c r="A55" s="8" t="inlineStr">
        <is>
          <t>25/04/2026</t>
        </is>
      </c>
      <c r="B55" s="8" t="inlineStr">
        <is>
          <t>Completa</t>
        </is>
      </c>
      <c r="C55" s="8" t="inlineStr">
        <is>
          <t>29841670</t>
        </is>
      </c>
      <c r="D55" s="8" t="inlineStr">
        <is>
          <t>Local 5</t>
        </is>
      </c>
      <c r="E55" s="8" t="inlineStr">
        <is>
          <t>69205177</t>
        </is>
      </c>
      <c r="F55" s="8" t="inlineStr">
        <is>
          <t>1419</t>
        </is>
      </c>
      <c r="G55" s="9" t="n">
        <v>9900</v>
      </c>
      <c r="H55" s="9" t="n">
        <v>9804.17</v>
      </c>
      <c r="I55" s="8" t="inlineStr">
        <is>
          <t>No</t>
        </is>
      </c>
      <c r="J55" s="8" t="inlineStr">
        <is>
          <t>No</t>
        </is>
      </c>
      <c r="K55" s="8" t="inlineStr">
        <is>
          <t>Revisar</t>
        </is>
      </c>
    </row>
    <row r="56">
      <c r="A56" s="8" t="inlineStr">
        <is>
          <t>25/04/2026</t>
        </is>
      </c>
      <c r="B56" s="8" t="inlineStr">
        <is>
          <t>Completa</t>
        </is>
      </c>
      <c r="C56" s="8" t="inlineStr">
        <is>
          <t>29841670</t>
        </is>
      </c>
      <c r="D56" s="8" t="inlineStr">
        <is>
          <t>Local 5</t>
        </is>
      </c>
      <c r="E56" s="8" t="inlineStr">
        <is>
          <t>69343173</t>
        </is>
      </c>
      <c r="F56" s="8" t="inlineStr">
        <is>
          <t>1674</t>
        </is>
      </c>
      <c r="G56" s="9" t="n">
        <v>25000</v>
      </c>
      <c r="H56" s="9" t="n">
        <v>24758</v>
      </c>
      <c r="I56" s="8" t="inlineStr">
        <is>
          <t>Sí</t>
        </is>
      </c>
      <c r="J56" s="8" t="inlineStr">
        <is>
          <t>Sí</t>
        </is>
      </c>
      <c r="K56" s="8" t="inlineStr">
        <is>
          <t>OK - en banco y Flexxus</t>
        </is>
      </c>
    </row>
    <row r="57">
      <c r="A57" s="8" t="inlineStr">
        <is>
          <t>25/04/2026</t>
        </is>
      </c>
      <c r="B57" s="8" t="inlineStr">
        <is>
          <t>Completa</t>
        </is>
      </c>
      <c r="C57" s="8" t="inlineStr">
        <is>
          <t>29841705</t>
        </is>
      </c>
      <c r="D57" s="8" t="inlineStr">
        <is>
          <t>Local 6</t>
        </is>
      </c>
      <c r="E57" s="8" t="inlineStr">
        <is>
          <t>69333384</t>
        </is>
      </c>
      <c r="F57" s="8" t="inlineStr">
        <is>
          <t>3710</t>
        </is>
      </c>
      <c r="G57" s="9" t="n">
        <v>10600</v>
      </c>
      <c r="H57" s="9" t="n">
        <v>10497.39</v>
      </c>
      <c r="I57" s="8" t="inlineStr">
        <is>
          <t>Sí</t>
        </is>
      </c>
      <c r="J57" s="8" t="inlineStr">
        <is>
          <t>Sí</t>
        </is>
      </c>
      <c r="K57" s="8" t="inlineStr">
        <is>
          <t>OK - en banco y Flexxus</t>
        </is>
      </c>
    </row>
    <row r="58">
      <c r="A58" s="8" t="inlineStr">
        <is>
          <t>25/04/2026</t>
        </is>
      </c>
      <c r="B58" s="8" t="inlineStr">
        <is>
          <t>Completa</t>
        </is>
      </c>
      <c r="C58" s="8" t="inlineStr">
        <is>
          <t>29841670</t>
        </is>
      </c>
      <c r="D58" s="8" t="inlineStr">
        <is>
          <t>Local 5</t>
        </is>
      </c>
      <c r="E58" s="8" t="inlineStr">
        <is>
          <t>39943954</t>
        </is>
      </c>
      <c r="F58" s="8" t="inlineStr">
        <is>
          <t>470</t>
        </is>
      </c>
      <c r="G58" s="9" t="n">
        <v>11500</v>
      </c>
      <c r="H58" s="9" t="n">
        <v>11388.68</v>
      </c>
      <c r="I58" s="8" t="inlineStr">
        <is>
          <t>Sí</t>
        </is>
      </c>
      <c r="J58" s="8" t="inlineStr">
        <is>
          <t>Sí</t>
        </is>
      </c>
      <c r="K58" s="8" t="inlineStr">
        <is>
          <t>OK - en banco y Flexxus</t>
        </is>
      </c>
    </row>
    <row r="59">
      <c r="A59" s="8" t="inlineStr">
        <is>
          <t>25/04/2026</t>
        </is>
      </c>
      <c r="B59" s="8" t="inlineStr">
        <is>
          <t>Completa</t>
        </is>
      </c>
      <c r="C59" s="8" t="inlineStr">
        <is>
          <t>31995644</t>
        </is>
      </c>
      <c r="D59" s="8" t="inlineStr">
        <is>
          <t>Local 7</t>
        </is>
      </c>
      <c r="E59" s="8" t="inlineStr">
        <is>
          <t>69443513</t>
        </is>
      </c>
      <c r="F59" s="8" t="inlineStr">
        <is>
          <t>711</t>
        </is>
      </c>
      <c r="G59" s="9" t="n">
        <v>107650</v>
      </c>
      <c r="H59" s="9" t="n">
        <v>106607.95</v>
      </c>
      <c r="I59" s="8" t="inlineStr">
        <is>
          <t>No</t>
        </is>
      </c>
      <c r="J59" s="8" t="inlineStr">
        <is>
          <t>No</t>
        </is>
      </c>
      <c r="K59" s="8" t="inlineStr">
        <is>
          <t>Revisar</t>
        </is>
      </c>
    </row>
    <row r="60">
      <c r="A60" s="8" t="inlineStr">
        <is>
          <t>25/04/2026</t>
        </is>
      </c>
      <c r="B60" s="8" t="inlineStr">
        <is>
          <t>Completa</t>
        </is>
      </c>
      <c r="C60" s="8" t="inlineStr">
        <is>
          <t>31995644</t>
        </is>
      </c>
      <c r="D60" s="8" t="inlineStr">
        <is>
          <t>Local 7</t>
        </is>
      </c>
      <c r="E60" s="8" t="inlineStr">
        <is>
          <t>69443513</t>
        </is>
      </c>
      <c r="F60" s="8" t="inlineStr">
        <is>
          <t>709</t>
        </is>
      </c>
      <c r="G60" s="9" t="n">
        <v>73600</v>
      </c>
      <c r="H60" s="9" t="n">
        <v>72887.55</v>
      </c>
      <c r="I60" s="8" t="inlineStr">
        <is>
          <t>No</t>
        </is>
      </c>
      <c r="J60" s="8" t="inlineStr">
        <is>
          <t>No</t>
        </is>
      </c>
      <c r="K60" s="8" t="inlineStr">
        <is>
          <t>Revisar</t>
        </is>
      </c>
    </row>
    <row r="61">
      <c r="A61" s="8" t="inlineStr">
        <is>
          <t>25/04/2026</t>
        </is>
      </c>
      <c r="B61" s="8" t="inlineStr">
        <is>
          <t>Completa</t>
        </is>
      </c>
      <c r="C61" s="8" t="inlineStr">
        <is>
          <t>32032899</t>
        </is>
      </c>
      <c r="D61" s="8" t="inlineStr">
        <is>
          <t>Local 8</t>
        </is>
      </c>
      <c r="E61" s="8" t="inlineStr">
        <is>
          <t>69443515</t>
        </is>
      </c>
      <c r="F61" s="8" t="inlineStr">
        <is>
          <t>1336</t>
        </is>
      </c>
      <c r="G61" s="9" t="n">
        <v>31850</v>
      </c>
      <c r="H61" s="9" t="n">
        <v>31541.69</v>
      </c>
      <c r="I61" s="8" t="inlineStr">
        <is>
          <t>No</t>
        </is>
      </c>
      <c r="J61" s="8" t="inlineStr">
        <is>
          <t>No</t>
        </is>
      </c>
      <c r="K61" s="8" t="inlineStr">
        <is>
          <t>Revisar</t>
        </is>
      </c>
    </row>
    <row r="62">
      <c r="A62" s="8" t="inlineStr">
        <is>
          <t>25/04/2026</t>
        </is>
      </c>
      <c r="B62" s="8" t="inlineStr">
        <is>
          <t>Completa</t>
        </is>
      </c>
      <c r="C62" s="8" t="inlineStr">
        <is>
          <t>32032899</t>
        </is>
      </c>
      <c r="D62" s="8" t="inlineStr">
        <is>
          <t>Local 8</t>
        </is>
      </c>
      <c r="E62" s="8" t="inlineStr">
        <is>
          <t>69443515</t>
        </is>
      </c>
      <c r="F62" s="8" t="inlineStr">
        <is>
          <t>1335</t>
        </is>
      </c>
      <c r="G62" s="9" t="n">
        <v>63700</v>
      </c>
      <c r="H62" s="9" t="n">
        <v>63083.38</v>
      </c>
      <c r="I62" s="8" t="inlineStr">
        <is>
          <t>No</t>
        </is>
      </c>
      <c r="J62" s="8" t="inlineStr">
        <is>
          <t>No</t>
        </is>
      </c>
      <c r="K62" s="8" t="inlineStr">
        <is>
          <t>Revisar</t>
        </is>
      </c>
    </row>
    <row r="63">
      <c r="A63" s="8" t="inlineStr">
        <is>
          <t>25/04/2026</t>
        </is>
      </c>
      <c r="B63" s="8" t="inlineStr">
        <is>
          <t>Completa</t>
        </is>
      </c>
      <c r="C63" s="8" t="inlineStr">
        <is>
          <t>32032899</t>
        </is>
      </c>
      <c r="D63" s="8" t="inlineStr">
        <is>
          <t>Local 8</t>
        </is>
      </c>
      <c r="E63" s="8" t="inlineStr">
        <is>
          <t>69443515</t>
        </is>
      </c>
      <c r="F63" s="8" t="inlineStr">
        <is>
          <t>1333</t>
        </is>
      </c>
      <c r="G63" s="9" t="n">
        <v>58400</v>
      </c>
      <c r="H63" s="9" t="n">
        <v>57834.69</v>
      </c>
      <c r="I63" s="8" t="inlineStr">
        <is>
          <t>No</t>
        </is>
      </c>
      <c r="J63" s="8" t="inlineStr">
        <is>
          <t>No</t>
        </is>
      </c>
      <c r="K63" s="8" t="inlineStr">
        <is>
          <t>Revisar</t>
        </is>
      </c>
    </row>
    <row r="64">
      <c r="A64" s="8" t="inlineStr">
        <is>
          <t>25/04/2026</t>
        </is>
      </c>
      <c r="B64" s="8" t="inlineStr">
        <is>
          <t>Completa</t>
        </is>
      </c>
      <c r="C64" s="8" t="inlineStr">
        <is>
          <t>32032899</t>
        </is>
      </c>
      <c r="D64" s="8" t="inlineStr">
        <is>
          <t>Local 8</t>
        </is>
      </c>
      <c r="E64" s="8" t="inlineStr">
        <is>
          <t>69443515</t>
        </is>
      </c>
      <c r="F64" s="8" t="inlineStr">
        <is>
          <t>1331</t>
        </is>
      </c>
      <c r="G64" s="9" t="n">
        <v>66600</v>
      </c>
      <c r="H64" s="9" t="n">
        <v>65955.31</v>
      </c>
      <c r="I64" s="8" t="inlineStr">
        <is>
          <t>No</t>
        </is>
      </c>
      <c r="J64" s="8" t="inlineStr">
        <is>
          <t>No</t>
        </is>
      </c>
      <c r="K64" s="8" t="inlineStr">
        <is>
          <t>Revisar</t>
        </is>
      </c>
    </row>
    <row r="65">
      <c r="A65" s="8" t="inlineStr">
        <is>
          <t>25/04/2026</t>
        </is>
      </c>
      <c r="B65" s="8" t="inlineStr">
        <is>
          <t>Completa</t>
        </is>
      </c>
      <c r="C65" s="8" t="inlineStr">
        <is>
          <t>29841705</t>
        </is>
      </c>
      <c r="D65" s="8" t="inlineStr">
        <is>
          <t>Local 6</t>
        </is>
      </c>
      <c r="E65" s="8" t="inlineStr">
        <is>
          <t>69333384</t>
        </is>
      </c>
      <c r="F65" s="8" t="inlineStr">
        <is>
          <t>3705</t>
        </is>
      </c>
      <c r="G65" s="9" t="n">
        <v>12400</v>
      </c>
      <c r="H65" s="9" t="n">
        <v>12279.97</v>
      </c>
      <c r="I65" s="8" t="inlineStr">
        <is>
          <t>No</t>
        </is>
      </c>
      <c r="J65" s="8" t="inlineStr">
        <is>
          <t>No</t>
        </is>
      </c>
      <c r="K65" s="8" t="inlineStr">
        <is>
          <t>Revisar</t>
        </is>
      </c>
    </row>
    <row r="66">
      <c r="A66" s="8" t="inlineStr">
        <is>
          <t>25/04/2026</t>
        </is>
      </c>
      <c r="B66" s="8" t="inlineStr">
        <is>
          <t>Completa</t>
        </is>
      </c>
      <c r="C66" s="8" t="inlineStr">
        <is>
          <t>31995644</t>
        </is>
      </c>
      <c r="D66" s="8" t="inlineStr">
        <is>
          <t>Local 7</t>
        </is>
      </c>
      <c r="E66" s="8" t="inlineStr">
        <is>
          <t>69443513</t>
        </is>
      </c>
      <c r="F66" s="8" t="inlineStr">
        <is>
          <t>707</t>
        </is>
      </c>
      <c r="G66" s="9" t="n">
        <v>33500</v>
      </c>
      <c r="H66" s="9" t="n">
        <v>33175.72</v>
      </c>
      <c r="I66" s="8" t="inlineStr">
        <is>
          <t>Sí</t>
        </is>
      </c>
      <c r="J66" s="8" t="inlineStr">
        <is>
          <t>Sí</t>
        </is>
      </c>
      <c r="K66" s="8" t="inlineStr">
        <is>
          <t>OK - en banco y Flexxus</t>
        </is>
      </c>
    </row>
    <row r="67">
      <c r="A67" s="8" t="inlineStr">
        <is>
          <t>25/04/2026</t>
        </is>
      </c>
      <c r="B67" s="8" t="inlineStr">
        <is>
          <t>Completa</t>
        </is>
      </c>
      <c r="C67" s="8" t="inlineStr">
        <is>
          <t>31995644</t>
        </is>
      </c>
      <c r="D67" s="8" t="inlineStr">
        <is>
          <t>Local 7</t>
        </is>
      </c>
      <c r="E67" s="8" t="inlineStr">
        <is>
          <t>69443513</t>
        </is>
      </c>
      <c r="F67" s="8" t="inlineStr">
        <is>
          <t>706</t>
        </is>
      </c>
      <c r="G67" s="9" t="n">
        <v>33500</v>
      </c>
      <c r="H67" s="9" t="n">
        <v>33175.72</v>
      </c>
      <c r="I67" s="8" t="inlineStr">
        <is>
          <t>Sí</t>
        </is>
      </c>
      <c r="J67" s="8" t="inlineStr">
        <is>
          <t>Sí</t>
        </is>
      </c>
      <c r="K67" s="8" t="inlineStr">
        <is>
          <t>OK - en banco y Flexxus</t>
        </is>
      </c>
    </row>
    <row r="68">
      <c r="A68" s="8" t="inlineStr">
        <is>
          <t>25/04/2026</t>
        </is>
      </c>
      <c r="B68" s="8" t="inlineStr">
        <is>
          <t>Completa</t>
        </is>
      </c>
      <c r="C68" s="8" t="inlineStr">
        <is>
          <t>29841705</t>
        </is>
      </c>
      <c r="D68" s="8" t="inlineStr">
        <is>
          <t>Local 6</t>
        </is>
      </c>
      <c r="E68" s="8" t="inlineStr">
        <is>
          <t>69333384</t>
        </is>
      </c>
      <c r="F68" s="8" t="inlineStr">
        <is>
          <t>3704</t>
        </is>
      </c>
      <c r="G68" s="9" t="n">
        <v>13300</v>
      </c>
      <c r="H68" s="9" t="n">
        <v>13171.26</v>
      </c>
      <c r="I68" s="8" t="inlineStr">
        <is>
          <t>No</t>
        </is>
      </c>
      <c r="J68" s="8" t="inlineStr">
        <is>
          <t>No</t>
        </is>
      </c>
      <c r="K68" s="8" t="inlineStr">
        <is>
          <t>Revisar</t>
        </is>
      </c>
    </row>
    <row r="69">
      <c r="A69" s="8" t="inlineStr">
        <is>
          <t>25/04/2026</t>
        </is>
      </c>
      <c r="B69" s="8" t="inlineStr">
        <is>
          <t>Completa</t>
        </is>
      </c>
      <c r="C69" s="8" t="inlineStr">
        <is>
          <t>29841705</t>
        </is>
      </c>
      <c r="D69" s="8" t="inlineStr">
        <is>
          <t>Local 6</t>
        </is>
      </c>
      <c r="E69" s="8" t="inlineStr">
        <is>
          <t>69333384</t>
        </is>
      </c>
      <c r="F69" s="8" t="inlineStr">
        <is>
          <t>3703</t>
        </is>
      </c>
      <c r="G69" s="9" t="n">
        <v>63300</v>
      </c>
      <c r="H69" s="9" t="n">
        <v>62687.26</v>
      </c>
      <c r="I69" s="8" t="inlineStr">
        <is>
          <t>No</t>
        </is>
      </c>
      <c r="J69" s="8" t="inlineStr">
        <is>
          <t>No</t>
        </is>
      </c>
      <c r="K69" s="8" t="inlineStr">
        <is>
          <t>Revisar</t>
        </is>
      </c>
    </row>
    <row r="70">
      <c r="A70" s="8" t="inlineStr">
        <is>
          <t>25/04/2026</t>
        </is>
      </c>
      <c r="B70" s="8" t="inlineStr">
        <is>
          <t>Completa</t>
        </is>
      </c>
      <c r="C70" s="8" t="inlineStr">
        <is>
          <t>32032899</t>
        </is>
      </c>
      <c r="D70" s="8" t="inlineStr">
        <is>
          <t>Local 8</t>
        </is>
      </c>
      <c r="E70" s="8" t="inlineStr">
        <is>
          <t>69443515</t>
        </is>
      </c>
      <c r="F70" s="8" t="inlineStr">
        <is>
          <t>1330</t>
        </is>
      </c>
      <c r="G70" s="9" t="n">
        <v>76300</v>
      </c>
      <c r="H70" s="9" t="n">
        <v>75561.42</v>
      </c>
      <c r="I70" s="8" t="inlineStr">
        <is>
          <t>No</t>
        </is>
      </c>
      <c r="J70" s="8" t="inlineStr">
        <is>
          <t>No</t>
        </is>
      </c>
      <c r="K70" s="8" t="inlineStr">
        <is>
          <t>Revisar</t>
        </is>
      </c>
    </row>
    <row r="71">
      <c r="A71" s="8" t="inlineStr">
        <is>
          <t>25/04/2026</t>
        </is>
      </c>
      <c r="B71" s="8" t="inlineStr">
        <is>
          <t>Completa</t>
        </is>
      </c>
      <c r="C71" s="8" t="inlineStr">
        <is>
          <t>29841705</t>
        </is>
      </c>
      <c r="D71" s="8" t="inlineStr">
        <is>
          <t>Local 6</t>
        </is>
      </c>
      <c r="E71" s="8" t="inlineStr">
        <is>
          <t>69333384</t>
        </is>
      </c>
      <c r="F71" s="8" t="inlineStr">
        <is>
          <t>3702</t>
        </is>
      </c>
      <c r="G71" s="9" t="n">
        <v>8500</v>
      </c>
      <c r="H71" s="9" t="n">
        <v>8417.719999999999</v>
      </c>
      <c r="I71" s="8" t="inlineStr">
        <is>
          <t>Sí</t>
        </is>
      </c>
      <c r="J71" s="8" t="inlineStr">
        <is>
          <t>Sí</t>
        </is>
      </c>
      <c r="K71" s="8" t="inlineStr">
        <is>
          <t>OK - en banco y Flexxus</t>
        </is>
      </c>
    </row>
    <row r="72">
      <c r="A72" s="8" t="inlineStr">
        <is>
          <t>25/04/2026</t>
        </is>
      </c>
      <c r="B72" s="8" t="inlineStr">
        <is>
          <t>Completa</t>
        </is>
      </c>
      <c r="C72" s="8" t="inlineStr">
        <is>
          <t>29841670</t>
        </is>
      </c>
      <c r="D72" s="8" t="inlineStr">
        <is>
          <t>Local 5</t>
        </is>
      </c>
      <c r="E72" s="8" t="inlineStr">
        <is>
          <t>69343173</t>
        </is>
      </c>
      <c r="F72" s="8" t="inlineStr">
        <is>
          <t>1670</t>
        </is>
      </c>
      <c r="G72" s="9" t="n">
        <v>4500</v>
      </c>
      <c r="H72" s="9" t="n">
        <v>4456.44</v>
      </c>
      <c r="I72" s="8" t="inlineStr">
        <is>
          <t>Sí</t>
        </is>
      </c>
      <c r="J72" s="8" t="inlineStr">
        <is>
          <t>Sí</t>
        </is>
      </c>
      <c r="K72" s="8" t="inlineStr">
        <is>
          <t>OK - en banco y Flexxus</t>
        </is>
      </c>
    </row>
    <row r="73">
      <c r="A73" s="8" t="inlineStr">
        <is>
          <t>25/04/2026</t>
        </is>
      </c>
      <c r="B73" s="8" t="inlineStr">
        <is>
          <t>Completa</t>
        </is>
      </c>
      <c r="C73" s="8" t="inlineStr">
        <is>
          <t>29841670</t>
        </is>
      </c>
      <c r="D73" s="8" t="inlineStr">
        <is>
          <t>Local 5</t>
        </is>
      </c>
      <c r="E73" s="8" t="inlineStr">
        <is>
          <t>39943954</t>
        </is>
      </c>
      <c r="F73" s="8" t="inlineStr">
        <is>
          <t>468</t>
        </is>
      </c>
      <c r="G73" s="9" t="n">
        <v>46400</v>
      </c>
      <c r="H73" s="9" t="n">
        <v>45950.85</v>
      </c>
      <c r="I73" s="8" t="inlineStr">
        <is>
          <t>No</t>
        </is>
      </c>
      <c r="J73" s="8" t="inlineStr">
        <is>
          <t>No</t>
        </is>
      </c>
      <c r="K73" s="8" t="inlineStr">
        <is>
          <t>Revisar</t>
        </is>
      </c>
    </row>
    <row r="74">
      <c r="A74" s="8" t="inlineStr">
        <is>
          <t>25/04/2026</t>
        </is>
      </c>
      <c r="B74" s="8" t="inlineStr">
        <is>
          <t>Completa</t>
        </is>
      </c>
      <c r="C74" s="8" t="inlineStr">
        <is>
          <t>32032899</t>
        </is>
      </c>
      <c r="D74" s="8" t="inlineStr">
        <is>
          <t>Local 8</t>
        </is>
      </c>
      <c r="E74" s="8" t="inlineStr">
        <is>
          <t>69443515</t>
        </is>
      </c>
      <c r="F74" s="8" t="inlineStr">
        <is>
          <t>1329</t>
        </is>
      </c>
      <c r="G74" s="9" t="n">
        <v>53000</v>
      </c>
      <c r="H74" s="9" t="n">
        <v>52486.96</v>
      </c>
      <c r="I74" s="8" t="inlineStr">
        <is>
          <t>No</t>
        </is>
      </c>
      <c r="J74" s="8" t="inlineStr">
        <is>
          <t>No</t>
        </is>
      </c>
      <c r="K74" s="8" t="inlineStr">
        <is>
          <t>Revisar</t>
        </is>
      </c>
    </row>
    <row r="75">
      <c r="A75" s="8" t="inlineStr">
        <is>
          <t>25/04/2026</t>
        </is>
      </c>
      <c r="B75" s="8" t="inlineStr">
        <is>
          <t>Completa</t>
        </is>
      </c>
      <c r="C75" s="8" t="inlineStr">
        <is>
          <t>29841670</t>
        </is>
      </c>
      <c r="D75" s="8" t="inlineStr">
        <is>
          <t>Local 5</t>
        </is>
      </c>
      <c r="E75" s="8" t="inlineStr">
        <is>
          <t>39943954</t>
        </is>
      </c>
      <c r="F75" s="8" t="inlineStr">
        <is>
          <t>465</t>
        </is>
      </c>
      <c r="G75" s="9" t="n">
        <v>7800</v>
      </c>
      <c r="H75" s="9" t="n">
        <v>7724.5</v>
      </c>
      <c r="I75" s="8" t="inlineStr">
        <is>
          <t>Sí</t>
        </is>
      </c>
      <c r="J75" s="8" t="inlineStr">
        <is>
          <t>Sí</t>
        </is>
      </c>
      <c r="K75" s="8" t="inlineStr">
        <is>
          <t>OK - en banco y Flexxus</t>
        </is>
      </c>
    </row>
    <row r="76">
      <c r="A76" s="8" t="inlineStr">
        <is>
          <t>25/04/2026</t>
        </is>
      </c>
      <c r="B76" s="8" t="inlineStr">
        <is>
          <t>Completa</t>
        </is>
      </c>
      <c r="C76" s="8" t="inlineStr">
        <is>
          <t>29841670</t>
        </is>
      </c>
      <c r="D76" s="8" t="inlineStr">
        <is>
          <t>Local 5</t>
        </is>
      </c>
      <c r="E76" s="8" t="inlineStr">
        <is>
          <t>69343173</t>
        </is>
      </c>
      <c r="F76" s="8" t="inlineStr">
        <is>
          <t>1668</t>
        </is>
      </c>
      <c r="G76" s="9" t="n">
        <v>9500</v>
      </c>
      <c r="H76" s="9" t="n">
        <v>9408.040000000001</v>
      </c>
      <c r="I76" s="8" t="inlineStr">
        <is>
          <t>No</t>
        </is>
      </c>
      <c r="J76" s="8" t="inlineStr">
        <is>
          <t>No</t>
        </is>
      </c>
      <c r="K76" s="8" t="inlineStr">
        <is>
          <t>Revisar</t>
        </is>
      </c>
    </row>
    <row r="77">
      <c r="A77" s="8" t="inlineStr">
        <is>
          <t>25/04/2026</t>
        </is>
      </c>
      <c r="B77" s="8" t="inlineStr">
        <is>
          <t>Completa</t>
        </is>
      </c>
      <c r="C77" s="8" t="inlineStr">
        <is>
          <t>29841670</t>
        </is>
      </c>
      <c r="D77" s="8" t="inlineStr">
        <is>
          <t>Local 5</t>
        </is>
      </c>
      <c r="E77" s="8" t="inlineStr">
        <is>
          <t>39943954</t>
        </is>
      </c>
      <c r="F77" s="8" t="inlineStr">
        <is>
          <t>463</t>
        </is>
      </c>
      <c r="G77" s="9" t="n">
        <v>13500</v>
      </c>
      <c r="H77" s="9" t="n">
        <v>13369.32</v>
      </c>
      <c r="I77" s="8" t="inlineStr">
        <is>
          <t>Sí</t>
        </is>
      </c>
      <c r="J77" s="8" t="inlineStr">
        <is>
          <t>Sí</t>
        </is>
      </c>
      <c r="K77" s="8" t="inlineStr">
        <is>
          <t>OK - en banco y Flexxus</t>
        </is>
      </c>
    </row>
    <row r="78">
      <c r="A78" s="8" t="inlineStr">
        <is>
          <t>25/04/2026</t>
        </is>
      </c>
      <c r="B78" s="8" t="inlineStr">
        <is>
          <t>Completa</t>
        </is>
      </c>
      <c r="C78" s="8" t="inlineStr">
        <is>
          <t>29841670</t>
        </is>
      </c>
      <c r="D78" s="8" t="inlineStr">
        <is>
          <t>Local 5</t>
        </is>
      </c>
      <c r="E78" s="8" t="inlineStr">
        <is>
          <t>69205177</t>
        </is>
      </c>
      <c r="F78" s="8" t="inlineStr">
        <is>
          <t>1416</t>
        </is>
      </c>
      <c r="G78" s="9" t="n">
        <v>23000</v>
      </c>
      <c r="H78" s="9" t="n">
        <v>22777.36</v>
      </c>
      <c r="I78" s="8" t="inlineStr">
        <is>
          <t>Sí</t>
        </is>
      </c>
      <c r="J78" s="8" t="inlineStr">
        <is>
          <t>Sí</t>
        </is>
      </c>
      <c r="K78" s="8" t="inlineStr">
        <is>
          <t>OK - en banco y Flexxus</t>
        </is>
      </c>
    </row>
    <row r="79">
      <c r="A79" s="8" t="inlineStr">
        <is>
          <t>25/04/2026</t>
        </is>
      </c>
      <c r="B79" s="8" t="inlineStr">
        <is>
          <t>Completa</t>
        </is>
      </c>
      <c r="C79" s="8" t="inlineStr">
        <is>
          <t>29841670</t>
        </is>
      </c>
      <c r="D79" s="8" t="inlineStr">
        <is>
          <t>Local 5</t>
        </is>
      </c>
      <c r="E79" s="8" t="inlineStr">
        <is>
          <t>69467539</t>
        </is>
      </c>
      <c r="F79" s="8" t="inlineStr">
        <is>
          <t>377</t>
        </is>
      </c>
      <c r="G79" s="9" t="n">
        <v>27000</v>
      </c>
      <c r="H79" s="9" t="n">
        <v>26738.64</v>
      </c>
      <c r="I79" s="8" t="inlineStr">
        <is>
          <t>Sí</t>
        </is>
      </c>
      <c r="J79" s="8" t="inlineStr">
        <is>
          <t>Sí</t>
        </is>
      </c>
      <c r="K79" s="8" t="inlineStr">
        <is>
          <t>OK - en banco y Flexxus</t>
        </is>
      </c>
    </row>
    <row r="80">
      <c r="A80" s="8" t="inlineStr">
        <is>
          <t>25/04/2026</t>
        </is>
      </c>
      <c r="B80" s="8" t="inlineStr">
        <is>
          <t>Completa</t>
        </is>
      </c>
      <c r="C80" s="8" t="inlineStr">
        <is>
          <t>29841670</t>
        </is>
      </c>
      <c r="D80" s="8" t="inlineStr">
        <is>
          <t>Local 5</t>
        </is>
      </c>
      <c r="E80" s="8" t="inlineStr">
        <is>
          <t>39943954</t>
        </is>
      </c>
      <c r="F80" s="8" t="inlineStr">
        <is>
          <t>462</t>
        </is>
      </c>
      <c r="G80" s="9" t="n">
        <v>13500</v>
      </c>
      <c r="H80" s="9" t="n">
        <v>13369.32</v>
      </c>
      <c r="I80" s="8" t="inlineStr">
        <is>
          <t>Sí</t>
        </is>
      </c>
      <c r="J80" s="8" t="inlineStr">
        <is>
          <t>Sí</t>
        </is>
      </c>
      <c r="K80" s="8" t="inlineStr">
        <is>
          <t>OK - en banco y Flexxus</t>
        </is>
      </c>
    </row>
    <row r="81">
      <c r="A81" s="8" t="inlineStr">
        <is>
          <t>25/04/2026</t>
        </is>
      </c>
      <c r="B81" s="8" t="inlineStr">
        <is>
          <t>Completa</t>
        </is>
      </c>
      <c r="C81" s="8" t="inlineStr">
        <is>
          <t>29841670</t>
        </is>
      </c>
      <c r="D81" s="8" t="inlineStr">
        <is>
          <t>Local 5</t>
        </is>
      </c>
      <c r="E81" s="8" t="inlineStr">
        <is>
          <t>69467539</t>
        </is>
      </c>
      <c r="F81" s="8" t="inlineStr">
        <is>
          <t>375</t>
        </is>
      </c>
      <c r="G81" s="9" t="n">
        <v>51100</v>
      </c>
      <c r="H81" s="9" t="n">
        <v>50605.35</v>
      </c>
      <c r="I81" s="8" t="inlineStr">
        <is>
          <t>No</t>
        </is>
      </c>
      <c r="J81" s="8" t="inlineStr">
        <is>
          <t>No</t>
        </is>
      </c>
      <c r="K81" s="8" t="inlineStr">
        <is>
          <t>Revisar</t>
        </is>
      </c>
    </row>
    <row r="82">
      <c r="A82" s="8" t="inlineStr">
        <is>
          <t>25/04/2026</t>
        </is>
      </c>
      <c r="B82" s="8" t="inlineStr">
        <is>
          <t>Completa</t>
        </is>
      </c>
      <c r="C82" s="8" t="inlineStr">
        <is>
          <t>29841670</t>
        </is>
      </c>
      <c r="D82" s="8" t="inlineStr">
        <is>
          <t>Local 5</t>
        </is>
      </c>
      <c r="E82" s="8" t="inlineStr">
        <is>
          <t>69205177</t>
        </is>
      </c>
      <c r="F82" s="8" t="inlineStr">
        <is>
          <t>1415</t>
        </is>
      </c>
      <c r="G82" s="9" t="n">
        <v>110400</v>
      </c>
      <c r="H82" s="9" t="n">
        <v>109331.33</v>
      </c>
      <c r="I82" s="8" t="inlineStr">
        <is>
          <t>No</t>
        </is>
      </c>
      <c r="J82" s="8" t="inlineStr">
        <is>
          <t>No</t>
        </is>
      </c>
      <c r="K82" s="8" t="inlineStr">
        <is>
          <t>Revisar</t>
        </is>
      </c>
    </row>
    <row r="83">
      <c r="A83" s="8" t="inlineStr">
        <is>
          <t>25/04/2026</t>
        </is>
      </c>
      <c r="B83" s="8" t="inlineStr">
        <is>
          <t>Completa</t>
        </is>
      </c>
      <c r="C83" s="8" t="inlineStr">
        <is>
          <t>29841670</t>
        </is>
      </c>
      <c r="D83" s="8" t="inlineStr">
        <is>
          <t>Local 5</t>
        </is>
      </c>
      <c r="E83" s="8" t="inlineStr">
        <is>
          <t>69467539</t>
        </is>
      </c>
      <c r="F83" s="8" t="inlineStr">
        <is>
          <t>374</t>
        </is>
      </c>
      <c r="G83" s="9" t="n">
        <v>40500</v>
      </c>
      <c r="H83" s="9" t="n">
        <v>40107.96</v>
      </c>
      <c r="I83" s="8" t="inlineStr">
        <is>
          <t>Sí</t>
        </is>
      </c>
      <c r="J83" s="8" t="inlineStr">
        <is>
          <t>Sí</t>
        </is>
      </c>
      <c r="K83" s="8" t="inlineStr">
        <is>
          <t>OK - en banco y Flexxus</t>
        </is>
      </c>
    </row>
    <row r="84">
      <c r="A84" s="8" t="inlineStr">
        <is>
          <t>25/04/2026</t>
        </is>
      </c>
      <c r="B84" s="8" t="inlineStr">
        <is>
          <t>Completa</t>
        </is>
      </c>
      <c r="C84" s="8" t="inlineStr">
        <is>
          <t>29841670</t>
        </is>
      </c>
      <c r="D84" s="8" t="inlineStr">
        <is>
          <t>Local 5</t>
        </is>
      </c>
      <c r="E84" s="8" t="inlineStr">
        <is>
          <t>69205177</t>
        </is>
      </c>
      <c r="F84" s="8" t="inlineStr">
        <is>
          <t>1414</t>
        </is>
      </c>
      <c r="G84" s="9" t="n">
        <v>34000</v>
      </c>
      <c r="H84" s="9" t="n">
        <v>33670.88</v>
      </c>
      <c r="I84" s="8" t="inlineStr">
        <is>
          <t>No</t>
        </is>
      </c>
      <c r="J84" s="8" t="inlineStr">
        <is>
          <t>No</t>
        </is>
      </c>
      <c r="K84" s="8" t="inlineStr">
        <is>
          <t>Revisar</t>
        </is>
      </c>
    </row>
    <row r="85">
      <c r="A85" s="8" t="inlineStr">
        <is>
          <t>25/04/2026</t>
        </is>
      </c>
      <c r="B85" s="8" t="inlineStr">
        <is>
          <t>Completa</t>
        </is>
      </c>
      <c r="C85" s="8" t="inlineStr">
        <is>
          <t>29841670</t>
        </is>
      </c>
      <c r="D85" s="8" t="inlineStr">
        <is>
          <t>Local 5</t>
        </is>
      </c>
      <c r="E85" s="8" t="inlineStr">
        <is>
          <t>69467539</t>
        </is>
      </c>
      <c r="F85" s="8" t="inlineStr">
        <is>
          <t>371</t>
        </is>
      </c>
      <c r="G85" s="9" t="n">
        <v>0.01</v>
      </c>
      <c r="H85" s="9" t="n">
        <v>0.01</v>
      </c>
      <c r="I85" s="8" t="inlineStr">
        <is>
          <t>No</t>
        </is>
      </c>
      <c r="J85" s="8" t="inlineStr">
        <is>
          <t>No</t>
        </is>
      </c>
      <c r="K85" s="8" t="inlineStr">
        <is>
          <t>Revisar</t>
        </is>
      </c>
    </row>
    <row r="86">
      <c r="A86" s="8" t="inlineStr">
        <is>
          <t>25/04/2026</t>
        </is>
      </c>
      <c r="B86" s="8" t="inlineStr">
        <is>
          <t>Completa</t>
        </is>
      </c>
      <c r="C86" s="8" t="inlineStr">
        <is>
          <t>31995644</t>
        </is>
      </c>
      <c r="D86" s="8" t="inlineStr">
        <is>
          <t>Local 7</t>
        </is>
      </c>
      <c r="E86" s="8" t="inlineStr">
        <is>
          <t>69443513</t>
        </is>
      </c>
      <c r="F86" s="8" t="inlineStr">
        <is>
          <t>704</t>
        </is>
      </c>
      <c r="G86" s="9" t="n">
        <v>150900</v>
      </c>
      <c r="H86" s="9" t="n">
        <v>149439.29</v>
      </c>
      <c r="I86" s="8" t="inlineStr">
        <is>
          <t>No</t>
        </is>
      </c>
      <c r="J86" s="8" t="inlineStr">
        <is>
          <t>No</t>
        </is>
      </c>
      <c r="K86" s="8" t="inlineStr">
        <is>
          <t>Revisar</t>
        </is>
      </c>
    </row>
    <row r="87">
      <c r="A87" s="8" t="inlineStr">
        <is>
          <t>24/04/2026</t>
        </is>
      </c>
      <c r="B87" s="8" t="inlineStr">
        <is>
          <t>Completa</t>
        </is>
      </c>
      <c r="C87" s="8" t="inlineStr">
        <is>
          <t>32032899</t>
        </is>
      </c>
      <c r="D87" s="8" t="inlineStr">
        <is>
          <t>Local 8</t>
        </is>
      </c>
      <c r="E87" s="8" t="inlineStr">
        <is>
          <t>69443515</t>
        </is>
      </c>
      <c r="F87" s="8" t="inlineStr">
        <is>
          <t>1326</t>
        </is>
      </c>
      <c r="G87" s="9" t="n">
        <v>6900</v>
      </c>
      <c r="H87" s="9" t="n">
        <v>6833.21</v>
      </c>
      <c r="I87" s="8" t="inlineStr">
        <is>
          <t>Sí</t>
        </is>
      </c>
      <c r="J87" s="8" t="inlineStr">
        <is>
          <t>Sí</t>
        </is>
      </c>
      <c r="K87" s="8" t="inlineStr">
        <is>
          <t>OK - en banco y Flexxus</t>
        </is>
      </c>
    </row>
    <row r="88">
      <c r="A88" s="8" t="inlineStr">
        <is>
          <t>24/04/2026</t>
        </is>
      </c>
      <c r="B88" s="8" t="inlineStr">
        <is>
          <t>Completa</t>
        </is>
      </c>
      <c r="C88" s="8" t="inlineStr">
        <is>
          <t>32032899</t>
        </is>
      </c>
      <c r="D88" s="8" t="inlineStr">
        <is>
          <t>Local 8</t>
        </is>
      </c>
      <c r="E88" s="8" t="inlineStr">
        <is>
          <t>69443515</t>
        </is>
      </c>
      <c r="F88" s="8" t="inlineStr">
        <is>
          <t>1324</t>
        </is>
      </c>
      <c r="G88" s="9" t="n">
        <v>72400</v>
      </c>
      <c r="H88" s="9" t="n">
        <v>71699.17</v>
      </c>
      <c r="I88" s="8" t="inlineStr">
        <is>
          <t>Sí</t>
        </is>
      </c>
      <c r="J88" s="8" t="inlineStr">
        <is>
          <t>Sí</t>
        </is>
      </c>
      <c r="K88" s="8" t="inlineStr">
        <is>
          <t>OK - en banco y Flexxus</t>
        </is>
      </c>
    </row>
    <row r="89">
      <c r="A89" s="8" t="inlineStr">
        <is>
          <t>24/04/2026</t>
        </is>
      </c>
      <c r="B89" s="8" t="inlineStr">
        <is>
          <t>Completa</t>
        </is>
      </c>
      <c r="C89" s="8" t="inlineStr">
        <is>
          <t>29841705</t>
        </is>
      </c>
      <c r="D89" s="8" t="inlineStr">
        <is>
          <t>Local 6</t>
        </is>
      </c>
      <c r="E89" s="8" t="inlineStr">
        <is>
          <t>69333384</t>
        </is>
      </c>
      <c r="F89" s="8" t="inlineStr">
        <is>
          <t>3697</t>
        </is>
      </c>
      <c r="G89" s="9" t="n">
        <v>10600</v>
      </c>
      <c r="H89" s="9" t="n">
        <v>10497.39</v>
      </c>
      <c r="I89" s="8" t="inlineStr">
        <is>
          <t>Sí</t>
        </is>
      </c>
      <c r="J89" s="8" t="inlineStr">
        <is>
          <t>Sí</t>
        </is>
      </c>
      <c r="K89" s="8" t="inlineStr">
        <is>
          <t>OK - en banco y Flexxus</t>
        </is>
      </c>
    </row>
    <row r="90">
      <c r="A90" s="8" t="inlineStr">
        <is>
          <t>24/04/2026</t>
        </is>
      </c>
      <c r="B90" s="8" t="inlineStr">
        <is>
          <t>Completa</t>
        </is>
      </c>
      <c r="C90" s="8" t="inlineStr">
        <is>
          <t>31995644</t>
        </is>
      </c>
      <c r="D90" s="8" t="inlineStr">
        <is>
          <t>Local 7</t>
        </is>
      </c>
      <c r="E90" s="8" t="inlineStr">
        <is>
          <t>69443513</t>
        </is>
      </c>
      <c r="F90" s="8" t="inlineStr">
        <is>
          <t>700</t>
        </is>
      </c>
      <c r="G90" s="9" t="n">
        <v>68200</v>
      </c>
      <c r="H90" s="9" t="n">
        <v>67539.82000000001</v>
      </c>
      <c r="I90" s="8" t="inlineStr">
        <is>
          <t>Sí</t>
        </is>
      </c>
      <c r="J90" s="8" t="inlineStr">
        <is>
          <t>Sí</t>
        </is>
      </c>
      <c r="K90" s="8" t="inlineStr">
        <is>
          <t>OK - en banco y Flexxus</t>
        </is>
      </c>
    </row>
    <row r="91">
      <c r="A91" s="8" t="inlineStr">
        <is>
          <t>24/04/2026</t>
        </is>
      </c>
      <c r="B91" s="8" t="inlineStr">
        <is>
          <t>Completa</t>
        </is>
      </c>
      <c r="C91" s="8" t="inlineStr">
        <is>
          <t>29841705</t>
        </is>
      </c>
      <c r="D91" s="8" t="inlineStr">
        <is>
          <t>Local 6</t>
        </is>
      </c>
      <c r="E91" s="8" t="inlineStr">
        <is>
          <t>69333384</t>
        </is>
      </c>
      <c r="F91" s="8" t="inlineStr">
        <is>
          <t>3693</t>
        </is>
      </c>
      <c r="G91" s="9" t="n">
        <v>4500</v>
      </c>
      <c r="H91" s="9" t="n">
        <v>4456.44</v>
      </c>
      <c r="I91" s="8" t="inlineStr">
        <is>
          <t>Sí</t>
        </is>
      </c>
      <c r="J91" s="8" t="inlineStr">
        <is>
          <t>Sí</t>
        </is>
      </c>
      <c r="K91" s="8" t="inlineStr">
        <is>
          <t>OK - en banco y Flexxus</t>
        </is>
      </c>
    </row>
    <row r="92">
      <c r="A92" s="8" t="inlineStr">
        <is>
          <t>24/04/2026</t>
        </is>
      </c>
      <c r="B92" s="8" t="inlineStr">
        <is>
          <t>Completa</t>
        </is>
      </c>
      <c r="C92" s="8" t="inlineStr">
        <is>
          <t>32032899</t>
        </is>
      </c>
      <c r="D92" s="8" t="inlineStr">
        <is>
          <t>Local 8</t>
        </is>
      </c>
      <c r="E92" s="8" t="inlineStr">
        <is>
          <t>69443515</t>
        </is>
      </c>
      <c r="F92" s="8" t="inlineStr">
        <is>
          <t>1323</t>
        </is>
      </c>
      <c r="G92" s="9" t="n">
        <v>7800</v>
      </c>
      <c r="H92" s="9" t="n">
        <v>7724.5</v>
      </c>
      <c r="I92" s="8" t="inlineStr">
        <is>
          <t>Sí</t>
        </is>
      </c>
      <c r="J92" s="8" t="inlineStr">
        <is>
          <t>Sí</t>
        </is>
      </c>
      <c r="K92" s="8" t="inlineStr">
        <is>
          <t>OK - en banco y Flexxus</t>
        </is>
      </c>
    </row>
    <row r="93">
      <c r="A93" s="8" t="inlineStr">
        <is>
          <t>24/04/2026</t>
        </is>
      </c>
      <c r="B93" s="8" t="inlineStr">
        <is>
          <t>Completa</t>
        </is>
      </c>
      <c r="C93" s="8" t="inlineStr">
        <is>
          <t>32032899</t>
        </is>
      </c>
      <c r="D93" s="8" t="inlineStr">
        <is>
          <t>Local 8</t>
        </is>
      </c>
      <c r="E93" s="8" t="inlineStr">
        <is>
          <t>69443515</t>
        </is>
      </c>
      <c r="F93" s="8" t="inlineStr">
        <is>
          <t>1322</t>
        </is>
      </c>
      <c r="G93" s="9" t="n">
        <v>22400</v>
      </c>
      <c r="H93" s="9" t="n">
        <v>22183.17</v>
      </c>
      <c r="I93" s="8" t="inlineStr">
        <is>
          <t>Sí</t>
        </is>
      </c>
      <c r="J93" s="8" t="inlineStr">
        <is>
          <t>Sí</t>
        </is>
      </c>
      <c r="K93" s="8" t="inlineStr">
        <is>
          <t>OK - en banco y Flexxus</t>
        </is>
      </c>
    </row>
    <row r="94">
      <c r="A94" s="8" t="inlineStr">
        <is>
          <t>24/04/2026</t>
        </is>
      </c>
      <c r="B94" s="8" t="inlineStr">
        <is>
          <t>Completa</t>
        </is>
      </c>
      <c r="C94" s="8" t="inlineStr">
        <is>
          <t>29841670</t>
        </is>
      </c>
      <c r="D94" s="8" t="inlineStr">
        <is>
          <t>Local 5</t>
        </is>
      </c>
      <c r="E94" s="8" t="inlineStr">
        <is>
          <t>69205177</t>
        </is>
      </c>
      <c r="F94" s="8" t="inlineStr">
        <is>
          <t>1413</t>
        </is>
      </c>
      <c r="G94" s="9" t="n">
        <v>48000</v>
      </c>
      <c r="H94" s="9" t="n">
        <v>47535.36</v>
      </c>
      <c r="I94" s="8" t="inlineStr">
        <is>
          <t>Sí</t>
        </is>
      </c>
      <c r="J94" s="8" t="inlineStr">
        <is>
          <t>Sí</t>
        </is>
      </c>
      <c r="K94" s="8" t="inlineStr">
        <is>
          <t>OK - en banco y Flexxus</t>
        </is>
      </c>
    </row>
    <row r="95">
      <c r="A95" s="8" t="inlineStr">
        <is>
          <t>24/04/2026</t>
        </is>
      </c>
      <c r="B95" s="8" t="inlineStr">
        <is>
          <t>Completa</t>
        </is>
      </c>
      <c r="C95" s="8" t="inlineStr">
        <is>
          <t>29841670</t>
        </is>
      </c>
      <c r="D95" s="8" t="inlineStr">
        <is>
          <t>Local 5</t>
        </is>
      </c>
      <c r="E95" s="8" t="inlineStr">
        <is>
          <t>69343173</t>
        </is>
      </c>
      <c r="F95" s="8" t="inlineStr">
        <is>
          <t>1665</t>
        </is>
      </c>
      <c r="G95" s="9" t="n">
        <v>11500</v>
      </c>
      <c r="H95" s="9" t="n">
        <v>11388.68</v>
      </c>
      <c r="I95" s="8" t="inlineStr">
        <is>
          <t>Sí</t>
        </is>
      </c>
      <c r="J95" s="8" t="inlineStr">
        <is>
          <t>Sí</t>
        </is>
      </c>
      <c r="K95" s="8" t="inlineStr">
        <is>
          <t>OK - en banco y Flexxus</t>
        </is>
      </c>
    </row>
    <row r="96">
      <c r="A96" s="8" t="inlineStr">
        <is>
          <t>24/04/2026</t>
        </is>
      </c>
      <c r="B96" s="8" t="inlineStr">
        <is>
          <t>Completa</t>
        </is>
      </c>
      <c r="C96" s="8" t="inlineStr">
        <is>
          <t>29841670</t>
        </is>
      </c>
      <c r="D96" s="8" t="inlineStr">
        <is>
          <t>Local 5</t>
        </is>
      </c>
      <c r="E96" s="8" t="inlineStr">
        <is>
          <t>69467539</t>
        </is>
      </c>
      <c r="F96" s="8" t="inlineStr">
        <is>
          <t>369</t>
        </is>
      </c>
      <c r="G96" s="9" t="n">
        <v>15900</v>
      </c>
      <c r="H96" s="9" t="n">
        <v>15746.09</v>
      </c>
      <c r="I96" s="8" t="inlineStr">
        <is>
          <t>Sí</t>
        </is>
      </c>
      <c r="J96" s="8" t="inlineStr">
        <is>
          <t>Sí</t>
        </is>
      </c>
      <c r="K96" s="8" t="inlineStr">
        <is>
          <t>OK - en banco y Flexxus</t>
        </is>
      </c>
    </row>
    <row r="97">
      <c r="A97" s="8" t="inlineStr">
        <is>
          <t>24/04/2026</t>
        </is>
      </c>
      <c r="B97" s="8" t="inlineStr">
        <is>
          <t>Completa</t>
        </is>
      </c>
      <c r="C97" s="8" t="inlineStr">
        <is>
          <t>29841705</t>
        </is>
      </c>
      <c r="D97" s="8" t="inlineStr">
        <is>
          <t>Local 6</t>
        </is>
      </c>
      <c r="E97" s="8" t="inlineStr">
        <is>
          <t>69333384</t>
        </is>
      </c>
      <c r="F97" s="8" t="inlineStr">
        <is>
          <t>3692</t>
        </is>
      </c>
      <c r="G97" s="9" t="n">
        <v>12990</v>
      </c>
      <c r="H97" s="9" t="n">
        <v>12864.26</v>
      </c>
      <c r="I97" s="8" t="inlineStr">
        <is>
          <t>Sí</t>
        </is>
      </c>
      <c r="J97" s="8" t="inlineStr">
        <is>
          <t>Sí</t>
        </is>
      </c>
      <c r="K97" s="8" t="inlineStr">
        <is>
          <t>OK - en banco y Flexxus</t>
        </is>
      </c>
    </row>
    <row r="98">
      <c r="A98" s="8" t="inlineStr">
        <is>
          <t>24/04/2026</t>
        </is>
      </c>
      <c r="B98" s="8" t="inlineStr">
        <is>
          <t>Completa</t>
        </is>
      </c>
      <c r="C98" s="8" t="inlineStr">
        <is>
          <t>29841705</t>
        </is>
      </c>
      <c r="D98" s="8" t="inlineStr">
        <is>
          <t>Local 6</t>
        </is>
      </c>
      <c r="E98" s="8" t="inlineStr">
        <is>
          <t>69333384</t>
        </is>
      </c>
      <c r="F98" s="8" t="inlineStr">
        <is>
          <t>3691</t>
        </is>
      </c>
      <c r="G98" s="9" t="n">
        <v>4500</v>
      </c>
      <c r="H98" s="9" t="n">
        <v>4456.44</v>
      </c>
      <c r="I98" s="8" t="inlineStr">
        <is>
          <t>Sí</t>
        </is>
      </c>
      <c r="J98" s="8" t="inlineStr">
        <is>
          <t>Sí</t>
        </is>
      </c>
      <c r="K98" s="8" t="inlineStr">
        <is>
          <t>OK - en banco y Flexxus</t>
        </is>
      </c>
    </row>
    <row r="99">
      <c r="A99" s="8" t="inlineStr">
        <is>
          <t>24/04/2026</t>
        </is>
      </c>
      <c r="B99" s="8" t="inlineStr">
        <is>
          <t>Completa</t>
        </is>
      </c>
      <c r="C99" s="8" t="inlineStr">
        <is>
          <t>32032899</t>
        </is>
      </c>
      <c r="D99" s="8" t="inlineStr">
        <is>
          <t>Local 8</t>
        </is>
      </c>
      <c r="E99" s="8" t="inlineStr">
        <is>
          <t>69443515</t>
        </is>
      </c>
      <c r="F99" s="8" t="inlineStr">
        <is>
          <t>1321</t>
        </is>
      </c>
      <c r="G99" s="9" t="n">
        <v>3550</v>
      </c>
      <c r="H99" s="9" t="n">
        <v>3515.64</v>
      </c>
      <c r="I99" s="8" t="inlineStr">
        <is>
          <t>Sí</t>
        </is>
      </c>
      <c r="J99" s="8" t="inlineStr">
        <is>
          <t>Sí</t>
        </is>
      </c>
      <c r="K99" s="8" t="inlineStr">
        <is>
          <t>OK - en banco y Flexxus</t>
        </is>
      </c>
    </row>
    <row r="100">
      <c r="A100" s="8" t="inlineStr">
        <is>
          <t>24/04/2026</t>
        </is>
      </c>
      <c r="B100" s="8" t="inlineStr">
        <is>
          <t>Completa</t>
        </is>
      </c>
      <c r="C100" s="8" t="inlineStr">
        <is>
          <t>32032899</t>
        </is>
      </c>
      <c r="D100" s="8" t="inlineStr">
        <is>
          <t>Local 8</t>
        </is>
      </c>
      <c r="E100" s="8" t="inlineStr">
        <is>
          <t>69443515</t>
        </is>
      </c>
      <c r="F100" s="8" t="inlineStr">
        <is>
          <t>1318</t>
        </is>
      </c>
      <c r="G100" s="9" t="n">
        <v>68000</v>
      </c>
      <c r="H100" s="9" t="n">
        <v>67341.75999999999</v>
      </c>
      <c r="I100" s="8" t="inlineStr">
        <is>
          <t>Sí</t>
        </is>
      </c>
      <c r="J100" s="8" t="inlineStr">
        <is>
          <t>Sí</t>
        </is>
      </c>
      <c r="K100" s="8" t="inlineStr">
        <is>
          <t>OK - en banco y Flexxus</t>
        </is>
      </c>
    </row>
    <row r="101">
      <c r="A101" s="8" t="inlineStr">
        <is>
          <t>24/04/2026</t>
        </is>
      </c>
      <c r="B101" s="8" t="inlineStr">
        <is>
          <t>Completa</t>
        </is>
      </c>
      <c r="C101" s="8" t="inlineStr">
        <is>
          <t>31995644</t>
        </is>
      </c>
      <c r="D101" s="8" t="inlineStr">
        <is>
          <t>Local 7</t>
        </is>
      </c>
      <c r="E101" s="8" t="inlineStr">
        <is>
          <t>69443513</t>
        </is>
      </c>
      <c r="F101" s="8" t="inlineStr">
        <is>
          <t>697</t>
        </is>
      </c>
      <c r="G101" s="9" t="n">
        <v>200700</v>
      </c>
      <c r="H101" s="9" t="n">
        <v>198757.22</v>
      </c>
      <c r="I101" s="8" t="inlineStr">
        <is>
          <t>Sí</t>
        </is>
      </c>
      <c r="J101" s="8" t="inlineStr">
        <is>
          <t>Sí</t>
        </is>
      </c>
      <c r="K101" s="8" t="inlineStr">
        <is>
          <t>OK - en banco y Flexxus</t>
        </is>
      </c>
    </row>
    <row r="102">
      <c r="A102" s="8" t="inlineStr">
        <is>
          <t>24/04/2026</t>
        </is>
      </c>
      <c r="B102" s="8" t="inlineStr">
        <is>
          <t>Completa</t>
        </is>
      </c>
      <c r="C102" s="8" t="inlineStr">
        <is>
          <t>29841670</t>
        </is>
      </c>
      <c r="D102" s="8" t="inlineStr">
        <is>
          <t>Local 5</t>
        </is>
      </c>
      <c r="E102" s="8" t="inlineStr">
        <is>
          <t>69467539</t>
        </is>
      </c>
      <c r="F102" s="8" t="inlineStr">
        <is>
          <t>367</t>
        </is>
      </c>
      <c r="G102" s="9" t="n">
        <v>27000</v>
      </c>
      <c r="H102" s="9" t="n">
        <v>26738.64</v>
      </c>
      <c r="I102" s="8" t="inlineStr">
        <is>
          <t>Sí</t>
        </is>
      </c>
      <c r="J102" s="8" t="inlineStr">
        <is>
          <t>Sí</t>
        </is>
      </c>
      <c r="K102" s="8" t="inlineStr">
        <is>
          <t>OK - en banco y Flexxus</t>
        </is>
      </c>
    </row>
    <row r="103">
      <c r="A103" s="8" t="inlineStr">
        <is>
          <t>24/04/2026</t>
        </is>
      </c>
      <c r="B103" s="8" t="inlineStr">
        <is>
          <t>Completa</t>
        </is>
      </c>
      <c r="C103" s="8" t="inlineStr">
        <is>
          <t>29841705</t>
        </is>
      </c>
      <c r="D103" s="8" t="inlineStr">
        <is>
          <t>Local 6</t>
        </is>
      </c>
      <c r="E103" s="8" t="inlineStr">
        <is>
          <t>69333384</t>
        </is>
      </c>
      <c r="F103" s="8" t="inlineStr">
        <is>
          <t>3690</t>
        </is>
      </c>
      <c r="G103" s="9" t="n">
        <v>35800</v>
      </c>
      <c r="H103" s="9" t="n">
        <v>35453.46</v>
      </c>
      <c r="I103" s="8" t="inlineStr">
        <is>
          <t>Sí</t>
        </is>
      </c>
      <c r="J103" s="8" t="inlineStr">
        <is>
          <t>Sí</t>
        </is>
      </c>
      <c r="K103" s="8" t="inlineStr">
        <is>
          <t>OK - en banco y Flexxus</t>
        </is>
      </c>
    </row>
    <row r="104">
      <c r="A104" s="8" t="inlineStr">
        <is>
          <t>24/04/2026</t>
        </is>
      </c>
      <c r="B104" s="8" t="inlineStr">
        <is>
          <t>Completa</t>
        </is>
      </c>
      <c r="C104" s="8" t="inlineStr">
        <is>
          <t>29841670</t>
        </is>
      </c>
      <c r="D104" s="8" t="inlineStr">
        <is>
          <t>Local 5</t>
        </is>
      </c>
      <c r="E104" s="8" t="inlineStr">
        <is>
          <t>39943954</t>
        </is>
      </c>
      <c r="F104" s="8" t="inlineStr">
        <is>
          <t>457</t>
        </is>
      </c>
      <c r="G104" s="9" t="n">
        <v>23000</v>
      </c>
      <c r="H104" s="9" t="n">
        <v>22777.36</v>
      </c>
      <c r="I104" s="8" t="inlineStr">
        <is>
          <t>Sí</t>
        </is>
      </c>
      <c r="J104" s="8" t="inlineStr">
        <is>
          <t>Sí</t>
        </is>
      </c>
      <c r="K104" s="8" t="inlineStr">
        <is>
          <t>OK - en banco y Flexxus</t>
        </is>
      </c>
    </row>
    <row r="105">
      <c r="A105" s="8" t="inlineStr">
        <is>
          <t>23/04/2026</t>
        </is>
      </c>
      <c r="B105" s="8" t="inlineStr">
        <is>
          <t>Completa</t>
        </is>
      </c>
      <c r="C105" s="8" t="inlineStr">
        <is>
          <t>31995644</t>
        </is>
      </c>
      <c r="D105" s="8" t="inlineStr">
        <is>
          <t>Local 7</t>
        </is>
      </c>
      <c r="E105" s="8" t="inlineStr">
        <is>
          <t>69443513</t>
        </is>
      </c>
      <c r="F105" s="8" t="inlineStr">
        <is>
          <t>696</t>
        </is>
      </c>
      <c r="G105" s="9" t="n">
        <v>11600</v>
      </c>
      <c r="H105" s="9" t="n">
        <v>11487.71</v>
      </c>
      <c r="I105" s="8" t="inlineStr">
        <is>
          <t>Sí</t>
        </is>
      </c>
      <c r="J105" s="8" t="inlineStr">
        <is>
          <t>Sí</t>
        </is>
      </c>
      <c r="K105" s="8" t="inlineStr">
        <is>
          <t>OK - en banco y Flexxus</t>
        </is>
      </c>
    </row>
    <row r="106">
      <c r="A106" s="8" t="inlineStr">
        <is>
          <t>23/04/2026</t>
        </is>
      </c>
      <c r="B106" s="8" t="inlineStr">
        <is>
          <t>Completa</t>
        </is>
      </c>
      <c r="C106" s="8" t="inlineStr">
        <is>
          <t>29841670</t>
        </is>
      </c>
      <c r="D106" s="8" t="inlineStr">
        <is>
          <t>Local 5</t>
        </is>
      </c>
      <c r="E106" s="8" t="inlineStr">
        <is>
          <t>69467539</t>
        </is>
      </c>
      <c r="F106" s="8" t="inlineStr">
        <is>
          <t>365</t>
        </is>
      </c>
      <c r="G106" s="9" t="n">
        <v>74600</v>
      </c>
      <c r="H106" s="9" t="n">
        <v>73877.87</v>
      </c>
      <c r="I106" s="8" t="inlineStr">
        <is>
          <t>Sí</t>
        </is>
      </c>
      <c r="J106" s="8" t="inlineStr">
        <is>
          <t>Sí</t>
        </is>
      </c>
      <c r="K106" s="8" t="inlineStr">
        <is>
          <t>OK - en banco y Flexxus</t>
        </is>
      </c>
    </row>
    <row r="107">
      <c r="A107" s="8" t="inlineStr">
        <is>
          <t>23/04/2026</t>
        </is>
      </c>
      <c r="B107" s="8" t="inlineStr">
        <is>
          <t>Completa</t>
        </is>
      </c>
      <c r="C107" s="8" t="inlineStr">
        <is>
          <t>29841670</t>
        </is>
      </c>
      <c r="D107" s="8" t="inlineStr">
        <is>
          <t>Local 5</t>
        </is>
      </c>
      <c r="E107" s="8" t="inlineStr">
        <is>
          <t>39943954</t>
        </is>
      </c>
      <c r="F107" s="8" t="inlineStr">
        <is>
          <t>455</t>
        </is>
      </c>
      <c r="G107" s="9" t="n">
        <v>9000</v>
      </c>
      <c r="H107" s="9" t="n">
        <v>8912.879999999999</v>
      </c>
      <c r="I107" s="8" t="inlineStr">
        <is>
          <t>Sí</t>
        </is>
      </c>
      <c r="J107" s="8" t="inlineStr">
        <is>
          <t>Sí</t>
        </is>
      </c>
      <c r="K107" s="8" t="inlineStr">
        <is>
          <t>OK - en banco y Flexxus</t>
        </is>
      </c>
    </row>
    <row r="108">
      <c r="A108" s="8" t="inlineStr">
        <is>
          <t>23/04/2026</t>
        </is>
      </c>
      <c r="B108" s="8" t="inlineStr">
        <is>
          <t>Completa</t>
        </is>
      </c>
      <c r="C108" s="8" t="inlineStr">
        <is>
          <t>32032899</t>
        </is>
      </c>
      <c r="D108" s="8" t="inlineStr">
        <is>
          <t>Local 8</t>
        </is>
      </c>
      <c r="E108" s="8" t="inlineStr">
        <is>
          <t>69443515</t>
        </is>
      </c>
      <c r="F108" s="8" t="inlineStr">
        <is>
          <t>1313</t>
        </is>
      </c>
      <c r="G108" s="9" t="n">
        <v>11500</v>
      </c>
      <c r="H108" s="9" t="n">
        <v>11388.68</v>
      </c>
      <c r="I108" s="8" t="inlineStr">
        <is>
          <t>Sí</t>
        </is>
      </c>
      <c r="J108" s="8" t="inlineStr">
        <is>
          <t>Sí</t>
        </is>
      </c>
      <c r="K108" s="8" t="inlineStr">
        <is>
          <t>OK - en banco y Flexxus</t>
        </is>
      </c>
    </row>
    <row r="109">
      <c r="A109" s="8" t="inlineStr">
        <is>
          <t>23/04/2026</t>
        </is>
      </c>
      <c r="B109" s="8" t="inlineStr">
        <is>
          <t>Completa</t>
        </is>
      </c>
      <c r="C109" s="8" t="inlineStr">
        <is>
          <t>29841670</t>
        </is>
      </c>
      <c r="D109" s="8" t="inlineStr">
        <is>
          <t>Local 5</t>
        </is>
      </c>
      <c r="E109" s="8" t="inlineStr">
        <is>
          <t>69343173</t>
        </is>
      </c>
      <c r="F109" s="8" t="inlineStr">
        <is>
          <t>1662</t>
        </is>
      </c>
      <c r="G109" s="9" t="n">
        <v>50000</v>
      </c>
      <c r="H109" s="9" t="n">
        <v>49516</v>
      </c>
      <c r="I109" s="8" t="inlineStr">
        <is>
          <t>Sí</t>
        </is>
      </c>
      <c r="J109" s="8" t="inlineStr">
        <is>
          <t>Sí</t>
        </is>
      </c>
      <c r="K109" s="8" t="inlineStr">
        <is>
          <t>OK - en banco y Flexxus</t>
        </is>
      </c>
    </row>
    <row r="110">
      <c r="A110" s="8" t="inlineStr">
        <is>
          <t>23/04/2026</t>
        </is>
      </c>
      <c r="B110" s="8" t="inlineStr">
        <is>
          <t>Completa</t>
        </is>
      </c>
      <c r="C110" s="8" t="inlineStr">
        <is>
          <t>29841670</t>
        </is>
      </c>
      <c r="D110" s="8" t="inlineStr">
        <is>
          <t>Local 5</t>
        </is>
      </c>
      <c r="E110" s="8" t="inlineStr">
        <is>
          <t>69467539</t>
        </is>
      </c>
      <c r="F110" s="8" t="inlineStr">
        <is>
          <t>364</t>
        </is>
      </c>
      <c r="G110" s="9" t="n">
        <v>15000</v>
      </c>
      <c r="H110" s="9" t="n">
        <v>14854.8</v>
      </c>
      <c r="I110" s="8" t="inlineStr">
        <is>
          <t>Sí</t>
        </is>
      </c>
      <c r="J110" s="8" t="inlineStr">
        <is>
          <t>Sí</t>
        </is>
      </c>
      <c r="K110" s="8" t="inlineStr">
        <is>
          <t>OK - en banco y Flexxus</t>
        </is>
      </c>
    </row>
    <row r="111">
      <c r="A111" s="8" t="inlineStr">
        <is>
          <t>23/04/2026</t>
        </is>
      </c>
      <c r="B111" s="8" t="inlineStr">
        <is>
          <t>Completa</t>
        </is>
      </c>
      <c r="C111" s="8" t="inlineStr">
        <is>
          <t>29841705</t>
        </is>
      </c>
      <c r="D111" s="8" t="inlineStr">
        <is>
          <t>Local 6</t>
        </is>
      </c>
      <c r="E111" s="8" t="inlineStr">
        <is>
          <t>69333384</t>
        </is>
      </c>
      <c r="F111" s="8" t="inlineStr">
        <is>
          <t>3688</t>
        </is>
      </c>
      <c r="G111" s="9" t="n">
        <v>21900</v>
      </c>
      <c r="H111" s="9" t="n">
        <v>21688.01</v>
      </c>
      <c r="I111" s="8" t="inlineStr">
        <is>
          <t>Sí</t>
        </is>
      </c>
      <c r="J111" s="8" t="inlineStr">
        <is>
          <t>Sí</t>
        </is>
      </c>
      <c r="K111" s="8" t="inlineStr">
        <is>
          <t>OK - en banco y Flexxus</t>
        </is>
      </c>
    </row>
    <row r="112">
      <c r="A112" s="8" t="inlineStr">
        <is>
          <t>23/04/2026</t>
        </is>
      </c>
      <c r="B112" s="8" t="inlineStr">
        <is>
          <t>Completa</t>
        </is>
      </c>
      <c r="C112" s="8" t="inlineStr">
        <is>
          <t>32032899</t>
        </is>
      </c>
      <c r="D112" s="8" t="inlineStr">
        <is>
          <t>Local 8</t>
        </is>
      </c>
      <c r="E112" s="8" t="inlineStr">
        <is>
          <t>69443515</t>
        </is>
      </c>
      <c r="F112" s="8" t="inlineStr">
        <is>
          <t>1309</t>
        </is>
      </c>
      <c r="G112" s="9" t="n">
        <v>34500</v>
      </c>
      <c r="H112" s="9" t="n">
        <v>34166.04</v>
      </c>
      <c r="I112" s="8" t="inlineStr">
        <is>
          <t>Sí</t>
        </is>
      </c>
      <c r="J112" s="8" t="inlineStr">
        <is>
          <t>Sí</t>
        </is>
      </c>
      <c r="K112" s="8" t="inlineStr">
        <is>
          <t>OK - en banco y Flexxus</t>
        </is>
      </c>
    </row>
    <row r="113">
      <c r="A113" s="8" t="inlineStr">
        <is>
          <t>23/04/2026</t>
        </is>
      </c>
      <c r="B113" s="8" t="inlineStr">
        <is>
          <t>Completa</t>
        </is>
      </c>
      <c r="C113" s="8" t="inlineStr">
        <is>
          <t>29841670</t>
        </is>
      </c>
      <c r="D113" s="8" t="inlineStr">
        <is>
          <t>Local 5</t>
        </is>
      </c>
      <c r="E113" s="8" t="inlineStr">
        <is>
          <t>69467539</t>
        </is>
      </c>
      <c r="F113" s="8" t="inlineStr">
        <is>
          <t>363</t>
        </is>
      </c>
      <c r="G113" s="9" t="n">
        <v>11500</v>
      </c>
      <c r="H113" s="9" t="n">
        <v>11388.68</v>
      </c>
      <c r="I113" s="8" t="inlineStr">
        <is>
          <t>Sí</t>
        </is>
      </c>
      <c r="J113" s="8" t="inlineStr">
        <is>
          <t>Sí</t>
        </is>
      </c>
      <c r="K113" s="8" t="inlineStr">
        <is>
          <t>OK - en banco y Flexxus</t>
        </is>
      </c>
    </row>
    <row r="114">
      <c r="A114" s="8" t="inlineStr">
        <is>
          <t>23/04/2026</t>
        </is>
      </c>
      <c r="B114" s="8" t="inlineStr">
        <is>
          <t>Completa</t>
        </is>
      </c>
      <c r="C114" s="8" t="inlineStr">
        <is>
          <t>29841670</t>
        </is>
      </c>
      <c r="D114" s="8" t="inlineStr">
        <is>
          <t>Local 5</t>
        </is>
      </c>
      <c r="E114" s="8" t="inlineStr">
        <is>
          <t>39943954</t>
        </is>
      </c>
      <c r="F114" s="8" t="inlineStr">
        <is>
          <t>451</t>
        </is>
      </c>
      <c r="G114" s="9" t="n">
        <v>33600</v>
      </c>
      <c r="H114" s="9" t="n">
        <v>33274.75</v>
      </c>
      <c r="I114" s="8" t="inlineStr">
        <is>
          <t>Sí</t>
        </is>
      </c>
      <c r="J114" s="8" t="inlineStr">
        <is>
          <t>Sí</t>
        </is>
      </c>
      <c r="K114" s="8" t="inlineStr">
        <is>
          <t>OK - en banco y Flexxus</t>
        </is>
      </c>
    </row>
    <row r="115">
      <c r="A115" s="8" t="inlineStr">
        <is>
          <t>23/04/2026</t>
        </is>
      </c>
      <c r="B115" s="8" t="inlineStr">
        <is>
          <t>Completa</t>
        </is>
      </c>
      <c r="C115" s="8" t="inlineStr">
        <is>
          <t>29841670</t>
        </is>
      </c>
      <c r="D115" s="8" t="inlineStr">
        <is>
          <t>Local 5</t>
        </is>
      </c>
      <c r="E115" s="8" t="inlineStr">
        <is>
          <t>69467539</t>
        </is>
      </c>
      <c r="F115" s="8" t="inlineStr">
        <is>
          <t>362</t>
        </is>
      </c>
      <c r="G115" s="9" t="n">
        <v>16000</v>
      </c>
      <c r="H115" s="9" t="n">
        <v>15845.12</v>
      </c>
      <c r="I115" s="8" t="inlineStr">
        <is>
          <t>Sí</t>
        </is>
      </c>
      <c r="J115" s="8" t="inlineStr">
        <is>
          <t>Sí</t>
        </is>
      </c>
      <c r="K115" s="8" t="inlineStr">
        <is>
          <t>OK - en banco y Flexxus</t>
        </is>
      </c>
    </row>
    <row r="116">
      <c r="A116" s="8" t="inlineStr">
        <is>
          <t>23/04/2026</t>
        </is>
      </c>
      <c r="B116" s="8" t="inlineStr">
        <is>
          <t>Completa</t>
        </is>
      </c>
      <c r="C116" s="8" t="inlineStr">
        <is>
          <t>29841670</t>
        </is>
      </c>
      <c r="D116" s="8" t="inlineStr">
        <is>
          <t>Local 5</t>
        </is>
      </c>
      <c r="E116" s="8" t="inlineStr">
        <is>
          <t>39943954</t>
        </is>
      </c>
      <c r="F116" s="8" t="inlineStr">
        <is>
          <t>448</t>
        </is>
      </c>
      <c r="G116" s="9" t="n">
        <v>18200</v>
      </c>
      <c r="H116" s="9" t="n">
        <v>18023.82</v>
      </c>
      <c r="I116" s="8" t="inlineStr">
        <is>
          <t>Sí</t>
        </is>
      </c>
      <c r="J116" s="8" t="inlineStr">
        <is>
          <t>Sí</t>
        </is>
      </c>
      <c r="K116" s="8" t="inlineStr">
        <is>
          <t>OK - en banco y Flexxus</t>
        </is>
      </c>
    </row>
    <row r="117">
      <c r="A117" s="8" t="inlineStr">
        <is>
          <t>23/04/2026</t>
        </is>
      </c>
      <c r="B117" s="8" t="inlineStr">
        <is>
          <t>Completa</t>
        </is>
      </c>
      <c r="C117" s="8" t="inlineStr">
        <is>
          <t>32032899</t>
        </is>
      </c>
      <c r="D117" s="8" t="inlineStr">
        <is>
          <t>Local 8</t>
        </is>
      </c>
      <c r="E117" s="8" t="inlineStr">
        <is>
          <t>69443515</t>
        </is>
      </c>
      <c r="F117" s="8" t="inlineStr">
        <is>
          <t>1308</t>
        </is>
      </c>
      <c r="G117" s="9" t="n">
        <v>24600</v>
      </c>
      <c r="H117" s="9" t="n">
        <v>24361.87</v>
      </c>
      <c r="I117" s="8" t="inlineStr">
        <is>
          <t>Sí</t>
        </is>
      </c>
      <c r="J117" s="8" t="inlineStr">
        <is>
          <t>Sí</t>
        </is>
      </c>
      <c r="K117" s="8" t="inlineStr">
        <is>
          <t>OK - en banco y Flexxus</t>
        </is>
      </c>
    </row>
    <row r="118">
      <c r="A118" s="8" t="inlineStr">
        <is>
          <t>22/04/2026</t>
        </is>
      </c>
      <c r="B118" s="8" t="inlineStr">
        <is>
          <t>Completa</t>
        </is>
      </c>
      <c r="C118" s="8" t="inlineStr">
        <is>
          <t>32032899</t>
        </is>
      </c>
      <c r="D118" s="8" t="inlineStr">
        <is>
          <t>Local 8</t>
        </is>
      </c>
      <c r="E118" s="8" t="inlineStr">
        <is>
          <t>69443515</t>
        </is>
      </c>
      <c r="F118" s="8" t="inlineStr">
        <is>
          <t>1307</t>
        </is>
      </c>
      <c r="G118" s="9" t="n">
        <v>155500</v>
      </c>
      <c r="H118" s="9" t="n">
        <v>153994.76</v>
      </c>
      <c r="I118" s="8" t="inlineStr">
        <is>
          <t>Sí</t>
        </is>
      </c>
      <c r="J118" s="8" t="inlineStr">
        <is>
          <t>Sí</t>
        </is>
      </c>
      <c r="K118" s="8" t="inlineStr">
        <is>
          <t>OK - en banco y Flexxus</t>
        </is>
      </c>
    </row>
    <row r="119">
      <c r="A119" s="8" t="inlineStr">
        <is>
          <t>22/04/2026</t>
        </is>
      </c>
      <c r="B119" s="8" t="inlineStr">
        <is>
          <t>Completa</t>
        </is>
      </c>
      <c r="C119" s="8" t="inlineStr">
        <is>
          <t>32032899</t>
        </is>
      </c>
      <c r="D119" s="8" t="inlineStr">
        <is>
          <t>Local 8</t>
        </is>
      </c>
      <c r="E119" s="8" t="inlineStr">
        <is>
          <t>69443515</t>
        </is>
      </c>
      <c r="F119" s="8" t="inlineStr">
        <is>
          <t>1305</t>
        </is>
      </c>
      <c r="G119" s="9" t="n">
        <v>67900</v>
      </c>
      <c r="H119" s="9" t="n">
        <v>67242.73</v>
      </c>
      <c r="I119" s="8" t="inlineStr">
        <is>
          <t>Sí</t>
        </is>
      </c>
      <c r="J119" s="8" t="inlineStr">
        <is>
          <t>Sí</t>
        </is>
      </c>
      <c r="K119" s="8" t="inlineStr">
        <is>
          <t>OK - en banco y Flexxus</t>
        </is>
      </c>
    </row>
    <row r="120">
      <c r="A120" s="8" t="inlineStr">
        <is>
          <t>22/04/2026</t>
        </is>
      </c>
      <c r="B120" s="8" t="inlineStr">
        <is>
          <t>Completa</t>
        </is>
      </c>
      <c r="C120" s="8" t="inlineStr">
        <is>
          <t>31995644</t>
        </is>
      </c>
      <c r="D120" s="8" t="inlineStr">
        <is>
          <t>Local 7</t>
        </is>
      </c>
      <c r="E120" s="8" t="inlineStr">
        <is>
          <t>69443513</t>
        </is>
      </c>
      <c r="F120" s="8" t="inlineStr">
        <is>
          <t>693</t>
        </is>
      </c>
      <c r="G120" s="9" t="n">
        <v>91500</v>
      </c>
      <c r="H120" s="9" t="n">
        <v>90614.28</v>
      </c>
      <c r="I120" s="8" t="inlineStr">
        <is>
          <t>Sí</t>
        </is>
      </c>
      <c r="J120" s="8" t="inlineStr">
        <is>
          <t>Sí</t>
        </is>
      </c>
      <c r="K120" s="8" t="inlineStr">
        <is>
          <t>OK - en banco y Flexxus</t>
        </is>
      </c>
    </row>
    <row r="121">
      <c r="A121" s="8" t="inlineStr">
        <is>
          <t>22/04/2026</t>
        </is>
      </c>
      <c r="B121" s="8" t="inlineStr">
        <is>
          <t>Completa</t>
        </is>
      </c>
      <c r="C121" s="8" t="inlineStr">
        <is>
          <t>29841705</t>
        </is>
      </c>
      <c r="D121" s="8" t="inlineStr">
        <is>
          <t>Local 6</t>
        </is>
      </c>
      <c r="E121" s="8" t="inlineStr">
        <is>
          <t>69333384</t>
        </is>
      </c>
      <c r="F121" s="8" t="inlineStr">
        <is>
          <t>3687</t>
        </is>
      </c>
      <c r="G121" s="9" t="n">
        <v>23000</v>
      </c>
      <c r="H121" s="9" t="n">
        <v>22777.36</v>
      </c>
      <c r="I121" s="8" t="inlineStr">
        <is>
          <t>Sí</t>
        </is>
      </c>
      <c r="J121" s="8" t="inlineStr">
        <is>
          <t>Sí</t>
        </is>
      </c>
      <c r="K121" s="8" t="inlineStr">
        <is>
          <t>OK - en banco y Flexxus</t>
        </is>
      </c>
    </row>
    <row r="122">
      <c r="A122" s="8" t="inlineStr">
        <is>
          <t>22/04/2026</t>
        </is>
      </c>
      <c r="B122" s="8" t="inlineStr">
        <is>
          <t>Completa</t>
        </is>
      </c>
      <c r="C122" s="8" t="inlineStr">
        <is>
          <t>29841670</t>
        </is>
      </c>
      <c r="D122" s="8" t="inlineStr">
        <is>
          <t>Local 5</t>
        </is>
      </c>
      <c r="E122" s="8" t="inlineStr">
        <is>
          <t>39943954</t>
        </is>
      </c>
      <c r="F122" s="8" t="inlineStr">
        <is>
          <t>445</t>
        </is>
      </c>
      <c r="G122" s="9" t="n">
        <v>25800</v>
      </c>
      <c r="H122" s="9" t="n">
        <v>25550.26</v>
      </c>
      <c r="I122" s="8" t="inlineStr">
        <is>
          <t>Sí</t>
        </is>
      </c>
      <c r="J122" s="8" t="inlineStr">
        <is>
          <t>Sí</t>
        </is>
      </c>
      <c r="K122" s="8" t="inlineStr">
        <is>
          <t>OK - en banco y Flexxus</t>
        </is>
      </c>
    </row>
    <row r="123">
      <c r="A123" s="8" t="inlineStr">
        <is>
          <t>22/04/2026</t>
        </is>
      </c>
      <c r="B123" s="8" t="inlineStr">
        <is>
          <t>Completa</t>
        </is>
      </c>
      <c r="C123" s="8" t="inlineStr">
        <is>
          <t>29841670</t>
        </is>
      </c>
      <c r="D123" s="8" t="inlineStr">
        <is>
          <t>Local 5</t>
        </is>
      </c>
      <c r="E123" s="8" t="inlineStr">
        <is>
          <t>69467539</t>
        </is>
      </c>
      <c r="F123" s="8" t="inlineStr">
        <is>
          <t>361</t>
        </is>
      </c>
      <c r="G123" s="9" t="n">
        <v>9000</v>
      </c>
      <c r="H123" s="9" t="n">
        <v>8912.879999999999</v>
      </c>
      <c r="I123" s="8" t="inlineStr">
        <is>
          <t>Sí</t>
        </is>
      </c>
      <c r="J123" s="8" t="inlineStr">
        <is>
          <t>Sí</t>
        </is>
      </c>
      <c r="K123" s="8" t="inlineStr">
        <is>
          <t>OK - en banco y Flexxus</t>
        </is>
      </c>
    </row>
    <row r="124">
      <c r="A124" s="8" t="inlineStr">
        <is>
          <t>22/04/2026</t>
        </is>
      </c>
      <c r="B124" s="8" t="inlineStr">
        <is>
          <t>Completa</t>
        </is>
      </c>
      <c r="C124" s="8" t="inlineStr">
        <is>
          <t>29841670</t>
        </is>
      </c>
      <c r="D124" s="8" t="inlineStr">
        <is>
          <t>Local 5</t>
        </is>
      </c>
      <c r="E124" s="8" t="inlineStr">
        <is>
          <t>69343173</t>
        </is>
      </c>
      <c r="F124" s="8" t="inlineStr">
        <is>
          <t>1660</t>
        </is>
      </c>
      <c r="G124" s="9" t="n">
        <v>11500</v>
      </c>
      <c r="H124" s="9" t="n">
        <v>11388.68</v>
      </c>
      <c r="I124" s="8" t="inlineStr">
        <is>
          <t>Sí</t>
        </is>
      </c>
      <c r="J124" s="8" t="inlineStr">
        <is>
          <t>Sí</t>
        </is>
      </c>
      <c r="K124" s="8" t="inlineStr">
        <is>
          <t>OK - en banco y Flexxus</t>
        </is>
      </c>
    </row>
    <row r="125">
      <c r="A125" s="8" t="inlineStr">
        <is>
          <t>22/04/2026</t>
        </is>
      </c>
      <c r="B125" s="8" t="inlineStr">
        <is>
          <t>Completa</t>
        </is>
      </c>
      <c r="C125" s="8" t="inlineStr">
        <is>
          <t>29841705</t>
        </is>
      </c>
      <c r="D125" s="8" t="inlineStr">
        <is>
          <t>Local 6</t>
        </is>
      </c>
      <c r="E125" s="8" t="inlineStr">
        <is>
          <t>69333384</t>
        </is>
      </c>
      <c r="F125" s="8" t="inlineStr">
        <is>
          <t>3684</t>
        </is>
      </c>
      <c r="G125" s="9" t="n">
        <v>13500</v>
      </c>
      <c r="H125" s="9" t="n">
        <v>13369.32</v>
      </c>
      <c r="I125" s="8" t="inlineStr">
        <is>
          <t>Sí</t>
        </is>
      </c>
      <c r="J125" s="8" t="inlineStr">
        <is>
          <t>Sí</t>
        </is>
      </c>
      <c r="K125" s="8" t="inlineStr">
        <is>
          <t>OK - en banco y Flexxus</t>
        </is>
      </c>
    </row>
    <row r="126">
      <c r="A126" s="8" t="inlineStr">
        <is>
          <t>22/04/2026</t>
        </is>
      </c>
      <c r="B126" s="8" t="inlineStr">
        <is>
          <t>Completa</t>
        </is>
      </c>
      <c r="C126" s="8" t="inlineStr">
        <is>
          <t>31995644</t>
        </is>
      </c>
      <c r="D126" s="8" t="inlineStr">
        <is>
          <t>Local 7</t>
        </is>
      </c>
      <c r="E126" s="8" t="inlineStr">
        <is>
          <t>69443513</t>
        </is>
      </c>
      <c r="F126" s="8" t="inlineStr">
        <is>
          <t>692</t>
        </is>
      </c>
      <c r="G126" s="9" t="n">
        <v>101700</v>
      </c>
      <c r="H126" s="9" t="n">
        <v>100715.54</v>
      </c>
      <c r="I126" s="8" t="inlineStr">
        <is>
          <t>Sí</t>
        </is>
      </c>
      <c r="J126" s="8" t="inlineStr">
        <is>
          <t>Sí</t>
        </is>
      </c>
      <c r="K126" s="8" t="inlineStr">
        <is>
          <t>OK - en banco y Flexxus</t>
        </is>
      </c>
    </row>
    <row r="127">
      <c r="A127" s="8" t="inlineStr">
        <is>
          <t>22/04/2026</t>
        </is>
      </c>
      <c r="B127" s="8" t="inlineStr">
        <is>
          <t>Completa</t>
        </is>
      </c>
      <c r="C127" s="8" t="inlineStr">
        <is>
          <t>32032899</t>
        </is>
      </c>
      <c r="D127" s="8" t="inlineStr">
        <is>
          <t>Local 8</t>
        </is>
      </c>
      <c r="E127" s="8" t="inlineStr">
        <is>
          <t>69443515</t>
        </is>
      </c>
      <c r="F127" s="8" t="inlineStr">
        <is>
          <t>1303</t>
        </is>
      </c>
      <c r="G127" s="9" t="n">
        <v>73000</v>
      </c>
      <c r="H127" s="9" t="n">
        <v>72293.36</v>
      </c>
      <c r="I127" s="8" t="inlineStr">
        <is>
          <t>Sí</t>
        </is>
      </c>
      <c r="J127" s="8" t="inlineStr">
        <is>
          <t>Sí</t>
        </is>
      </c>
      <c r="K127" s="8" t="inlineStr">
        <is>
          <t>OK - en banco y Flexxus</t>
        </is>
      </c>
    </row>
    <row r="128">
      <c r="A128" s="8" t="inlineStr">
        <is>
          <t>22/04/2026</t>
        </is>
      </c>
      <c r="B128" s="8" t="inlineStr">
        <is>
          <t>Completa</t>
        </is>
      </c>
      <c r="C128" s="8" t="inlineStr">
        <is>
          <t>32032899</t>
        </is>
      </c>
      <c r="D128" s="8" t="inlineStr">
        <is>
          <t>Local 8</t>
        </is>
      </c>
      <c r="E128" s="8" t="inlineStr">
        <is>
          <t>69443515</t>
        </is>
      </c>
      <c r="F128" s="8" t="inlineStr">
        <is>
          <t>1302</t>
        </is>
      </c>
      <c r="G128" s="9" t="n">
        <v>19100</v>
      </c>
      <c r="H128" s="9" t="n">
        <v>18915.11</v>
      </c>
      <c r="I128" s="8" t="inlineStr">
        <is>
          <t>Sí</t>
        </is>
      </c>
      <c r="J128" s="8" t="inlineStr">
        <is>
          <t>Sí</t>
        </is>
      </c>
      <c r="K128" s="8" t="inlineStr">
        <is>
          <t>OK - en banco y Flexxus</t>
        </is>
      </c>
    </row>
    <row r="129">
      <c r="A129" s="8" t="inlineStr">
        <is>
          <t>22/04/2026</t>
        </is>
      </c>
      <c r="B129" s="8" t="inlineStr">
        <is>
          <t>Completa</t>
        </is>
      </c>
      <c r="C129" s="8" t="inlineStr">
        <is>
          <t>32032899</t>
        </is>
      </c>
      <c r="D129" s="8" t="inlineStr">
        <is>
          <t>Local 8</t>
        </is>
      </c>
      <c r="E129" s="8" t="inlineStr">
        <is>
          <t>69443515</t>
        </is>
      </c>
      <c r="F129" s="8" t="inlineStr">
        <is>
          <t>1300</t>
        </is>
      </c>
      <c r="G129" s="9" t="n">
        <v>53100</v>
      </c>
      <c r="H129" s="9" t="n">
        <v>52585.99</v>
      </c>
      <c r="I129" s="8" t="inlineStr">
        <is>
          <t>Sí</t>
        </is>
      </c>
      <c r="J129" s="8" t="inlineStr">
        <is>
          <t>Sí</t>
        </is>
      </c>
      <c r="K129" s="8" t="inlineStr">
        <is>
          <t>OK - en banco y Flexxus</t>
        </is>
      </c>
    </row>
    <row r="130">
      <c r="A130" s="8" t="inlineStr">
        <is>
          <t>22/04/2026</t>
        </is>
      </c>
      <c r="B130" s="8" t="inlineStr">
        <is>
          <t>Completa</t>
        </is>
      </c>
      <c r="C130" s="8" t="inlineStr">
        <is>
          <t>29841705</t>
        </is>
      </c>
      <c r="D130" s="8" t="inlineStr">
        <is>
          <t>Local 6</t>
        </is>
      </c>
      <c r="E130" s="8" t="inlineStr">
        <is>
          <t>69333384</t>
        </is>
      </c>
      <c r="F130" s="8" t="inlineStr">
        <is>
          <t>3683</t>
        </is>
      </c>
      <c r="G130" s="9" t="n">
        <v>12500</v>
      </c>
      <c r="H130" s="9" t="n">
        <v>12379</v>
      </c>
      <c r="I130" s="8" t="inlineStr">
        <is>
          <t>Sí</t>
        </is>
      </c>
      <c r="J130" s="8" t="inlineStr">
        <is>
          <t>Sí</t>
        </is>
      </c>
      <c r="K130" s="8" t="inlineStr">
        <is>
          <t>OK - en banco y Flexxus</t>
        </is>
      </c>
    </row>
    <row r="131">
      <c r="A131" s="8" t="inlineStr">
        <is>
          <t>22/04/2026</t>
        </is>
      </c>
      <c r="B131" s="8" t="inlineStr">
        <is>
          <t>Completa</t>
        </is>
      </c>
      <c r="C131" s="8" t="inlineStr">
        <is>
          <t>29841705</t>
        </is>
      </c>
      <c r="D131" s="8" t="inlineStr">
        <is>
          <t>Local 6</t>
        </is>
      </c>
      <c r="E131" s="8" t="inlineStr">
        <is>
          <t>69333384</t>
        </is>
      </c>
      <c r="F131" s="8" t="inlineStr">
        <is>
          <t>3682</t>
        </is>
      </c>
      <c r="G131" s="9" t="n">
        <v>24200</v>
      </c>
      <c r="H131" s="9" t="n">
        <v>23965.74</v>
      </c>
      <c r="I131" s="8" t="inlineStr">
        <is>
          <t>Sí</t>
        </is>
      </c>
      <c r="J131" s="8" t="inlineStr">
        <is>
          <t>Sí</t>
        </is>
      </c>
      <c r="K131" s="8" t="inlineStr">
        <is>
          <t>OK - en banco y Flexxus</t>
        </is>
      </c>
    </row>
    <row r="132">
      <c r="A132" s="8" t="inlineStr">
        <is>
          <t>22/04/2026</t>
        </is>
      </c>
      <c r="B132" s="8" t="inlineStr">
        <is>
          <t>Completa</t>
        </is>
      </c>
      <c r="C132" s="8" t="inlineStr">
        <is>
          <t>29841670</t>
        </is>
      </c>
      <c r="D132" s="8" t="inlineStr">
        <is>
          <t>Local 5</t>
        </is>
      </c>
      <c r="E132" s="8" t="inlineStr">
        <is>
          <t>69343173</t>
        </is>
      </c>
      <c r="F132" s="8" t="inlineStr">
        <is>
          <t>1657</t>
        </is>
      </c>
      <c r="G132" s="9" t="n">
        <v>11500</v>
      </c>
      <c r="H132" s="9" t="n">
        <v>11388.68</v>
      </c>
      <c r="I132" s="8" t="inlineStr">
        <is>
          <t>Sí</t>
        </is>
      </c>
      <c r="J132" s="8" t="inlineStr">
        <is>
          <t>Sí</t>
        </is>
      </c>
      <c r="K132" s="8" t="inlineStr">
        <is>
          <t>OK - en banco y Flexxus</t>
        </is>
      </c>
    </row>
    <row r="133">
      <c r="A133" s="8" t="inlineStr">
        <is>
          <t>22/04/2026</t>
        </is>
      </c>
      <c r="B133" s="8" t="inlineStr">
        <is>
          <t>Completa</t>
        </is>
      </c>
      <c r="C133" s="8" t="inlineStr">
        <is>
          <t>29841670</t>
        </is>
      </c>
      <c r="D133" s="8" t="inlineStr">
        <is>
          <t>Local 5</t>
        </is>
      </c>
      <c r="E133" s="8" t="inlineStr">
        <is>
          <t>39943954</t>
        </is>
      </c>
      <c r="F133" s="8" t="inlineStr">
        <is>
          <t>443</t>
        </is>
      </c>
      <c r="G133" s="9" t="n">
        <v>21000</v>
      </c>
      <c r="H133" s="9" t="n">
        <v>20796.72</v>
      </c>
      <c r="I133" s="8" t="inlineStr">
        <is>
          <t>Sí</t>
        </is>
      </c>
      <c r="J133" s="8" t="inlineStr">
        <is>
          <t>Sí</t>
        </is>
      </c>
      <c r="K133" s="8" t="inlineStr">
        <is>
          <t>OK - en banco y Flexxus</t>
        </is>
      </c>
    </row>
    <row r="134">
      <c r="A134" s="8" t="inlineStr">
        <is>
          <t>22/04/2026</t>
        </is>
      </c>
      <c r="B134" s="8" t="inlineStr">
        <is>
          <t>Completa</t>
        </is>
      </c>
      <c r="C134" s="8" t="inlineStr">
        <is>
          <t>29841670</t>
        </is>
      </c>
      <c r="D134" s="8" t="inlineStr">
        <is>
          <t>Local 5</t>
        </is>
      </c>
      <c r="E134" s="8" t="inlineStr">
        <is>
          <t>39943954</t>
        </is>
      </c>
      <c r="F134" s="8" t="inlineStr">
        <is>
          <t>442</t>
        </is>
      </c>
      <c r="G134" s="9" t="n">
        <v>15000</v>
      </c>
      <c r="H134" s="9" t="n">
        <v>14854.8</v>
      </c>
      <c r="I134" s="8" t="inlineStr">
        <is>
          <t>Sí</t>
        </is>
      </c>
      <c r="J134" s="8" t="inlineStr">
        <is>
          <t>Sí</t>
        </is>
      </c>
      <c r="K134" s="8" t="inlineStr">
        <is>
          <t>OK - en banco y Flexxus</t>
        </is>
      </c>
    </row>
    <row r="135">
      <c r="A135" s="8" t="inlineStr">
        <is>
          <t>22/04/2026</t>
        </is>
      </c>
      <c r="B135" s="8" t="inlineStr">
        <is>
          <t>Completa</t>
        </is>
      </c>
      <c r="C135" s="8" t="inlineStr">
        <is>
          <t>29841670</t>
        </is>
      </c>
      <c r="D135" s="8" t="inlineStr">
        <is>
          <t>Local 5</t>
        </is>
      </c>
      <c r="E135" s="8" t="inlineStr">
        <is>
          <t>39943954</t>
        </is>
      </c>
      <c r="F135" s="8" t="inlineStr">
        <is>
          <t>440</t>
        </is>
      </c>
      <c r="G135" s="9" t="n">
        <v>41800</v>
      </c>
      <c r="H135" s="9" t="n">
        <v>41395.38</v>
      </c>
      <c r="I135" s="8" t="inlineStr">
        <is>
          <t>Sí</t>
        </is>
      </c>
      <c r="J135" s="8" t="inlineStr">
        <is>
          <t>Sí</t>
        </is>
      </c>
      <c r="K135" s="8" t="inlineStr">
        <is>
          <t>OK - en banco y Flexxus</t>
        </is>
      </c>
    </row>
    <row r="136">
      <c r="A136" s="8" t="inlineStr">
        <is>
          <t>21/04/2026</t>
        </is>
      </c>
      <c r="B136" s="8" t="inlineStr">
        <is>
          <t>Completa</t>
        </is>
      </c>
      <c r="C136" s="8" t="inlineStr">
        <is>
          <t>32032899</t>
        </is>
      </c>
      <c r="D136" s="8" t="inlineStr">
        <is>
          <t>Local 8</t>
        </is>
      </c>
      <c r="E136" s="8" t="inlineStr">
        <is>
          <t>69443515</t>
        </is>
      </c>
      <c r="F136" s="8" t="inlineStr">
        <is>
          <t>1298</t>
        </is>
      </c>
      <c r="G136" s="9" t="n">
        <v>68900</v>
      </c>
      <c r="H136" s="9" t="n">
        <v>68233.05</v>
      </c>
      <c r="I136" s="8" t="inlineStr">
        <is>
          <t>Sí</t>
        </is>
      </c>
      <c r="J136" s="8" t="inlineStr">
        <is>
          <t>Sí</t>
        </is>
      </c>
      <c r="K136" s="8" t="inlineStr">
        <is>
          <t>OK - en banco y Flexxus</t>
        </is>
      </c>
    </row>
    <row r="137">
      <c r="A137" s="8" t="inlineStr">
        <is>
          <t>21/04/2026</t>
        </is>
      </c>
      <c r="B137" s="8" t="inlineStr">
        <is>
          <t>Completa</t>
        </is>
      </c>
      <c r="C137" s="8" t="inlineStr">
        <is>
          <t>31995644</t>
        </is>
      </c>
      <c r="D137" s="8" t="inlineStr">
        <is>
          <t>Local 7</t>
        </is>
      </c>
      <c r="E137" s="8" t="inlineStr">
        <is>
          <t>69443513</t>
        </is>
      </c>
      <c r="F137" s="8" t="inlineStr">
        <is>
          <t>690</t>
        </is>
      </c>
      <c r="G137" s="9" t="n">
        <v>40500</v>
      </c>
      <c r="H137" s="9" t="n">
        <v>40107.96</v>
      </c>
      <c r="I137" s="8" t="inlineStr">
        <is>
          <t>Sí</t>
        </is>
      </c>
      <c r="J137" s="8" t="inlineStr">
        <is>
          <t>Sí</t>
        </is>
      </c>
      <c r="K137" s="8" t="inlineStr">
        <is>
          <t>OK - en banco y Flexxus</t>
        </is>
      </c>
    </row>
    <row r="138">
      <c r="A138" s="8" t="inlineStr">
        <is>
          <t>21/04/2026</t>
        </is>
      </c>
      <c r="B138" s="8" t="inlineStr">
        <is>
          <t>Completa</t>
        </is>
      </c>
      <c r="C138" s="8" t="inlineStr">
        <is>
          <t>29841670</t>
        </is>
      </c>
      <c r="D138" s="8" t="inlineStr">
        <is>
          <t>Local 5</t>
        </is>
      </c>
      <c r="E138" s="8" t="inlineStr">
        <is>
          <t>69343173</t>
        </is>
      </c>
      <c r="F138" s="8" t="inlineStr">
        <is>
          <t>1656</t>
        </is>
      </c>
      <c r="G138" s="9" t="n">
        <v>4500</v>
      </c>
      <c r="H138" s="9" t="n">
        <v>4456.44</v>
      </c>
      <c r="I138" s="8" t="inlineStr">
        <is>
          <t>Sí</t>
        </is>
      </c>
      <c r="J138" s="8" t="inlineStr">
        <is>
          <t>Sí</t>
        </is>
      </c>
      <c r="K138" s="8" t="inlineStr">
        <is>
          <t>OK - en banco y Flexxus</t>
        </is>
      </c>
    </row>
    <row r="139">
      <c r="A139" s="8" t="inlineStr">
        <is>
          <t>21/04/2026</t>
        </is>
      </c>
      <c r="B139" s="8" t="inlineStr">
        <is>
          <t>Completa</t>
        </is>
      </c>
      <c r="C139" s="8" t="inlineStr">
        <is>
          <t>29841670</t>
        </is>
      </c>
      <c r="D139" s="8" t="inlineStr">
        <is>
          <t>Local 5</t>
        </is>
      </c>
      <c r="E139" s="8" t="inlineStr">
        <is>
          <t>69343173</t>
        </is>
      </c>
      <c r="F139" s="8" t="inlineStr">
        <is>
          <t>1655</t>
        </is>
      </c>
      <c r="G139" s="9" t="n">
        <v>23500</v>
      </c>
      <c r="H139" s="9" t="n">
        <v>23272.52</v>
      </c>
      <c r="I139" s="8" t="inlineStr">
        <is>
          <t>Sí</t>
        </is>
      </c>
      <c r="J139" s="8" t="inlineStr">
        <is>
          <t>Sí</t>
        </is>
      </c>
      <c r="K139" s="8" t="inlineStr">
        <is>
          <t>OK - en banco y Flexxus</t>
        </is>
      </c>
    </row>
    <row r="140">
      <c r="A140" s="8" t="inlineStr">
        <is>
          <t>21/04/2026</t>
        </is>
      </c>
      <c r="B140" s="8" t="inlineStr">
        <is>
          <t>Completa</t>
        </is>
      </c>
      <c r="C140" s="8" t="inlineStr">
        <is>
          <t>29841705</t>
        </is>
      </c>
      <c r="D140" s="8" t="inlineStr">
        <is>
          <t>Local 6</t>
        </is>
      </c>
      <c r="E140" s="8" t="inlineStr">
        <is>
          <t>69333384</t>
        </is>
      </c>
      <c r="F140" s="8" t="inlineStr">
        <is>
          <t>3679</t>
        </is>
      </c>
      <c r="G140" s="9" t="n">
        <v>14800</v>
      </c>
      <c r="H140" s="9" t="n">
        <v>14656.74</v>
      </c>
      <c r="I140" s="8" t="inlineStr">
        <is>
          <t>Sí</t>
        </is>
      </c>
      <c r="J140" s="8" t="inlineStr">
        <is>
          <t>Sí</t>
        </is>
      </c>
      <c r="K140" s="8" t="inlineStr">
        <is>
          <t>OK - en banco y Flexxus</t>
        </is>
      </c>
    </row>
    <row r="141">
      <c r="A141" s="8" t="inlineStr">
        <is>
          <t>21/04/2026</t>
        </is>
      </c>
      <c r="B141" s="8" t="inlineStr">
        <is>
          <t>Completa</t>
        </is>
      </c>
      <c r="C141" s="8" t="inlineStr">
        <is>
          <t>32032899</t>
        </is>
      </c>
      <c r="D141" s="8" t="inlineStr">
        <is>
          <t>Local 8</t>
        </is>
      </c>
      <c r="E141" s="8" t="inlineStr">
        <is>
          <t>69443515</t>
        </is>
      </c>
      <c r="F141" s="8" t="inlineStr">
        <is>
          <t>1294</t>
        </is>
      </c>
      <c r="G141" s="9" t="n">
        <v>55200</v>
      </c>
      <c r="H141" s="9" t="n">
        <v>54665.66</v>
      </c>
      <c r="I141" s="8" t="inlineStr">
        <is>
          <t>Sí</t>
        </is>
      </c>
      <c r="J141" s="8" t="inlineStr">
        <is>
          <t>Sí</t>
        </is>
      </c>
      <c r="K141" s="8" t="inlineStr">
        <is>
          <t>OK - en banco y Flexxus</t>
        </is>
      </c>
    </row>
    <row r="142">
      <c r="A142" s="8" t="inlineStr">
        <is>
          <t>21/04/2026</t>
        </is>
      </c>
      <c r="B142" s="8" t="inlineStr">
        <is>
          <t>Completa</t>
        </is>
      </c>
      <c r="C142" s="8" t="inlineStr">
        <is>
          <t>29841670</t>
        </is>
      </c>
      <c r="D142" s="8" t="inlineStr">
        <is>
          <t>Local 5</t>
        </is>
      </c>
      <c r="E142" s="8" t="inlineStr">
        <is>
          <t>69467539</t>
        </is>
      </c>
      <c r="F142" s="8" t="inlineStr">
        <is>
          <t>358</t>
        </is>
      </c>
      <c r="G142" s="9" t="n">
        <v>12100</v>
      </c>
      <c r="H142" s="9" t="n">
        <v>11982.87</v>
      </c>
      <c r="I142" s="8" t="inlineStr">
        <is>
          <t>Sí</t>
        </is>
      </c>
      <c r="J142" s="8" t="inlineStr">
        <is>
          <t>Sí</t>
        </is>
      </c>
      <c r="K142" s="8" t="inlineStr">
        <is>
          <t>OK - en banco y Flexxus</t>
        </is>
      </c>
    </row>
    <row r="143">
      <c r="A143" s="8" t="inlineStr">
        <is>
          <t>21/04/2026</t>
        </is>
      </c>
      <c r="B143" s="8" t="inlineStr">
        <is>
          <t>Completa</t>
        </is>
      </c>
      <c r="C143" s="8" t="inlineStr">
        <is>
          <t>29841670</t>
        </is>
      </c>
      <c r="D143" s="8" t="inlineStr">
        <is>
          <t>Local 5</t>
        </is>
      </c>
      <c r="E143" s="8" t="inlineStr">
        <is>
          <t>69343173</t>
        </is>
      </c>
      <c r="F143" s="8" t="inlineStr">
        <is>
          <t>1654</t>
        </is>
      </c>
      <c r="G143" s="9" t="n">
        <v>64800</v>
      </c>
      <c r="H143" s="9" t="n">
        <v>64172.74</v>
      </c>
      <c r="I143" s="8" t="inlineStr">
        <is>
          <t>Sí</t>
        </is>
      </c>
      <c r="J143" s="8" t="inlineStr">
        <is>
          <t>Sí</t>
        </is>
      </c>
      <c r="K143" s="8" t="inlineStr">
        <is>
          <t>OK - en banco y Flexxus</t>
        </is>
      </c>
    </row>
    <row r="144">
      <c r="A144" s="8" t="inlineStr">
        <is>
          <t>21/04/2026</t>
        </is>
      </c>
      <c r="B144" s="8" t="inlineStr">
        <is>
          <t>Completa</t>
        </is>
      </c>
      <c r="C144" s="8" t="inlineStr">
        <is>
          <t>29841670</t>
        </is>
      </c>
      <c r="D144" s="8" t="inlineStr">
        <is>
          <t>Local 5</t>
        </is>
      </c>
      <c r="E144" s="8" t="inlineStr">
        <is>
          <t>69343173</t>
        </is>
      </c>
      <c r="F144" s="8" t="inlineStr">
        <is>
          <t>1653</t>
        </is>
      </c>
      <c r="G144" s="9" t="n">
        <v>8400</v>
      </c>
      <c r="H144" s="9" t="n">
        <v>8318.690000000001</v>
      </c>
      <c r="I144" s="8" t="inlineStr">
        <is>
          <t>Sí</t>
        </is>
      </c>
      <c r="J144" s="8" t="inlineStr">
        <is>
          <t>Sí</t>
        </is>
      </c>
      <c r="K144" s="8" t="inlineStr">
        <is>
          <t>OK - en banco y Flexxus</t>
        </is>
      </c>
    </row>
    <row r="145">
      <c r="A145" s="8" t="inlineStr">
        <is>
          <t>21/04/2026</t>
        </is>
      </c>
      <c r="B145" s="8" t="inlineStr">
        <is>
          <t>Completa</t>
        </is>
      </c>
      <c r="C145" s="8" t="inlineStr">
        <is>
          <t>29841670</t>
        </is>
      </c>
      <c r="D145" s="8" t="inlineStr">
        <is>
          <t>Local 5</t>
        </is>
      </c>
      <c r="E145" s="8" t="inlineStr">
        <is>
          <t>69343173</t>
        </is>
      </c>
      <c r="F145" s="8" t="inlineStr">
        <is>
          <t>1652</t>
        </is>
      </c>
      <c r="G145" s="9" t="n">
        <v>17000</v>
      </c>
      <c r="H145" s="9" t="n">
        <v>16835.44</v>
      </c>
      <c r="I145" s="8" t="inlineStr">
        <is>
          <t>Sí</t>
        </is>
      </c>
      <c r="J145" s="8" t="inlineStr">
        <is>
          <t>Sí</t>
        </is>
      </c>
      <c r="K145" s="8" t="inlineStr">
        <is>
          <t>OK - en banco y Flexxus</t>
        </is>
      </c>
    </row>
    <row r="146">
      <c r="A146" s="8" t="inlineStr">
        <is>
          <t>21/04/2026</t>
        </is>
      </c>
      <c r="B146" s="8" t="inlineStr">
        <is>
          <t>Completa</t>
        </is>
      </c>
      <c r="C146" s="8" t="inlineStr">
        <is>
          <t>29841670</t>
        </is>
      </c>
      <c r="D146" s="8" t="inlineStr">
        <is>
          <t>Local 5</t>
        </is>
      </c>
      <c r="E146" s="8" t="inlineStr">
        <is>
          <t>69467539</t>
        </is>
      </c>
      <c r="F146" s="8" t="inlineStr">
        <is>
          <t>356</t>
        </is>
      </c>
      <c r="G146" s="9" t="n">
        <v>22300</v>
      </c>
      <c r="H146" s="9" t="n">
        <v>22084.14</v>
      </c>
      <c r="I146" s="8" t="inlineStr">
        <is>
          <t>Sí</t>
        </is>
      </c>
      <c r="J146" s="8" t="inlineStr">
        <is>
          <t>Sí</t>
        </is>
      </c>
      <c r="K146" s="8" t="inlineStr">
        <is>
          <t>OK - en banco y Flexxus</t>
        </is>
      </c>
    </row>
    <row r="147">
      <c r="A147" s="8" t="inlineStr">
        <is>
          <t>21/04/2026</t>
        </is>
      </c>
      <c r="B147" s="8" t="inlineStr">
        <is>
          <t>Completa</t>
        </is>
      </c>
      <c r="C147" s="8" t="inlineStr">
        <is>
          <t>29841670</t>
        </is>
      </c>
      <c r="D147" s="8" t="inlineStr">
        <is>
          <t>Local 5</t>
        </is>
      </c>
      <c r="E147" s="8" t="inlineStr">
        <is>
          <t>69467539</t>
        </is>
      </c>
      <c r="F147" s="8" t="inlineStr">
        <is>
          <t>355</t>
        </is>
      </c>
      <c r="G147" s="9" t="n">
        <v>15300</v>
      </c>
      <c r="H147" s="9" t="n">
        <v>15151.9</v>
      </c>
      <c r="I147" s="8" t="inlineStr">
        <is>
          <t>Sí</t>
        </is>
      </c>
      <c r="J147" s="8" t="inlineStr">
        <is>
          <t>Sí</t>
        </is>
      </c>
      <c r="K147" s="8" t="inlineStr">
        <is>
          <t>OK - en banco y Flexxus</t>
        </is>
      </c>
    </row>
    <row r="148">
      <c r="A148" s="8" t="inlineStr">
        <is>
          <t>20/04/2026</t>
        </is>
      </c>
      <c r="B148" s="8" t="inlineStr">
        <is>
          <t>Completa</t>
        </is>
      </c>
      <c r="C148" s="8" t="inlineStr">
        <is>
          <t>29841705</t>
        </is>
      </c>
      <c r="D148" s="8" t="inlineStr">
        <is>
          <t>Local 6</t>
        </is>
      </c>
      <c r="E148" s="8" t="inlineStr">
        <is>
          <t>69333384</t>
        </is>
      </c>
      <c r="F148" s="8" t="inlineStr">
        <is>
          <t>3676</t>
        </is>
      </c>
      <c r="G148" s="9" t="n">
        <v>11500</v>
      </c>
      <c r="H148" s="9" t="n">
        <v>11388.68</v>
      </c>
      <c r="I148" s="8" t="inlineStr">
        <is>
          <t>Sí</t>
        </is>
      </c>
      <c r="J148" s="8" t="inlineStr">
        <is>
          <t>Sí</t>
        </is>
      </c>
      <c r="K148" s="8" t="inlineStr">
        <is>
          <t>OK - en banco y Flexxus</t>
        </is>
      </c>
    </row>
    <row r="149">
      <c r="A149" s="8" t="inlineStr">
        <is>
          <t>20/04/2026</t>
        </is>
      </c>
      <c r="B149" s="8" t="inlineStr">
        <is>
          <t>Completa</t>
        </is>
      </c>
      <c r="C149" s="8" t="inlineStr">
        <is>
          <t>29841705</t>
        </is>
      </c>
      <c r="D149" s="8" t="inlineStr">
        <is>
          <t>Local 6</t>
        </is>
      </c>
      <c r="E149" s="8" t="inlineStr">
        <is>
          <t>69333384</t>
        </is>
      </c>
      <c r="F149" s="8" t="inlineStr">
        <is>
          <t>3674</t>
        </is>
      </c>
      <c r="G149" s="9" t="n">
        <v>36500</v>
      </c>
      <c r="H149" s="9" t="n">
        <v>36146.68</v>
      </c>
      <c r="I149" s="8" t="inlineStr">
        <is>
          <t>Sí</t>
        </is>
      </c>
      <c r="J149" s="8" t="inlineStr">
        <is>
          <t>Sí</t>
        </is>
      </c>
      <c r="K149" s="8" t="inlineStr">
        <is>
          <t>OK - en banco y Flexxus</t>
        </is>
      </c>
    </row>
    <row r="150">
      <c r="A150" s="8" t="inlineStr">
        <is>
          <t>20/04/2026</t>
        </is>
      </c>
      <c r="B150" s="8" t="inlineStr">
        <is>
          <t>Completa</t>
        </is>
      </c>
      <c r="C150" s="8" t="inlineStr">
        <is>
          <t>29841705</t>
        </is>
      </c>
      <c r="D150" s="8" t="inlineStr">
        <is>
          <t>Local 6</t>
        </is>
      </c>
      <c r="E150" s="8" t="inlineStr">
        <is>
          <t>69333384</t>
        </is>
      </c>
      <c r="F150" s="8" t="inlineStr">
        <is>
          <t>3672</t>
        </is>
      </c>
      <c r="G150" s="9" t="n">
        <v>21300</v>
      </c>
      <c r="H150" s="9" t="n">
        <v>21093.82</v>
      </c>
      <c r="I150" s="8" t="inlineStr">
        <is>
          <t>Sí</t>
        </is>
      </c>
      <c r="J150" s="8" t="inlineStr">
        <is>
          <t>Sí</t>
        </is>
      </c>
      <c r="K150" s="8" t="inlineStr">
        <is>
          <t>OK - en banco y Flexxus</t>
        </is>
      </c>
    </row>
    <row r="151">
      <c r="A151" s="8" t="inlineStr">
        <is>
          <t>20/04/2026</t>
        </is>
      </c>
      <c r="B151" s="8" t="inlineStr">
        <is>
          <t>Completa</t>
        </is>
      </c>
      <c r="C151" s="8" t="inlineStr">
        <is>
          <t>29841705</t>
        </is>
      </c>
      <c r="D151" s="8" t="inlineStr">
        <is>
          <t>Local 6</t>
        </is>
      </c>
      <c r="E151" s="8" t="inlineStr">
        <is>
          <t>69333384</t>
        </is>
      </c>
      <c r="F151" s="8" t="inlineStr">
        <is>
          <t>3671</t>
        </is>
      </c>
      <c r="G151" s="9" t="n">
        <v>25000</v>
      </c>
      <c r="H151" s="9" t="n">
        <v>24758</v>
      </c>
      <c r="I151" s="8" t="inlineStr">
        <is>
          <t>Sí</t>
        </is>
      </c>
      <c r="J151" s="8" t="inlineStr">
        <is>
          <t>Sí</t>
        </is>
      </c>
      <c r="K151" s="8" t="inlineStr">
        <is>
          <t>OK - en banco y Flexxus</t>
        </is>
      </c>
    </row>
    <row r="152">
      <c r="A152" s="8" t="inlineStr">
        <is>
          <t>20/04/2026</t>
        </is>
      </c>
      <c r="B152" s="8" t="inlineStr">
        <is>
          <t>Completa</t>
        </is>
      </c>
      <c r="C152" s="8" t="inlineStr">
        <is>
          <t>32032899</t>
        </is>
      </c>
      <c r="D152" s="8" t="inlineStr">
        <is>
          <t>Local 8</t>
        </is>
      </c>
      <c r="E152" s="8" t="inlineStr">
        <is>
          <t>69443515</t>
        </is>
      </c>
      <c r="F152" s="8" t="inlineStr">
        <is>
          <t>1290</t>
        </is>
      </c>
      <c r="G152" s="9" t="n">
        <v>25200</v>
      </c>
      <c r="H152" s="9" t="n">
        <v>24956.06</v>
      </c>
      <c r="I152" s="8" t="inlineStr">
        <is>
          <t>Sí</t>
        </is>
      </c>
      <c r="J152" s="8" t="inlineStr">
        <is>
          <t>Sí</t>
        </is>
      </c>
      <c r="K152" s="8" t="inlineStr">
        <is>
          <t>OK - en banco y Flexxus</t>
        </is>
      </c>
    </row>
    <row r="153">
      <c r="A153" s="8" t="inlineStr">
        <is>
          <t>20/04/2026</t>
        </is>
      </c>
      <c r="B153" s="8" t="inlineStr">
        <is>
          <t>Completa</t>
        </is>
      </c>
      <c r="C153" s="8" t="inlineStr">
        <is>
          <t>29841705</t>
        </is>
      </c>
      <c r="D153" s="8" t="inlineStr">
        <is>
          <t>Local 6</t>
        </is>
      </c>
      <c r="E153" s="8" t="inlineStr">
        <is>
          <t>69333384</t>
        </is>
      </c>
      <c r="F153" s="8" t="inlineStr">
        <is>
          <t>3670</t>
        </is>
      </c>
      <c r="G153" s="9" t="n">
        <v>26800</v>
      </c>
      <c r="H153" s="9" t="n">
        <v>26540.58</v>
      </c>
      <c r="I153" s="8" t="inlineStr">
        <is>
          <t>Sí</t>
        </is>
      </c>
      <c r="J153" s="8" t="inlineStr">
        <is>
          <t>Sí</t>
        </is>
      </c>
      <c r="K153" s="8" t="inlineStr">
        <is>
          <t>OK - en banco y Flexxus</t>
        </is>
      </c>
    </row>
    <row r="154">
      <c r="A154" s="8" t="inlineStr">
        <is>
          <t>20/04/2026</t>
        </is>
      </c>
      <c r="B154" s="8" t="inlineStr">
        <is>
          <t>Completa</t>
        </is>
      </c>
      <c r="C154" s="8" t="inlineStr">
        <is>
          <t>29841670</t>
        </is>
      </c>
      <c r="D154" s="8" t="inlineStr">
        <is>
          <t>Local 5</t>
        </is>
      </c>
      <c r="E154" s="8" t="inlineStr">
        <is>
          <t>69467539</t>
        </is>
      </c>
      <c r="F154" s="8" t="inlineStr">
        <is>
          <t>354</t>
        </is>
      </c>
      <c r="G154" s="9" t="n">
        <v>23000</v>
      </c>
      <c r="H154" s="9" t="n">
        <v>22777.36</v>
      </c>
      <c r="I154" s="8" t="inlineStr">
        <is>
          <t>Sí</t>
        </is>
      </c>
      <c r="J154" s="8" t="inlineStr">
        <is>
          <t>Sí</t>
        </is>
      </c>
      <c r="K154" s="8" t="inlineStr">
        <is>
          <t>OK - en banco y Flexxus</t>
        </is>
      </c>
    </row>
    <row r="155">
      <c r="A155" s="8" t="inlineStr">
        <is>
          <t>20/04/2026</t>
        </is>
      </c>
      <c r="B155" s="8" t="inlineStr">
        <is>
          <t>Completa</t>
        </is>
      </c>
      <c r="C155" s="8" t="inlineStr">
        <is>
          <t>29841670</t>
        </is>
      </c>
      <c r="D155" s="8" t="inlineStr">
        <is>
          <t>Local 5</t>
        </is>
      </c>
      <c r="E155" s="8" t="inlineStr">
        <is>
          <t>69467539</t>
        </is>
      </c>
      <c r="F155" s="8" t="inlineStr">
        <is>
          <t>352</t>
        </is>
      </c>
      <c r="G155" s="9" t="n">
        <v>11500</v>
      </c>
      <c r="H155" s="9" t="n">
        <v>11388.68</v>
      </c>
      <c r="I155" s="8" t="inlineStr">
        <is>
          <t>Sí</t>
        </is>
      </c>
      <c r="J155" s="8" t="inlineStr">
        <is>
          <t>Sí</t>
        </is>
      </c>
      <c r="K155" s="8" t="inlineStr">
        <is>
          <t>OK - en banco y Flexxus</t>
        </is>
      </c>
    </row>
    <row r="156">
      <c r="A156" s="8" t="inlineStr">
        <is>
          <t>20/04/2026</t>
        </is>
      </c>
      <c r="B156" s="8" t="inlineStr">
        <is>
          <t>Completa</t>
        </is>
      </c>
      <c r="C156" s="8" t="inlineStr">
        <is>
          <t>32032899</t>
        </is>
      </c>
      <c r="D156" s="8" t="inlineStr">
        <is>
          <t>Local 8</t>
        </is>
      </c>
      <c r="E156" s="8" t="inlineStr">
        <is>
          <t>69443515</t>
        </is>
      </c>
      <c r="F156" s="8" t="inlineStr">
        <is>
          <t>1288</t>
        </is>
      </c>
      <c r="G156" s="9" t="n">
        <v>18100</v>
      </c>
      <c r="H156" s="9" t="n">
        <v>17924.79</v>
      </c>
      <c r="I156" s="8" t="inlineStr">
        <is>
          <t>Sí</t>
        </is>
      </c>
      <c r="J156" s="8" t="inlineStr">
        <is>
          <t>Sí</t>
        </is>
      </c>
      <c r="K156" s="8" t="inlineStr">
        <is>
          <t>OK - en banco y Flexxus</t>
        </is>
      </c>
    </row>
    <row r="157">
      <c r="A157" s="8" t="inlineStr">
        <is>
          <t>20/04/2026</t>
        </is>
      </c>
      <c r="B157" s="8" t="inlineStr">
        <is>
          <t>Completa</t>
        </is>
      </c>
      <c r="C157" s="8" t="inlineStr">
        <is>
          <t>32032899</t>
        </is>
      </c>
      <c r="D157" s="8" t="inlineStr">
        <is>
          <t>Local 8</t>
        </is>
      </c>
      <c r="E157" s="8" t="inlineStr">
        <is>
          <t>69443515</t>
        </is>
      </c>
      <c r="F157" s="8" t="inlineStr">
        <is>
          <t>1287</t>
        </is>
      </c>
      <c r="G157" s="9" t="n">
        <v>17000</v>
      </c>
      <c r="H157" s="9" t="n">
        <v>16835.44</v>
      </c>
      <c r="I157" s="8" t="inlineStr">
        <is>
          <t>Sí</t>
        </is>
      </c>
      <c r="J157" s="8" t="inlineStr">
        <is>
          <t>Sí</t>
        </is>
      </c>
      <c r="K157" s="8" t="inlineStr">
        <is>
          <t>OK - en banco y Flexxus</t>
        </is>
      </c>
    </row>
  </sheetData>
  <autoFilter ref="A1:K1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20/04/2026</t>
        </is>
      </c>
      <c r="B2" s="8" t="inlineStr">
        <is>
          <t>342289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Mastercard Debit</t>
        </is>
      </c>
      <c r="F2" s="9" t="n">
        <v>12348.75</v>
      </c>
      <c r="G2" s="8" t="inlineStr">
        <is>
          <t>Sí</t>
        </is>
      </c>
      <c r="H2" s="8" t="inlineStr">
        <is>
          <t>OK</t>
        </is>
      </c>
    </row>
    <row r="3">
      <c r="A3" s="8" t="inlineStr">
        <is>
          <t>20/04/2026</t>
        </is>
      </c>
      <c r="B3" s="8" t="inlineStr">
        <is>
          <t>342312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Visa Débito</t>
        </is>
      </c>
      <c r="F3" s="9" t="n">
        <v>11360.85</v>
      </c>
      <c r="G3" s="8" t="inlineStr">
        <is>
          <t>Sí</t>
        </is>
      </c>
      <c r="H3" s="8" t="inlineStr">
        <is>
          <t>OK</t>
        </is>
      </c>
    </row>
    <row r="4">
      <c r="A4" s="8" t="inlineStr">
        <is>
          <t>20/04/2026</t>
        </is>
      </c>
      <c r="B4" s="8" t="inlineStr">
        <is>
          <t>341773</t>
        </is>
      </c>
      <c r="C4" s="8" t="inlineStr">
        <is>
          <t>29841642</t>
        </is>
      </c>
      <c r="D4" s="8" t="inlineStr">
        <is>
          <t>Local 1</t>
        </is>
      </c>
      <c r="E4" s="8" t="inlineStr">
        <is>
          <t>Visa Crédito</t>
        </is>
      </c>
      <c r="F4" s="9" t="n">
        <v>14184.19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20/04/2026</t>
        </is>
      </c>
      <c r="B5" s="8" t="inlineStr">
        <is>
          <t>342313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Visa Débito</t>
        </is>
      </c>
      <c r="F5" s="9" t="n">
        <v>49681.49</v>
      </c>
      <c r="G5" s="8" t="inlineStr">
        <is>
          <t>Sí</t>
        </is>
      </c>
      <c r="H5" s="8" t="inlineStr">
        <is>
          <t>OK</t>
        </is>
      </c>
    </row>
    <row r="6">
      <c r="A6" s="8" t="inlineStr">
        <is>
          <t>20/04/2026</t>
        </is>
      </c>
      <c r="B6" s="8" t="inlineStr">
        <is>
          <t>341774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Visa Crédito</t>
        </is>
      </c>
      <c r="F6" s="9" t="n">
        <v>8217.049999999999</v>
      </c>
      <c r="G6" s="8" t="inlineStr">
        <is>
          <t>Sí</t>
        </is>
      </c>
      <c r="H6" s="8" t="inlineStr">
        <is>
          <t>OK</t>
        </is>
      </c>
    </row>
    <row r="7">
      <c r="A7" s="8" t="inlineStr">
        <is>
          <t>20/04/2026</t>
        </is>
      </c>
      <c r="B7" s="8" t="inlineStr">
        <is>
          <t>342314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Visa Débito</t>
        </is>
      </c>
      <c r="F7" s="9" t="n">
        <v>98790</v>
      </c>
      <c r="G7" s="8" t="inlineStr">
        <is>
          <t>Sí</t>
        </is>
      </c>
      <c r="H7" s="8" t="inlineStr">
        <is>
          <t>OK</t>
        </is>
      </c>
    </row>
    <row r="8">
      <c r="A8" s="8" t="inlineStr">
        <is>
          <t>20/04/2026</t>
        </is>
      </c>
      <c r="B8" s="8" t="inlineStr">
        <is>
          <t>341759</t>
        </is>
      </c>
      <c r="C8" s="8" t="inlineStr">
        <is>
          <t>29841683</t>
        </is>
      </c>
      <c r="D8" s="8" t="inlineStr">
        <is>
          <t>Local 3</t>
        </is>
      </c>
      <c r="E8" s="8" t="inlineStr">
        <is>
          <t>Mastercard Crédito</t>
        </is>
      </c>
      <c r="F8" s="9" t="n">
        <v>32868.19</v>
      </c>
      <c r="G8" s="8" t="inlineStr">
        <is>
          <t>Sí</t>
        </is>
      </c>
      <c r="H8" s="8" t="inlineStr">
        <is>
          <t>OK</t>
        </is>
      </c>
    </row>
    <row r="9">
      <c r="A9" s="8" t="inlineStr">
        <is>
          <t>20/04/2026</t>
        </is>
      </c>
      <c r="B9" s="8" t="inlineStr">
        <is>
          <t>341775</t>
        </is>
      </c>
      <c r="C9" s="8" t="inlineStr">
        <is>
          <t>29841683</t>
        </is>
      </c>
      <c r="D9" s="8" t="inlineStr">
        <is>
          <t>Local 3</t>
        </is>
      </c>
      <c r="E9" s="8" t="inlineStr">
        <is>
          <t>Visa Crédito</t>
        </is>
      </c>
      <c r="F9" s="9" t="n">
        <v>31694.33</v>
      </c>
      <c r="G9" s="8" t="inlineStr">
        <is>
          <t>Sí</t>
        </is>
      </c>
      <c r="H9" s="8" t="inlineStr">
        <is>
          <t>OK</t>
        </is>
      </c>
    </row>
    <row r="10">
      <c r="A10" s="8" t="inlineStr">
        <is>
          <t>20/04/2026</t>
        </is>
      </c>
      <c r="B10" s="8" t="inlineStr">
        <is>
          <t>342315</t>
        </is>
      </c>
      <c r="C10" s="8" t="inlineStr">
        <is>
          <t>29841683</t>
        </is>
      </c>
      <c r="D10" s="8" t="inlineStr">
        <is>
          <t>Local 3</t>
        </is>
      </c>
      <c r="E10" s="8" t="inlineStr">
        <is>
          <t>Visa Débito</t>
        </is>
      </c>
      <c r="F10" s="9" t="n">
        <v>301218</v>
      </c>
      <c r="G10" s="8" t="inlineStr">
        <is>
          <t>Sí</t>
        </is>
      </c>
      <c r="H10" s="8" t="inlineStr">
        <is>
          <t>OK</t>
        </is>
      </c>
    </row>
    <row r="11">
      <c r="A11" s="8" t="inlineStr">
        <is>
          <t>20/04/2026</t>
        </is>
      </c>
      <c r="B11" s="8" t="inlineStr">
        <is>
          <t>341760</t>
        </is>
      </c>
      <c r="C11" s="8" t="inlineStr">
        <is>
          <t>29841705</t>
        </is>
      </c>
      <c r="D11" s="8" t="inlineStr">
        <is>
          <t>Local 6</t>
        </is>
      </c>
      <c r="E11" s="8" t="inlineStr">
        <is>
          <t>Mastercard Crédito</t>
        </is>
      </c>
      <c r="F11" s="9" t="n">
        <v>35215.92</v>
      </c>
      <c r="G11" s="8" t="inlineStr">
        <is>
          <t>Sí</t>
        </is>
      </c>
      <c r="H11" s="8" t="inlineStr">
        <is>
          <t>OK</t>
        </is>
      </c>
    </row>
    <row r="12">
      <c r="A12" s="8" t="inlineStr">
        <is>
          <t>20/04/2026</t>
        </is>
      </c>
      <c r="B12" s="8" t="inlineStr">
        <is>
          <t>342224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Mastercard Crédito</t>
        </is>
      </c>
      <c r="F12" s="9" t="n">
        <v>-25.27</v>
      </c>
      <c r="G12" s="8" t="inlineStr">
        <is>
          <t>No</t>
        </is>
      </c>
      <c r="H12" s="8" t="inlineStr">
        <is>
          <t>Revisar</t>
        </is>
      </c>
    </row>
    <row r="13">
      <c r="A13" s="8" t="inlineStr">
        <is>
          <t>20/04/2026</t>
        </is>
      </c>
      <c r="B13" s="8" t="inlineStr">
        <is>
          <t>342316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Visa Débito</t>
        </is>
      </c>
      <c r="F13" s="9" t="n">
        <v>103729.5</v>
      </c>
      <c r="G13" s="8" t="inlineStr">
        <is>
          <t>Sí</t>
        </is>
      </c>
      <c r="H13" s="8" t="inlineStr">
        <is>
          <t>OK</t>
        </is>
      </c>
    </row>
    <row r="14">
      <c r="A14" s="8" t="inlineStr">
        <is>
          <t>20/04/2026</t>
        </is>
      </c>
      <c r="B14" s="8" t="inlineStr">
        <is>
          <t>340443</t>
        </is>
      </c>
      <c r="C14" s="8" t="inlineStr">
        <is>
          <t>31995644</t>
        </is>
      </c>
      <c r="D14" s="8" t="inlineStr">
        <is>
          <t>Local 7</t>
        </is>
      </c>
      <c r="E14" s="8" t="inlineStr">
        <is>
          <t>Mastercard Crédito</t>
        </is>
      </c>
      <c r="F14" s="9" t="n">
        <v>316181.72</v>
      </c>
      <c r="G14" s="8" t="inlineStr">
        <is>
          <t>Sí</t>
        </is>
      </c>
      <c r="H14" s="8" t="inlineStr">
        <is>
          <t>OK</t>
        </is>
      </c>
    </row>
    <row r="15">
      <c r="A15" s="8" t="inlineStr">
        <is>
          <t>20/04/2026</t>
        </is>
      </c>
      <c r="B15" s="8" t="inlineStr">
        <is>
          <t>340456</t>
        </is>
      </c>
      <c r="C15" s="8" t="inlineStr">
        <is>
          <t>31995644</t>
        </is>
      </c>
      <c r="D15" s="8" t="inlineStr">
        <is>
          <t>Local 7</t>
        </is>
      </c>
      <c r="E15" s="8" t="inlineStr">
        <is>
          <t>Visa Crédito</t>
        </is>
      </c>
      <c r="F15" s="9" t="n">
        <v>91659.21000000001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20/04/2026</t>
        </is>
      </c>
      <c r="B16" s="8" t="inlineStr">
        <is>
          <t>341765</t>
        </is>
      </c>
      <c r="C16" s="8" t="inlineStr">
        <is>
          <t>31995644</t>
        </is>
      </c>
      <c r="D16" s="8" t="inlineStr">
        <is>
          <t>Local 7</t>
        </is>
      </c>
      <c r="E16" s="8" t="inlineStr">
        <is>
          <t>Mastercard Crédito</t>
        </is>
      </c>
      <c r="F16" s="9" t="n">
        <v>52184.78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20/04/2026</t>
        </is>
      </c>
      <c r="B17" s="8" t="inlineStr">
        <is>
          <t>341780</t>
        </is>
      </c>
      <c r="C17" s="8" t="inlineStr">
        <is>
          <t>31995644</t>
        </is>
      </c>
      <c r="D17" s="8" t="inlineStr">
        <is>
          <t>Local 7</t>
        </is>
      </c>
      <c r="E17" s="8" t="inlineStr">
        <is>
          <t>Visa Crédito</t>
        </is>
      </c>
      <c r="F17" s="9" t="n">
        <v>52184.78</v>
      </c>
      <c r="G17" s="8" t="inlineStr">
        <is>
          <t>Sí</t>
        </is>
      </c>
      <c r="H17" s="8" t="inlineStr">
        <is>
          <t>OK</t>
        </is>
      </c>
    </row>
    <row r="18">
      <c r="A18" s="8" t="inlineStr">
        <is>
          <t>20/04/2026</t>
        </is>
      </c>
      <c r="B18" s="8" t="inlineStr">
        <is>
          <t>341789</t>
        </is>
      </c>
      <c r="C18" s="8" t="inlineStr">
        <is>
          <t>31995644</t>
        </is>
      </c>
      <c r="D18" s="8" t="inlineStr">
        <is>
          <t>Local 7</t>
        </is>
      </c>
      <c r="E18" s="8" t="inlineStr">
        <is>
          <t>Amex</t>
        </is>
      </c>
      <c r="F18" s="9" t="n">
        <v>630528.29</v>
      </c>
      <c r="G18" s="8" t="inlineStr">
        <is>
          <t>Sí</t>
        </is>
      </c>
      <c r="H18" s="8" t="inlineStr">
        <is>
          <t>OK</t>
        </is>
      </c>
    </row>
    <row r="19">
      <c r="A19" s="8" t="inlineStr">
        <is>
          <t>20/04/2026</t>
        </is>
      </c>
      <c r="B19" s="8" t="inlineStr">
        <is>
          <t>342232</t>
        </is>
      </c>
      <c r="C19" s="8" t="inlineStr">
        <is>
          <t>31995644</t>
        </is>
      </c>
      <c r="D19" s="8" t="inlineStr">
        <is>
          <t>Local 7</t>
        </is>
      </c>
      <c r="E19" s="8" t="inlineStr">
        <is>
          <t>Mastercard Crédito</t>
        </is>
      </c>
      <c r="F19" s="9" t="n">
        <v>-170.04</v>
      </c>
      <c r="G19" s="8" t="inlineStr">
        <is>
          <t>No</t>
        </is>
      </c>
      <c r="H19" s="8" t="inlineStr">
        <is>
          <t>Revisar</t>
        </is>
      </c>
    </row>
    <row r="20">
      <c r="A20" s="8" t="inlineStr">
        <is>
          <t>20/04/2026</t>
        </is>
      </c>
      <c r="B20" s="8" t="inlineStr">
        <is>
          <t>342299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Mastercard Debit</t>
        </is>
      </c>
      <c r="F20" s="9" t="n">
        <v>405113.52</v>
      </c>
      <c r="G20" s="8" t="inlineStr">
        <is>
          <t>Sí</t>
        </is>
      </c>
      <c r="H20" s="8" t="inlineStr">
        <is>
          <t>OK</t>
        </is>
      </c>
    </row>
    <row r="21">
      <c r="A21" s="8" t="inlineStr">
        <is>
          <t>20/04/2026</t>
        </is>
      </c>
      <c r="B21" s="8" t="inlineStr">
        <is>
          <t>342327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Visa Débito</t>
        </is>
      </c>
      <c r="F21" s="9" t="n">
        <v>593448.84</v>
      </c>
      <c r="G21" s="8" t="inlineStr">
        <is>
          <t>Sí</t>
        </is>
      </c>
      <c r="H21" s="8" t="inlineStr">
        <is>
          <t>OK</t>
        </is>
      </c>
    </row>
    <row r="22">
      <c r="A22" s="8" t="inlineStr">
        <is>
          <t>20/04/2026</t>
        </is>
      </c>
      <c r="B22" s="8" t="inlineStr">
        <is>
          <t>340457</t>
        </is>
      </c>
      <c r="C22" s="8" t="inlineStr">
        <is>
          <t>32032899</t>
        </is>
      </c>
      <c r="D22" s="8" t="inlineStr">
        <is>
          <t>Local 8</t>
        </is>
      </c>
      <c r="E22" s="8" t="inlineStr">
        <is>
          <t>Visa Crédito</t>
        </is>
      </c>
      <c r="F22" s="9" t="n">
        <v>31303.04</v>
      </c>
      <c r="G22" s="8" t="inlineStr">
        <is>
          <t>Sí</t>
        </is>
      </c>
      <c r="H22" s="8" t="inlineStr">
        <is>
          <t>OK</t>
        </is>
      </c>
    </row>
    <row r="23">
      <c r="A23" s="8" t="inlineStr">
        <is>
          <t>20/04/2026</t>
        </is>
      </c>
      <c r="B23" s="8" t="inlineStr">
        <is>
          <t>341766</t>
        </is>
      </c>
      <c r="C23" s="8" t="inlineStr">
        <is>
          <t>32032899</t>
        </is>
      </c>
      <c r="D23" s="8" t="inlineStr">
        <is>
          <t>Local 8</t>
        </is>
      </c>
      <c r="E23" s="8" t="inlineStr">
        <is>
          <t>Mastercard Crédito</t>
        </is>
      </c>
      <c r="F23" s="9" t="n">
        <v>95474.32000000001</v>
      </c>
      <c r="G23" s="8" t="inlineStr">
        <is>
          <t>Sí</t>
        </is>
      </c>
      <c r="H23" s="8" t="inlineStr">
        <is>
          <t>OK</t>
        </is>
      </c>
    </row>
    <row r="24">
      <c r="A24" s="8" t="inlineStr">
        <is>
          <t>20/04/2026</t>
        </is>
      </c>
      <c r="B24" s="8" t="inlineStr">
        <is>
          <t>341781</t>
        </is>
      </c>
      <c r="C24" s="8" t="inlineStr">
        <is>
          <t>32032899</t>
        </is>
      </c>
      <c r="D24" s="8" t="inlineStr">
        <is>
          <t>Local 8</t>
        </is>
      </c>
      <c r="E24" s="8" t="inlineStr">
        <is>
          <t>Visa Crédito</t>
        </is>
      </c>
      <c r="F24" s="9" t="n">
        <v>121916.69</v>
      </c>
      <c r="G24" s="8" t="inlineStr">
        <is>
          <t>Sí</t>
        </is>
      </c>
      <c r="H24" s="8" t="inlineStr">
        <is>
          <t>OK</t>
        </is>
      </c>
    </row>
    <row r="25">
      <c r="A25" s="8" t="inlineStr">
        <is>
          <t>20/04/2026</t>
        </is>
      </c>
      <c r="B25" s="8" t="inlineStr">
        <is>
          <t>342300</t>
        </is>
      </c>
      <c r="C25" s="8" t="inlineStr">
        <is>
          <t>32032899</t>
        </is>
      </c>
      <c r="D25" s="8" t="inlineStr">
        <is>
          <t>Local 8</t>
        </is>
      </c>
      <c r="E25" s="8" t="inlineStr">
        <is>
          <t>Mastercard Debit</t>
        </is>
      </c>
      <c r="F25" s="9" t="n">
        <v>34122.07</v>
      </c>
      <c r="G25" s="8" t="inlineStr">
        <is>
          <t>Sí</t>
        </is>
      </c>
      <c r="H25" s="8" t="inlineStr">
        <is>
          <t>OK</t>
        </is>
      </c>
    </row>
    <row r="26">
      <c r="A26" s="8" t="inlineStr">
        <is>
          <t>20/04/2026</t>
        </is>
      </c>
      <c r="B26" s="8" t="inlineStr">
        <is>
          <t>342328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Visa Débito</t>
        </is>
      </c>
      <c r="F26" s="9" t="n">
        <v>155396.67</v>
      </c>
      <c r="G26" s="8" t="inlineStr">
        <is>
          <t>Sí</t>
        </is>
      </c>
      <c r="H26" s="8" t="inlineStr">
        <is>
          <t>OK</t>
        </is>
      </c>
    </row>
    <row r="27">
      <c r="A27" s="8" t="inlineStr">
        <is>
          <t>20/04/2026</t>
        </is>
      </c>
      <c r="B27" s="8" t="inlineStr">
        <is>
          <t>342368</t>
        </is>
      </c>
      <c r="C27" s="8" t="inlineStr">
        <is>
          <t>32032899</t>
        </is>
      </c>
      <c r="D27" s="8" t="inlineStr">
        <is>
          <t>Local 8</t>
        </is>
      </c>
      <c r="E27" s="8" t="inlineStr">
        <is>
          <t>Visa Crédito</t>
        </is>
      </c>
      <c r="F27" s="9" t="n">
        <v>35802.85</v>
      </c>
      <c r="G27" s="8" t="inlineStr">
        <is>
          <t>Sí</t>
        </is>
      </c>
      <c r="H27" s="8" t="inlineStr">
        <is>
          <t>OK</t>
        </is>
      </c>
    </row>
    <row r="28">
      <c r="A28" s="8" t="inlineStr">
        <is>
          <t>21/04/2026</t>
        </is>
      </c>
      <c r="B28" s="8" t="inlineStr">
        <is>
          <t>341912</t>
        </is>
      </c>
      <c r="C28" s="8" t="inlineStr">
        <is>
          <t>29841627</t>
        </is>
      </c>
      <c r="D28" s="8" t="inlineStr">
        <is>
          <t>Local 2</t>
        </is>
      </c>
      <c r="E28" s="8" t="inlineStr">
        <is>
          <t>Visa Crédito</t>
        </is>
      </c>
      <c r="F28" s="9" t="n">
        <v>65540.74000000001</v>
      </c>
      <c r="G28" s="8" t="inlineStr">
        <is>
          <t>Sí</t>
        </is>
      </c>
      <c r="H28" s="8" t="inlineStr">
        <is>
          <t>OK</t>
        </is>
      </c>
    </row>
    <row r="29">
      <c r="A29" s="8" t="inlineStr">
        <is>
          <t>21/04/2026</t>
        </is>
      </c>
      <c r="B29" s="8" t="inlineStr">
        <is>
          <t>342413</t>
        </is>
      </c>
      <c r="C29" s="8" t="inlineStr">
        <is>
          <t>29841627</t>
        </is>
      </c>
      <c r="D29" s="8" t="inlineStr">
        <is>
          <t>Local 2</t>
        </is>
      </c>
      <c r="E29" s="8" t="inlineStr">
        <is>
          <t>Mastercard Debit</t>
        </is>
      </c>
      <c r="F29" s="9" t="n">
        <v>104519.82</v>
      </c>
      <c r="G29" s="8" t="inlineStr">
        <is>
          <t>Sí</t>
        </is>
      </c>
      <c r="H29" s="8" t="inlineStr">
        <is>
          <t>OK</t>
        </is>
      </c>
    </row>
    <row r="30">
      <c r="A30" s="8" t="inlineStr">
        <is>
          <t>21/04/2026</t>
        </is>
      </c>
      <c r="B30" s="8" t="inlineStr">
        <is>
          <t>342441</t>
        </is>
      </c>
      <c r="C30" s="8" t="inlineStr">
        <is>
          <t>29841627</t>
        </is>
      </c>
      <c r="D30" s="8" t="inlineStr">
        <is>
          <t>Local 2</t>
        </is>
      </c>
      <c r="E30" s="8" t="inlineStr">
        <is>
          <t>Visa Débito</t>
        </is>
      </c>
      <c r="F30" s="9" t="n">
        <v>144430.98</v>
      </c>
      <c r="G30" s="8" t="inlineStr">
        <is>
          <t>Sí</t>
        </is>
      </c>
      <c r="H30" s="8" t="inlineStr">
        <is>
          <t>OK</t>
        </is>
      </c>
    </row>
    <row r="31">
      <c r="A31" s="8" t="inlineStr">
        <is>
          <t>21/04/2026</t>
        </is>
      </c>
      <c r="B31" s="8" t="inlineStr">
        <is>
          <t>342414</t>
        </is>
      </c>
      <c r="C31" s="8" t="inlineStr">
        <is>
          <t>29841642</t>
        </is>
      </c>
      <c r="D31" s="8" t="inlineStr">
        <is>
          <t>Local 1</t>
        </is>
      </c>
      <c r="E31" s="8" t="inlineStr">
        <is>
          <t>Mastercard Debit</t>
        </is>
      </c>
      <c r="F31" s="9" t="n">
        <v>174364.35</v>
      </c>
      <c r="G31" s="8" t="inlineStr">
        <is>
          <t>Sí</t>
        </is>
      </c>
      <c r="H31" s="8" t="inlineStr">
        <is>
          <t>OK</t>
        </is>
      </c>
    </row>
    <row r="32">
      <c r="A32" s="8" t="inlineStr">
        <is>
          <t>21/04/2026</t>
        </is>
      </c>
      <c r="B32" s="8" t="inlineStr">
        <is>
          <t>342442</t>
        </is>
      </c>
      <c r="C32" s="8" t="inlineStr">
        <is>
          <t>29841642</t>
        </is>
      </c>
      <c r="D32" s="8" t="inlineStr">
        <is>
          <t>Local 1</t>
        </is>
      </c>
      <c r="E32" s="8" t="inlineStr">
        <is>
          <t>Visa Débito</t>
        </is>
      </c>
      <c r="F32" s="9" t="n">
        <v>488466.96</v>
      </c>
      <c r="G32" s="8" t="inlineStr">
        <is>
          <t>Sí</t>
        </is>
      </c>
      <c r="H32" s="8" t="inlineStr">
        <is>
          <t>OK</t>
        </is>
      </c>
    </row>
    <row r="33">
      <c r="A33" s="8" t="inlineStr">
        <is>
          <t>21/04/2026</t>
        </is>
      </c>
      <c r="B33" s="8" t="inlineStr">
        <is>
          <t>342462</t>
        </is>
      </c>
      <c r="C33" s="8" t="inlineStr">
        <is>
          <t>29841642</t>
        </is>
      </c>
      <c r="D33" s="8" t="inlineStr">
        <is>
          <t>Local 1</t>
        </is>
      </c>
      <c r="E33" s="8" t="inlineStr">
        <is>
          <t>Mastercard Crédito</t>
        </is>
      </c>
      <c r="F33" s="9" t="n">
        <v>32183.44</v>
      </c>
      <c r="G33" s="8" t="inlineStr">
        <is>
          <t>Sí</t>
        </is>
      </c>
      <c r="H33" s="8" t="inlineStr">
        <is>
          <t>OK</t>
        </is>
      </c>
    </row>
    <row r="34">
      <c r="A34" s="8" t="inlineStr">
        <is>
          <t>21/04/2026</t>
        </is>
      </c>
      <c r="B34" s="8" t="inlineStr">
        <is>
          <t>341897</t>
        </is>
      </c>
      <c r="C34" s="8" t="inlineStr">
        <is>
          <t>29841670</t>
        </is>
      </c>
      <c r="D34" s="8" t="inlineStr">
        <is>
          <t>Local 5</t>
        </is>
      </c>
      <c r="E34" s="8" t="inlineStr">
        <is>
          <t>Mastercard Crédito</t>
        </is>
      </c>
      <c r="F34" s="9" t="n">
        <v>30716.11</v>
      </c>
      <c r="G34" s="8" t="inlineStr">
        <is>
          <t>Sí</t>
        </is>
      </c>
      <c r="H34" s="8" t="inlineStr">
        <is>
          <t>OK</t>
        </is>
      </c>
    </row>
    <row r="35">
      <c r="A35" s="8" t="inlineStr">
        <is>
          <t>21/04/2026</t>
        </is>
      </c>
      <c r="B35" s="8" t="inlineStr">
        <is>
          <t>341913</t>
        </is>
      </c>
      <c r="C35" s="8" t="inlineStr">
        <is>
          <t>29841670</t>
        </is>
      </c>
      <c r="D35" s="8" t="inlineStr">
        <is>
          <t>Local 5</t>
        </is>
      </c>
      <c r="E35" s="8" t="inlineStr">
        <is>
          <t>Visa Crédito</t>
        </is>
      </c>
      <c r="F35" s="9" t="n">
        <v>69062.33</v>
      </c>
      <c r="G35" s="8" t="inlineStr">
        <is>
          <t>Sí</t>
        </is>
      </c>
      <c r="H35" s="8" t="inlineStr">
        <is>
          <t>OK</t>
        </is>
      </c>
    </row>
    <row r="36">
      <c r="A36" s="8" t="inlineStr">
        <is>
          <t>21/04/2026</t>
        </is>
      </c>
      <c r="B36" s="8" t="inlineStr">
        <is>
          <t>342415</t>
        </is>
      </c>
      <c r="C36" s="8" t="inlineStr">
        <is>
          <t>29841670</t>
        </is>
      </c>
      <c r="D36" s="8" t="inlineStr">
        <is>
          <t>Local 5</t>
        </is>
      </c>
      <c r="E36" s="8" t="inlineStr">
        <is>
          <t>Mastercard Debit</t>
        </is>
      </c>
      <c r="F36" s="9" t="n">
        <v>89602.53</v>
      </c>
      <c r="G36" s="8" t="inlineStr">
        <is>
          <t>Sí</t>
        </is>
      </c>
      <c r="H36" s="8" t="inlineStr">
        <is>
          <t>OK</t>
        </is>
      </c>
    </row>
    <row r="37">
      <c r="A37" s="8" t="inlineStr">
        <is>
          <t>21/04/2026</t>
        </is>
      </c>
      <c r="B37" s="8" t="inlineStr">
        <is>
          <t>342443</t>
        </is>
      </c>
      <c r="C37" s="8" t="inlineStr">
        <is>
          <t>29841670</t>
        </is>
      </c>
      <c r="D37" s="8" t="inlineStr">
        <is>
          <t>Local 5</t>
        </is>
      </c>
      <c r="E37" s="8" t="inlineStr">
        <is>
          <t>Visa Débito</t>
        </is>
      </c>
      <c r="F37" s="9" t="n">
        <v>274355.28</v>
      </c>
      <c r="G37" s="8" t="inlineStr">
        <is>
          <t>Sí</t>
        </is>
      </c>
      <c r="H37" s="8" t="inlineStr">
        <is>
          <t>OK</t>
        </is>
      </c>
    </row>
    <row r="38">
      <c r="A38" s="8" t="inlineStr">
        <is>
          <t>21/04/2026</t>
        </is>
      </c>
      <c r="B38" s="8" t="inlineStr">
        <is>
          <t>341914</t>
        </is>
      </c>
      <c r="C38" s="8" t="inlineStr">
        <is>
          <t>29841683</t>
        </is>
      </c>
      <c r="D38" s="8" t="inlineStr">
        <is>
          <t>Local 3</t>
        </is>
      </c>
      <c r="E38" s="8" t="inlineStr">
        <is>
          <t>Visa Crédito</t>
        </is>
      </c>
      <c r="F38" s="9" t="n">
        <v>49889.22</v>
      </c>
      <c r="G38" s="8" t="inlineStr">
        <is>
          <t>Sí</t>
        </is>
      </c>
      <c r="H38" s="8" t="inlineStr">
        <is>
          <t>OK</t>
        </is>
      </c>
    </row>
    <row r="39">
      <c r="A39" s="8" t="inlineStr">
        <is>
          <t>21/04/2026</t>
        </is>
      </c>
      <c r="B39" s="8" t="inlineStr">
        <is>
          <t>342416</t>
        </is>
      </c>
      <c r="C39" s="8" t="inlineStr">
        <is>
          <t>29841683</t>
        </is>
      </c>
      <c r="D39" s="8" t="inlineStr">
        <is>
          <t>Local 3</t>
        </is>
      </c>
      <c r="E39" s="8" t="inlineStr">
        <is>
          <t>Mastercard Debit</t>
        </is>
      </c>
      <c r="F39" s="9" t="n">
        <v>257566.08</v>
      </c>
      <c r="G39" s="8" t="inlineStr">
        <is>
          <t>Sí</t>
        </is>
      </c>
      <c r="H39" s="8" t="inlineStr">
        <is>
          <t>OK</t>
        </is>
      </c>
    </row>
    <row r="40">
      <c r="A40" s="8" t="inlineStr">
        <is>
          <t>21/04/2026</t>
        </is>
      </c>
      <c r="B40" s="8" t="inlineStr">
        <is>
          <t>342444</t>
        </is>
      </c>
      <c r="C40" s="8" t="inlineStr">
        <is>
          <t>29841683</t>
        </is>
      </c>
      <c r="D40" s="8" t="inlineStr">
        <is>
          <t>Local 3</t>
        </is>
      </c>
      <c r="E40" s="8" t="inlineStr">
        <is>
          <t>Visa Débito</t>
        </is>
      </c>
      <c r="F40" s="9" t="n">
        <v>207415.75</v>
      </c>
      <c r="G40" s="8" t="inlineStr">
        <is>
          <t>Sí</t>
        </is>
      </c>
      <c r="H40" s="8" t="inlineStr">
        <is>
          <t>OK</t>
        </is>
      </c>
    </row>
    <row r="41">
      <c r="A41" s="8" t="inlineStr">
        <is>
          <t>21/04/2026</t>
        </is>
      </c>
      <c r="B41" s="8" t="inlineStr">
        <is>
          <t>341898</t>
        </is>
      </c>
      <c r="C41" s="8" t="inlineStr">
        <is>
          <t>29841705</t>
        </is>
      </c>
      <c r="D41" s="8" t="inlineStr">
        <is>
          <t>Local 6</t>
        </is>
      </c>
      <c r="E41" s="8" t="inlineStr">
        <is>
          <t>Mastercard Crédito</t>
        </is>
      </c>
      <c r="F41" s="9" t="n">
        <v>34726.81</v>
      </c>
      <c r="G41" s="8" t="inlineStr">
        <is>
          <t>Sí</t>
        </is>
      </c>
      <c r="H41" s="8" t="inlineStr">
        <is>
          <t>OK</t>
        </is>
      </c>
    </row>
    <row r="42">
      <c r="A42" s="8" t="inlineStr">
        <is>
          <t>21/04/2026</t>
        </is>
      </c>
      <c r="B42" s="8" t="inlineStr">
        <is>
          <t>341915</t>
        </is>
      </c>
      <c r="C42" s="8" t="inlineStr">
        <is>
          <t>29841705</t>
        </is>
      </c>
      <c r="D42" s="8" t="inlineStr">
        <is>
          <t>Local 6</t>
        </is>
      </c>
      <c r="E42" s="8" t="inlineStr">
        <is>
          <t>Visa Crédito</t>
        </is>
      </c>
      <c r="F42" s="9" t="n">
        <v>26607.58</v>
      </c>
      <c r="G42" s="8" t="inlineStr">
        <is>
          <t>Sí</t>
        </is>
      </c>
      <c r="H42" s="8" t="inlineStr">
        <is>
          <t>OK</t>
        </is>
      </c>
    </row>
    <row r="43">
      <c r="A43" s="8" t="inlineStr">
        <is>
          <t>21/04/2026</t>
        </is>
      </c>
      <c r="B43" s="8" t="inlineStr">
        <is>
          <t>342417</t>
        </is>
      </c>
      <c r="C43" s="8" t="inlineStr">
        <is>
          <t>29841705</t>
        </is>
      </c>
      <c r="D43" s="8" t="inlineStr">
        <is>
          <t>Local 6</t>
        </is>
      </c>
      <c r="E43" s="8" t="inlineStr">
        <is>
          <t>Mastercard Debit</t>
        </is>
      </c>
      <c r="F43" s="9" t="n">
        <v>158656.74</v>
      </c>
      <c r="G43" s="8" t="inlineStr">
        <is>
          <t>Sí</t>
        </is>
      </c>
      <c r="H43" s="8" t="inlineStr">
        <is>
          <t>OK</t>
        </is>
      </c>
    </row>
    <row r="44">
      <c r="A44" s="8" t="inlineStr">
        <is>
          <t>21/04/2026</t>
        </is>
      </c>
      <c r="B44" s="8" t="inlineStr">
        <is>
          <t>342445</t>
        </is>
      </c>
      <c r="C44" s="8" t="inlineStr">
        <is>
          <t>29841705</t>
        </is>
      </c>
      <c r="D44" s="8" t="inlineStr">
        <is>
          <t>Local 6</t>
        </is>
      </c>
      <c r="E44" s="8" t="inlineStr">
        <is>
          <t>Visa Débito</t>
        </is>
      </c>
      <c r="F44" s="9" t="n">
        <v>618128.96</v>
      </c>
      <c r="G44" s="8" t="inlineStr">
        <is>
          <t>Sí</t>
        </is>
      </c>
      <c r="H44" s="8" t="inlineStr">
        <is>
          <t>OK</t>
        </is>
      </c>
    </row>
    <row r="45">
      <c r="A45" s="8" t="inlineStr">
        <is>
          <t>21/04/2026</t>
        </is>
      </c>
      <c r="B45" s="8" t="inlineStr">
        <is>
          <t>342497</t>
        </is>
      </c>
      <c r="C45" s="8" t="inlineStr">
        <is>
          <t>29841705</t>
        </is>
      </c>
      <c r="D45" s="8" t="inlineStr">
        <is>
          <t>Local 6</t>
        </is>
      </c>
      <c r="E45" s="8" t="inlineStr">
        <is>
          <t>Visa Crédito</t>
        </is>
      </c>
      <c r="F45" s="9" t="n">
        <v>12227.75</v>
      </c>
      <c r="G45" s="8" t="inlineStr">
        <is>
          <t>Sí</t>
        </is>
      </c>
      <c r="H45" s="8" t="inlineStr">
        <is>
          <t>OK</t>
        </is>
      </c>
    </row>
    <row r="46">
      <c r="A46" s="8" t="inlineStr">
        <is>
          <t>21/04/2026</t>
        </is>
      </c>
      <c r="B46" s="8" t="inlineStr">
        <is>
          <t>340584</t>
        </is>
      </c>
      <c r="C46" s="8" t="inlineStr">
        <is>
          <t>31995644</t>
        </is>
      </c>
      <c r="D46" s="8" t="inlineStr">
        <is>
          <t>Local 7</t>
        </is>
      </c>
      <c r="E46" s="8" t="inlineStr">
        <is>
          <t>Mastercard Crédito</t>
        </is>
      </c>
      <c r="F46" s="9" t="n">
        <v>211961.03</v>
      </c>
      <c r="G46" s="8" t="inlineStr">
        <is>
          <t>Sí</t>
        </is>
      </c>
      <c r="H46" s="8" t="inlineStr">
        <is>
          <t>OK</t>
        </is>
      </c>
    </row>
    <row r="47">
      <c r="A47" s="8" t="inlineStr">
        <is>
          <t>21/04/2026</t>
        </is>
      </c>
      <c r="B47" s="8" t="inlineStr">
        <is>
          <t>340599</t>
        </is>
      </c>
      <c r="C47" s="8" t="inlineStr">
        <is>
          <t>31995644</t>
        </is>
      </c>
      <c r="D47" s="8" t="inlineStr">
        <is>
          <t>Local 7</t>
        </is>
      </c>
      <c r="E47" s="8" t="inlineStr">
        <is>
          <t>Visa Crédito</t>
        </is>
      </c>
      <c r="F47" s="9" t="n">
        <v>92246.14999999999</v>
      </c>
      <c r="G47" s="8" t="inlineStr">
        <is>
          <t>Sí</t>
        </is>
      </c>
      <c r="H47" s="8" t="inlineStr">
        <is>
          <t>OK</t>
        </is>
      </c>
    </row>
    <row r="48">
      <c r="A48" s="8" t="inlineStr">
        <is>
          <t>21/04/2026</t>
        </is>
      </c>
      <c r="B48" s="8" t="inlineStr">
        <is>
          <t>341920</t>
        </is>
      </c>
      <c r="C48" s="8" t="inlineStr">
        <is>
          <t>31995644</t>
        </is>
      </c>
      <c r="D48" s="8" t="inlineStr">
        <is>
          <t>Local 7</t>
        </is>
      </c>
      <c r="E48" s="8" t="inlineStr">
        <is>
          <t>Visa Crédito</t>
        </is>
      </c>
      <c r="F48" s="9" t="n">
        <v>274532.55</v>
      </c>
      <c r="G48" s="8" t="inlineStr">
        <is>
          <t>Sí</t>
        </is>
      </c>
      <c r="H48" s="8" t="inlineStr">
        <is>
          <t>OK</t>
        </is>
      </c>
    </row>
    <row r="49">
      <c r="A49" s="8" t="inlineStr">
        <is>
          <t>21/04/2026</t>
        </is>
      </c>
      <c r="B49" s="8" t="inlineStr">
        <is>
          <t>341926</t>
        </is>
      </c>
      <c r="C49" s="8" t="inlineStr">
        <is>
          <t>31995644</t>
        </is>
      </c>
      <c r="D49" s="8" t="inlineStr">
        <is>
          <t>Local 7</t>
        </is>
      </c>
      <c r="E49" s="8" t="inlineStr">
        <is>
          <t>Amex</t>
        </is>
      </c>
      <c r="F49" s="9" t="n">
        <v>626555.58</v>
      </c>
      <c r="G49" s="8" t="inlineStr">
        <is>
          <t>Sí</t>
        </is>
      </c>
      <c r="H49" s="8" t="inlineStr">
        <is>
          <t>OK</t>
        </is>
      </c>
    </row>
    <row r="50">
      <c r="A50" s="8" t="inlineStr">
        <is>
          <t>21/04/2026</t>
        </is>
      </c>
      <c r="B50" s="8" t="inlineStr">
        <is>
          <t>342428</t>
        </is>
      </c>
      <c r="C50" s="8" t="inlineStr">
        <is>
          <t>31995644</t>
        </is>
      </c>
      <c r="D50" s="8" t="inlineStr">
        <is>
          <t>Local 7</t>
        </is>
      </c>
      <c r="E50" s="8" t="inlineStr">
        <is>
          <t>Mastercard Debit</t>
        </is>
      </c>
      <c r="F50" s="9" t="n">
        <v>323982.16</v>
      </c>
      <c r="G50" s="8" t="inlineStr">
        <is>
          <t>Sí</t>
        </is>
      </c>
      <c r="H50" s="8" t="inlineStr">
        <is>
          <t>OK</t>
        </is>
      </c>
    </row>
    <row r="51">
      <c r="A51" s="8" t="inlineStr">
        <is>
          <t>21/04/2026</t>
        </is>
      </c>
      <c r="B51" s="8" t="inlineStr">
        <is>
          <t>342456</t>
        </is>
      </c>
      <c r="C51" s="8" t="inlineStr">
        <is>
          <t>31995644</t>
        </is>
      </c>
      <c r="D51" s="8" t="inlineStr">
        <is>
          <t>Local 7</t>
        </is>
      </c>
      <c r="E51" s="8" t="inlineStr">
        <is>
          <t>Visa Débito</t>
        </is>
      </c>
      <c r="F51" s="9" t="n">
        <v>2070898.43</v>
      </c>
      <c r="G51" s="8" t="inlineStr">
        <is>
          <t>Sí</t>
        </is>
      </c>
      <c r="H51" s="8" t="inlineStr">
        <is>
          <t>OK</t>
        </is>
      </c>
    </row>
    <row r="52">
      <c r="A52" s="8" t="inlineStr">
        <is>
          <t>21/04/2026</t>
        </is>
      </c>
      <c r="B52" s="8" t="inlineStr">
        <is>
          <t>340600</t>
        </is>
      </c>
      <c r="C52" s="8" t="inlineStr">
        <is>
          <t>32032899</t>
        </is>
      </c>
      <c r="D52" s="8" t="inlineStr">
        <is>
          <t>Local 8</t>
        </is>
      </c>
      <c r="E52" s="8" t="inlineStr">
        <is>
          <t>Visa Crédito</t>
        </is>
      </c>
      <c r="F52" s="9" t="n">
        <v>219782.47</v>
      </c>
      <c r="G52" s="8" t="inlineStr">
        <is>
          <t>Sí</t>
        </is>
      </c>
      <c r="H52" s="8" t="inlineStr">
        <is>
          <t>OK</t>
        </is>
      </c>
    </row>
    <row r="53">
      <c r="A53" s="8" t="inlineStr">
        <is>
          <t>21/04/2026</t>
        </is>
      </c>
      <c r="B53" s="8" t="inlineStr">
        <is>
          <t>341903</t>
        </is>
      </c>
      <c r="C53" s="8" t="inlineStr">
        <is>
          <t>32032899</t>
        </is>
      </c>
      <c r="D53" s="8" t="inlineStr">
        <is>
          <t>Local 8</t>
        </is>
      </c>
      <c r="E53" s="8" t="inlineStr">
        <is>
          <t>Mastercard Crédito</t>
        </is>
      </c>
      <c r="F53" s="9" t="n">
        <v>214502.99</v>
      </c>
      <c r="G53" s="8" t="inlineStr">
        <is>
          <t>Sí</t>
        </is>
      </c>
      <c r="H53" s="8" t="inlineStr">
        <is>
          <t>OK</t>
        </is>
      </c>
    </row>
    <row r="54">
      <c r="A54" s="8" t="inlineStr">
        <is>
          <t>21/04/2026</t>
        </is>
      </c>
      <c r="B54" s="8" t="inlineStr">
        <is>
          <t>341921</t>
        </is>
      </c>
      <c r="C54" s="8" t="inlineStr">
        <is>
          <t>32032899</t>
        </is>
      </c>
      <c r="D54" s="8" t="inlineStr">
        <is>
          <t>Local 8</t>
        </is>
      </c>
      <c r="E54" s="8" t="inlineStr">
        <is>
          <t>Visa Crédito</t>
        </is>
      </c>
      <c r="F54" s="9" t="n">
        <v>454083.48</v>
      </c>
      <c r="G54" s="8" t="inlineStr">
        <is>
          <t>Sí</t>
        </is>
      </c>
      <c r="H54" s="8" t="inlineStr">
        <is>
          <t>OK</t>
        </is>
      </c>
    </row>
    <row r="55">
      <c r="A55" s="8" t="inlineStr">
        <is>
          <t>21/04/2026</t>
        </is>
      </c>
      <c r="B55" s="8" t="inlineStr">
        <is>
          <t>342356</t>
        </is>
      </c>
      <c r="C55" s="8" t="inlineStr">
        <is>
          <t>32032899</t>
        </is>
      </c>
      <c r="D55" s="8" t="inlineStr">
        <is>
          <t>Local 8</t>
        </is>
      </c>
      <c r="E55" s="8" t="inlineStr">
        <is>
          <t>Mastercard Crédito</t>
        </is>
      </c>
      <c r="F55" s="9" t="n">
        <v>-107.94</v>
      </c>
      <c r="G55" s="8" t="inlineStr">
        <is>
          <t>No</t>
        </is>
      </c>
      <c r="H55" s="8" t="inlineStr">
        <is>
          <t>Revisar</t>
        </is>
      </c>
    </row>
    <row r="56">
      <c r="A56" s="8" t="inlineStr">
        <is>
          <t>21/04/2026</t>
        </is>
      </c>
      <c r="B56" s="8" t="inlineStr">
        <is>
          <t>342429</t>
        </is>
      </c>
      <c r="C56" s="8" t="inlineStr">
        <is>
          <t>32032899</t>
        </is>
      </c>
      <c r="D56" s="8" t="inlineStr">
        <is>
          <t>Local 8</t>
        </is>
      </c>
      <c r="E56" s="8" t="inlineStr">
        <is>
          <t>Mastercard Debit</t>
        </is>
      </c>
      <c r="F56" s="9" t="n">
        <v>290453.16</v>
      </c>
      <c r="G56" s="8" t="inlineStr">
        <is>
          <t>Sí</t>
        </is>
      </c>
      <c r="H56" s="8" t="inlineStr">
        <is>
          <t>OK</t>
        </is>
      </c>
    </row>
    <row r="57">
      <c r="A57" s="8" t="inlineStr">
        <is>
          <t>21/04/2026</t>
        </is>
      </c>
      <c r="B57" s="8" t="inlineStr">
        <is>
          <t>342457</t>
        </is>
      </c>
      <c r="C57" s="8" t="inlineStr">
        <is>
          <t>32032899</t>
        </is>
      </c>
      <c r="D57" s="8" t="inlineStr">
        <is>
          <t>Local 8</t>
        </is>
      </c>
      <c r="E57" s="8" t="inlineStr">
        <is>
          <t>Visa Débito</t>
        </is>
      </c>
      <c r="F57" s="9" t="n">
        <v>1923400.36</v>
      </c>
      <c r="G57" s="8" t="inlineStr">
        <is>
          <t>Sí</t>
        </is>
      </c>
      <c r="H57" s="8" t="inlineStr">
        <is>
          <t>OK</t>
        </is>
      </c>
    </row>
    <row r="58">
      <c r="A58" s="8" t="inlineStr">
        <is>
          <t>22/04/2026</t>
        </is>
      </c>
      <c r="B58" s="8" t="inlineStr">
        <is>
          <t>342038</t>
        </is>
      </c>
      <c r="C58" s="8" t="inlineStr">
        <is>
          <t>29841627</t>
        </is>
      </c>
      <c r="D58" s="8" t="inlineStr">
        <is>
          <t>Local 2</t>
        </is>
      </c>
      <c r="E58" s="8" t="inlineStr">
        <is>
          <t>Visa Crédito</t>
        </is>
      </c>
      <c r="F58" s="9" t="n">
        <v>13205.97</v>
      </c>
      <c r="G58" s="8" t="inlineStr">
        <is>
          <t>Sí</t>
        </is>
      </c>
      <c r="H58" s="8" t="inlineStr">
        <is>
          <t>OK</t>
        </is>
      </c>
    </row>
    <row r="59">
      <c r="A59" s="8" t="inlineStr">
        <is>
          <t>22/04/2026</t>
        </is>
      </c>
      <c r="B59" s="8" t="inlineStr">
        <is>
          <t>342570</t>
        </is>
      </c>
      <c r="C59" s="8" t="inlineStr">
        <is>
          <t>29841627</t>
        </is>
      </c>
      <c r="D59" s="8" t="inlineStr">
        <is>
          <t>Local 2</t>
        </is>
      </c>
      <c r="E59" s="8" t="inlineStr">
        <is>
          <t>Visa Débito</t>
        </is>
      </c>
      <c r="F59" s="9" t="n">
        <v>15411.24</v>
      </c>
      <c r="G59" s="8" t="inlineStr">
        <is>
          <t>Sí</t>
        </is>
      </c>
      <c r="H59" s="8" t="inlineStr">
        <is>
          <t>OK</t>
        </is>
      </c>
    </row>
    <row r="60">
      <c r="A60" s="8" t="inlineStr">
        <is>
          <t>22/04/2026</t>
        </is>
      </c>
      <c r="B60" s="8" t="inlineStr">
        <is>
          <t>340708</t>
        </is>
      </c>
      <c r="C60" s="8" t="inlineStr">
        <is>
          <t>29841642</t>
        </is>
      </c>
      <c r="D60" s="8" t="inlineStr">
        <is>
          <t>Local 1</t>
        </is>
      </c>
      <c r="E60" s="8" t="inlineStr">
        <is>
          <t>Mastercard Crédito</t>
        </is>
      </c>
      <c r="F60" s="9" t="n">
        <v>11249.53</v>
      </c>
      <c r="G60" s="8" t="inlineStr">
        <is>
          <t>Sí</t>
        </is>
      </c>
      <c r="H60" s="8" t="inlineStr">
        <is>
          <t>OK</t>
        </is>
      </c>
    </row>
    <row r="61">
      <c r="A61" s="8" t="inlineStr">
        <is>
          <t>22/04/2026</t>
        </is>
      </c>
      <c r="B61" s="8" t="inlineStr">
        <is>
          <t>342039</t>
        </is>
      </c>
      <c r="C61" s="8" t="inlineStr">
        <is>
          <t>29841642</t>
        </is>
      </c>
      <c r="D61" s="8" t="inlineStr">
        <is>
          <t>Local 1</t>
        </is>
      </c>
      <c r="E61" s="8" t="inlineStr">
        <is>
          <t>Visa Crédito</t>
        </is>
      </c>
      <c r="F61" s="9" t="n">
        <v>66616.78</v>
      </c>
      <c r="G61" s="8" t="inlineStr">
        <is>
          <t>Sí</t>
        </is>
      </c>
      <c r="H61" s="8" t="inlineStr">
        <is>
          <t>OK</t>
        </is>
      </c>
    </row>
    <row r="62">
      <c r="A62" s="8" t="inlineStr">
        <is>
          <t>22/04/2026</t>
        </is>
      </c>
      <c r="B62" s="8" t="inlineStr">
        <is>
          <t>342548</t>
        </is>
      </c>
      <c r="C62" s="8" t="inlineStr">
        <is>
          <t>29841642</t>
        </is>
      </c>
      <c r="D62" s="8" t="inlineStr">
        <is>
          <t>Local 1</t>
        </is>
      </c>
      <c r="E62" s="8" t="inlineStr">
        <is>
          <t>Mastercard Debit</t>
        </is>
      </c>
      <c r="F62" s="9" t="n">
        <v>124376.61</v>
      </c>
      <c r="G62" s="8" t="inlineStr">
        <is>
          <t>Sí</t>
        </is>
      </c>
      <c r="H62" s="8" t="inlineStr">
        <is>
          <t>OK</t>
        </is>
      </c>
    </row>
    <row r="63">
      <c r="A63" s="8" t="inlineStr">
        <is>
          <t>22/04/2026</t>
        </is>
      </c>
      <c r="B63" s="8" t="inlineStr">
        <is>
          <t>342571</t>
        </is>
      </c>
      <c r="C63" s="8" t="inlineStr">
        <is>
          <t>29841642</t>
        </is>
      </c>
      <c r="D63" s="8" t="inlineStr">
        <is>
          <t>Local 1</t>
        </is>
      </c>
      <c r="E63" s="8" t="inlineStr">
        <is>
          <t>Visa Débito</t>
        </is>
      </c>
      <c r="F63" s="9" t="n">
        <v>58780.05</v>
      </c>
      <c r="G63" s="8" t="inlineStr">
        <is>
          <t>Sí</t>
        </is>
      </c>
      <c r="H63" s="8" t="inlineStr">
        <is>
          <t>OK</t>
        </is>
      </c>
    </row>
    <row r="64">
      <c r="A64" s="8" t="inlineStr">
        <is>
          <t>22/04/2026</t>
        </is>
      </c>
      <c r="B64" s="8" t="inlineStr">
        <is>
          <t>342592</t>
        </is>
      </c>
      <c r="C64" s="8" t="inlineStr">
        <is>
          <t>29841642</t>
        </is>
      </c>
      <c r="D64" s="8" t="inlineStr">
        <is>
          <t>Local 1</t>
        </is>
      </c>
      <c r="E64" s="8" t="inlineStr">
        <is>
          <t>Mastercard Crédito</t>
        </is>
      </c>
      <c r="F64" s="9" t="n">
        <v>42083.02</v>
      </c>
      <c r="G64" s="8" t="inlineStr">
        <is>
          <t>Sí</t>
        </is>
      </c>
      <c r="H64" s="8" t="inlineStr">
        <is>
          <t>OK</t>
        </is>
      </c>
    </row>
    <row r="65">
      <c r="A65" s="8" t="inlineStr">
        <is>
          <t>22/04/2026</t>
        </is>
      </c>
      <c r="B65" s="8" t="inlineStr">
        <is>
          <t>342480</t>
        </is>
      </c>
      <c r="C65" s="8" t="inlineStr">
        <is>
          <t>29841670</t>
        </is>
      </c>
      <c r="D65" s="8" t="inlineStr">
        <is>
          <t>Local 5</t>
        </is>
      </c>
      <c r="E65" s="8" t="inlineStr">
        <is>
          <t>Mastercard Crédito</t>
        </is>
      </c>
      <c r="F65" s="9" t="n">
        <v>-168.2</v>
      </c>
      <c r="G65" s="8" t="inlineStr">
        <is>
          <t>No</t>
        </is>
      </c>
      <c r="H65" s="8" t="inlineStr">
        <is>
          <t>Revisar</t>
        </is>
      </c>
    </row>
    <row r="66">
      <c r="A66" s="8" t="inlineStr">
        <is>
          <t>22/04/2026</t>
        </is>
      </c>
      <c r="B66" s="8" t="inlineStr">
        <is>
          <t>342572</t>
        </is>
      </c>
      <c r="C66" s="8" t="inlineStr">
        <is>
          <t>29841670</t>
        </is>
      </c>
      <c r="D66" s="8" t="inlineStr">
        <is>
          <t>Local 5</t>
        </is>
      </c>
      <c r="E66" s="8" t="inlineStr">
        <is>
          <t>Visa Débito</t>
        </is>
      </c>
      <c r="F66" s="9" t="n">
        <v>90886.8</v>
      </c>
      <c r="G66" s="8" t="inlineStr">
        <is>
          <t>Sí</t>
        </is>
      </c>
      <c r="H66" s="8" t="inlineStr">
        <is>
          <t>OK</t>
        </is>
      </c>
    </row>
    <row r="67">
      <c r="A67" s="8" t="inlineStr">
        <is>
          <t>22/04/2026</t>
        </is>
      </c>
      <c r="B67" s="8" t="inlineStr">
        <is>
          <t>342593</t>
        </is>
      </c>
      <c r="C67" s="8" t="inlineStr">
        <is>
          <t>29841670</t>
        </is>
      </c>
      <c r="D67" s="8" t="inlineStr">
        <is>
          <t>Local 5</t>
        </is>
      </c>
      <c r="E67" s="8" t="inlineStr">
        <is>
          <t>Mastercard Crédito</t>
        </is>
      </c>
      <c r="F67" s="9" t="n">
        <v>37759.29</v>
      </c>
      <c r="G67" s="8" t="inlineStr">
        <is>
          <t>Sí</t>
        </is>
      </c>
      <c r="H67" s="8" t="inlineStr">
        <is>
          <t>OK</t>
        </is>
      </c>
    </row>
    <row r="68">
      <c r="A68" s="8" t="inlineStr">
        <is>
          <t>22/04/2026</t>
        </is>
      </c>
      <c r="B68" s="8" t="inlineStr">
        <is>
          <t>342023</t>
        </is>
      </c>
      <c r="C68" s="8" t="inlineStr">
        <is>
          <t>29841683</t>
        </is>
      </c>
      <c r="D68" s="8" t="inlineStr">
        <is>
          <t>Local 3</t>
        </is>
      </c>
      <c r="E68" s="8" t="inlineStr">
        <is>
          <t>Mastercard Crédito</t>
        </is>
      </c>
      <c r="F68" s="9" t="n">
        <v>11249.53</v>
      </c>
      <c r="G68" s="8" t="inlineStr">
        <is>
          <t>Sí</t>
        </is>
      </c>
      <c r="H68" s="8" t="inlineStr">
        <is>
          <t>OK</t>
        </is>
      </c>
    </row>
    <row r="69">
      <c r="A69" s="8" t="inlineStr">
        <is>
          <t>22/04/2026</t>
        </is>
      </c>
      <c r="B69" s="8" t="inlineStr">
        <is>
          <t>342040</t>
        </is>
      </c>
      <c r="C69" s="8" t="inlineStr">
        <is>
          <t>29841683</t>
        </is>
      </c>
      <c r="D69" s="8" t="inlineStr">
        <is>
          <t>Local 3</t>
        </is>
      </c>
      <c r="E69" s="8" t="inlineStr">
        <is>
          <t>Visa Crédito</t>
        </is>
      </c>
      <c r="F69" s="9" t="n">
        <v>125064.83</v>
      </c>
      <c r="G69" s="8" t="inlineStr">
        <is>
          <t>Sí</t>
        </is>
      </c>
      <c r="H69" s="8" t="inlineStr">
        <is>
          <t>OK</t>
        </is>
      </c>
    </row>
    <row r="70">
      <c r="A70" s="8" t="inlineStr">
        <is>
          <t>22/04/2026</t>
        </is>
      </c>
      <c r="B70" s="8" t="inlineStr">
        <is>
          <t>342549</t>
        </is>
      </c>
      <c r="C70" s="8" t="inlineStr">
        <is>
          <t>29841683</t>
        </is>
      </c>
      <c r="D70" s="8" t="inlineStr">
        <is>
          <t>Local 3</t>
        </is>
      </c>
      <c r="E70" s="8" t="inlineStr">
        <is>
          <t>Mastercard Debit</t>
        </is>
      </c>
      <c r="F70" s="9" t="n">
        <v>29735.79</v>
      </c>
      <c r="G70" s="8" t="inlineStr">
        <is>
          <t>Sí</t>
        </is>
      </c>
      <c r="H70" s="8" t="inlineStr">
        <is>
          <t>OK</t>
        </is>
      </c>
    </row>
    <row r="71">
      <c r="A71" s="8" t="inlineStr">
        <is>
          <t>22/04/2026</t>
        </is>
      </c>
      <c r="B71" s="8" t="inlineStr">
        <is>
          <t>340731</t>
        </is>
      </c>
      <c r="C71" s="8" t="inlineStr">
        <is>
          <t>29841705</t>
        </is>
      </c>
      <c r="D71" s="8" t="inlineStr">
        <is>
          <t>Local 6</t>
        </is>
      </c>
      <c r="E71" s="8" t="inlineStr">
        <is>
          <t>Visa Crédito</t>
        </is>
      </c>
      <c r="F71" s="9" t="n">
        <v>42846.04</v>
      </c>
      <c r="G71" s="8" t="inlineStr">
        <is>
          <t>Sí</t>
        </is>
      </c>
      <c r="H71" s="8" t="inlineStr">
        <is>
          <t>OK</t>
        </is>
      </c>
    </row>
    <row r="72">
      <c r="A72" s="8" t="inlineStr">
        <is>
          <t>22/04/2026</t>
        </is>
      </c>
      <c r="B72" s="8" t="inlineStr">
        <is>
          <t>342041</t>
        </is>
      </c>
      <c r="C72" s="8" t="inlineStr">
        <is>
          <t>29841705</t>
        </is>
      </c>
      <c r="D72" s="8" t="inlineStr">
        <is>
          <t>Local 6</t>
        </is>
      </c>
      <c r="E72" s="8" t="inlineStr">
        <is>
          <t>Visa Crédito</t>
        </is>
      </c>
      <c r="F72" s="9" t="n">
        <v>130715.82</v>
      </c>
      <c r="G72" s="8" t="inlineStr">
        <is>
          <t>Sí</t>
        </is>
      </c>
      <c r="H72" s="8" t="inlineStr">
        <is>
          <t>OK</t>
        </is>
      </c>
    </row>
    <row r="73">
      <c r="A73" s="8" t="inlineStr">
        <is>
          <t>22/04/2026</t>
        </is>
      </c>
      <c r="B73" s="8" t="inlineStr">
        <is>
          <t>342481</t>
        </is>
      </c>
      <c r="C73" s="8" t="inlineStr">
        <is>
          <t>29841705</t>
        </is>
      </c>
      <c r="D73" s="8" t="inlineStr">
        <is>
          <t>Local 6</t>
        </is>
      </c>
      <c r="E73" s="8" t="inlineStr">
        <is>
          <t>Mastercard Crédito</t>
        </is>
      </c>
      <c r="F73" s="9" t="n">
        <v>-229.06</v>
      </c>
      <c r="G73" s="8" t="inlineStr">
        <is>
          <t>No</t>
        </is>
      </c>
      <c r="H73" s="8" t="inlineStr">
        <is>
          <t>Revisar</t>
        </is>
      </c>
    </row>
    <row r="74">
      <c r="A74" s="8" t="inlineStr">
        <is>
          <t>22/04/2026</t>
        </is>
      </c>
      <c r="B74" s="8" t="inlineStr">
        <is>
          <t>342550</t>
        </is>
      </c>
      <c r="C74" s="8" t="inlineStr">
        <is>
          <t>29841705</t>
        </is>
      </c>
      <c r="D74" s="8" t="inlineStr">
        <is>
          <t>Local 6</t>
        </is>
      </c>
      <c r="E74" s="8" t="inlineStr">
        <is>
          <t>Mastercard Debit</t>
        </is>
      </c>
      <c r="F74" s="9" t="n">
        <v>37836.57</v>
      </c>
      <c r="G74" s="8" t="inlineStr">
        <is>
          <t>Sí</t>
        </is>
      </c>
      <c r="H74" s="8" t="inlineStr">
        <is>
          <t>OK</t>
        </is>
      </c>
    </row>
    <row r="75">
      <c r="A75" s="8" t="inlineStr">
        <is>
          <t>22/04/2026</t>
        </is>
      </c>
      <c r="B75" s="8" t="inlineStr">
        <is>
          <t>342573</t>
        </is>
      </c>
      <c r="C75" s="8" t="inlineStr">
        <is>
          <t>29841705</t>
        </is>
      </c>
      <c r="D75" s="8" t="inlineStr">
        <is>
          <t>Local 6</t>
        </is>
      </c>
      <c r="E75" s="8" t="inlineStr">
        <is>
          <t>Visa Débito</t>
        </is>
      </c>
      <c r="F75" s="9" t="n">
        <v>27167.25</v>
      </c>
      <c r="G75" s="8" t="inlineStr">
        <is>
          <t>Sí</t>
        </is>
      </c>
      <c r="H75" s="8" t="inlineStr">
        <is>
          <t>OK</t>
        </is>
      </c>
    </row>
    <row r="76">
      <c r="A76" s="8" t="inlineStr">
        <is>
          <t>22/04/2026</t>
        </is>
      </c>
      <c r="B76" s="8" t="inlineStr">
        <is>
          <t>342594</t>
        </is>
      </c>
      <c r="C76" s="8" t="inlineStr">
        <is>
          <t>29841705</t>
        </is>
      </c>
      <c r="D76" s="8" t="inlineStr">
        <is>
          <t>Local 6</t>
        </is>
      </c>
      <c r="E76" s="8" t="inlineStr">
        <is>
          <t>Mastercard Crédito</t>
        </is>
      </c>
      <c r="F76" s="9" t="n">
        <v>37759.29</v>
      </c>
      <c r="G76" s="8" t="inlineStr">
        <is>
          <t>Sí</t>
        </is>
      </c>
      <c r="H76" s="8" t="inlineStr">
        <is>
          <t>OK</t>
        </is>
      </c>
    </row>
    <row r="77">
      <c r="A77" s="8" t="inlineStr">
        <is>
          <t>22/04/2026</t>
        </is>
      </c>
      <c r="B77" s="8" t="inlineStr">
        <is>
          <t>340712</t>
        </is>
      </c>
      <c r="C77" s="8" t="inlineStr">
        <is>
          <t>31995644</t>
        </is>
      </c>
      <c r="D77" s="8" t="inlineStr">
        <is>
          <t>Local 7</t>
        </is>
      </c>
      <c r="E77" s="8" t="inlineStr">
        <is>
          <t>Mastercard Crédito</t>
        </is>
      </c>
      <c r="F77" s="9" t="n">
        <v>665653.42</v>
      </c>
      <c r="G77" s="8" t="inlineStr">
        <is>
          <t>Sí</t>
        </is>
      </c>
      <c r="H77" s="8" t="inlineStr">
        <is>
          <t>OK</t>
        </is>
      </c>
    </row>
    <row r="78">
      <c r="A78" s="8" t="inlineStr">
        <is>
          <t>22/04/2026</t>
        </is>
      </c>
      <c r="B78" s="8" t="inlineStr">
        <is>
          <t>340734</t>
        </is>
      </c>
      <c r="C78" s="8" t="inlineStr">
        <is>
          <t>31995644</t>
        </is>
      </c>
      <c r="D78" s="8" t="inlineStr">
        <is>
          <t>Local 7</t>
        </is>
      </c>
      <c r="E78" s="8" t="inlineStr">
        <is>
          <t>Visa Crédito</t>
        </is>
      </c>
      <c r="F78" s="9" t="n">
        <v>1754251.23</v>
      </c>
      <c r="G78" s="8" t="inlineStr">
        <is>
          <t>Sí</t>
        </is>
      </c>
      <c r="H78" s="8" t="inlineStr">
        <is>
          <t>OK</t>
        </is>
      </c>
    </row>
    <row r="79">
      <c r="A79" s="8" t="inlineStr">
        <is>
          <t>22/04/2026</t>
        </is>
      </c>
      <c r="B79" s="8" t="inlineStr">
        <is>
          <t>342028</t>
        </is>
      </c>
      <c r="C79" s="8" t="inlineStr">
        <is>
          <t>31995644</t>
        </is>
      </c>
      <c r="D79" s="8" t="inlineStr">
        <is>
          <t>Local 7</t>
        </is>
      </c>
      <c r="E79" s="8" t="inlineStr">
        <is>
          <t>Mastercard Crédito</t>
        </is>
      </c>
      <c r="F79" s="9" t="n">
        <v>33650.77</v>
      </c>
      <c r="G79" s="8" t="inlineStr">
        <is>
          <t>Sí</t>
        </is>
      </c>
      <c r="H79" s="8" t="inlineStr">
        <is>
          <t>OK</t>
        </is>
      </c>
    </row>
    <row r="80">
      <c r="A80" s="8" t="inlineStr">
        <is>
          <t>22/04/2026</t>
        </is>
      </c>
      <c r="B80" s="8" t="inlineStr">
        <is>
          <t>342047</t>
        </is>
      </c>
      <c r="C80" s="8" t="inlineStr">
        <is>
          <t>31995644</t>
        </is>
      </c>
      <c r="D80" s="8" t="inlineStr">
        <is>
          <t>Local 7</t>
        </is>
      </c>
      <c r="E80" s="8" t="inlineStr">
        <is>
          <t>Visa Crédito</t>
        </is>
      </c>
      <c r="F80" s="9" t="n">
        <v>785565.87</v>
      </c>
      <c r="G80" s="8" t="inlineStr">
        <is>
          <t>Sí</t>
        </is>
      </c>
      <c r="H80" s="8" t="inlineStr">
        <is>
          <t>OK</t>
        </is>
      </c>
    </row>
    <row r="81">
      <c r="A81" s="8" t="inlineStr">
        <is>
          <t>22/04/2026</t>
        </is>
      </c>
      <c r="B81" s="8" t="inlineStr">
        <is>
          <t>342583</t>
        </is>
      </c>
      <c r="C81" s="8" t="inlineStr">
        <is>
          <t>31995644</t>
        </is>
      </c>
      <c r="D81" s="8" t="inlineStr">
        <is>
          <t>Local 7</t>
        </is>
      </c>
      <c r="E81" s="8" t="inlineStr">
        <is>
          <t>Visa Débito</t>
        </is>
      </c>
      <c r="F81" s="9" t="n">
        <v>70239.69</v>
      </c>
      <c r="G81" s="8" t="inlineStr">
        <is>
          <t>Sí</t>
        </is>
      </c>
      <c r="H81" s="8" t="inlineStr">
        <is>
          <t>OK</t>
        </is>
      </c>
    </row>
    <row r="82">
      <c r="A82" s="8" t="inlineStr">
        <is>
          <t>22/04/2026</t>
        </is>
      </c>
      <c r="B82" s="8" t="inlineStr">
        <is>
          <t>342604</t>
        </is>
      </c>
      <c r="C82" s="8" t="inlineStr">
        <is>
          <t>31995644</t>
        </is>
      </c>
      <c r="D82" s="8" t="inlineStr">
        <is>
          <t>Local 7</t>
        </is>
      </c>
      <c r="E82" s="8" t="inlineStr">
        <is>
          <t>Mastercard Crédito</t>
        </is>
      </c>
      <c r="F82" s="9" t="n">
        <v>293890.61</v>
      </c>
      <c r="G82" s="8" t="inlineStr">
        <is>
          <t>Sí</t>
        </is>
      </c>
      <c r="H82" s="8" t="inlineStr">
        <is>
          <t>OK</t>
        </is>
      </c>
    </row>
    <row r="83">
      <c r="A83" s="8" t="inlineStr">
        <is>
          <t>22/04/2026</t>
        </is>
      </c>
      <c r="B83" s="8" t="inlineStr">
        <is>
          <t>340713</t>
        </is>
      </c>
      <c r="C83" s="8" t="inlineStr">
        <is>
          <t>32032899</t>
        </is>
      </c>
      <c r="D83" s="8" t="inlineStr">
        <is>
          <t>Local 8</t>
        </is>
      </c>
      <c r="E83" s="8" t="inlineStr">
        <is>
          <t>Mastercard Crédito</t>
        </is>
      </c>
      <c r="F83" s="9" t="n">
        <v>169334.17</v>
      </c>
      <c r="G83" s="8" t="inlineStr">
        <is>
          <t>Sí</t>
        </is>
      </c>
      <c r="H83" s="8" t="inlineStr">
        <is>
          <t>OK</t>
        </is>
      </c>
    </row>
    <row r="84">
      <c r="A84" s="8" t="inlineStr">
        <is>
          <t>22/04/2026</t>
        </is>
      </c>
      <c r="B84" s="8" t="inlineStr">
        <is>
          <t>340735</t>
        </is>
      </c>
      <c r="C84" s="8" t="inlineStr">
        <is>
          <t>32032899</t>
        </is>
      </c>
      <c r="D84" s="8" t="inlineStr">
        <is>
          <t>Local 8</t>
        </is>
      </c>
      <c r="E84" s="8" t="inlineStr">
        <is>
          <t>Visa Crédito</t>
        </is>
      </c>
      <c r="F84" s="9" t="n">
        <v>111455.52</v>
      </c>
      <c r="G84" s="8" t="inlineStr">
        <is>
          <t>Sí</t>
        </is>
      </c>
      <c r="H84" s="8" t="inlineStr">
        <is>
          <t>OK</t>
        </is>
      </c>
    </row>
    <row r="85">
      <c r="A85" s="8" t="inlineStr">
        <is>
          <t>22/04/2026</t>
        </is>
      </c>
      <c r="B85" s="8" t="inlineStr">
        <is>
          <t>342029</t>
        </is>
      </c>
      <c r="C85" s="8" t="inlineStr">
        <is>
          <t>32032899</t>
        </is>
      </c>
      <c r="D85" s="8" t="inlineStr">
        <is>
          <t>Local 8</t>
        </is>
      </c>
      <c r="E85" s="8" t="inlineStr">
        <is>
          <t>Mastercard Crédito</t>
        </is>
      </c>
      <c r="F85" s="9" t="n">
        <v>196024.83</v>
      </c>
      <c r="G85" s="8" t="inlineStr">
        <is>
          <t>Sí</t>
        </is>
      </c>
      <c r="H85" s="8" t="inlineStr">
        <is>
          <t>OK</t>
        </is>
      </c>
    </row>
    <row r="86">
      <c r="A86" s="8" t="inlineStr">
        <is>
          <t>22/04/2026</t>
        </is>
      </c>
      <c r="B86" s="8" t="inlineStr">
        <is>
          <t>342048</t>
        </is>
      </c>
      <c r="C86" s="8" t="inlineStr">
        <is>
          <t>32032899</t>
        </is>
      </c>
      <c r="D86" s="8" t="inlineStr">
        <is>
          <t>Local 8</t>
        </is>
      </c>
      <c r="E86" s="8" t="inlineStr">
        <is>
          <t>Visa Crédito</t>
        </is>
      </c>
      <c r="F86" s="9" t="n">
        <v>114290.79</v>
      </c>
      <c r="G86" s="8" t="inlineStr">
        <is>
          <t>Sí</t>
        </is>
      </c>
      <c r="H86" s="8" t="inlineStr">
        <is>
          <t>OK</t>
        </is>
      </c>
    </row>
    <row r="87">
      <c r="A87" s="8" t="inlineStr">
        <is>
          <t>22/04/2026</t>
        </is>
      </c>
      <c r="B87" s="8" t="inlineStr">
        <is>
          <t>342489</t>
        </is>
      </c>
      <c r="C87" s="8" t="inlineStr">
        <is>
          <t>32032899</t>
        </is>
      </c>
      <c r="D87" s="8" t="inlineStr">
        <is>
          <t>Local 8</t>
        </is>
      </c>
      <c r="E87" s="8" t="inlineStr">
        <is>
          <t>Mastercard Crédito</t>
        </is>
      </c>
      <c r="F87" s="9" t="n">
        <v>-676.01</v>
      </c>
      <c r="G87" s="8" t="inlineStr">
        <is>
          <t>No</t>
        </is>
      </c>
      <c r="H87" s="8" t="inlineStr">
        <is>
          <t>Revisar</t>
        </is>
      </c>
    </row>
    <row r="88">
      <c r="A88" s="8" t="inlineStr">
        <is>
          <t>22/04/2026</t>
        </is>
      </c>
      <c r="B88" s="8" t="inlineStr">
        <is>
          <t>342560</t>
        </is>
      </c>
      <c r="C88" s="8" t="inlineStr">
        <is>
          <t>32032899</t>
        </is>
      </c>
      <c r="D88" s="8" t="inlineStr">
        <is>
          <t>Local 8</t>
        </is>
      </c>
      <c r="E88" s="8" t="inlineStr">
        <is>
          <t>Mastercard Debit</t>
        </is>
      </c>
      <c r="F88" s="9" t="n">
        <v>32699.49</v>
      </c>
      <c r="G88" s="8" t="inlineStr">
        <is>
          <t>Sí</t>
        </is>
      </c>
      <c r="H88" s="8" t="inlineStr">
        <is>
          <t>OK</t>
        </is>
      </c>
    </row>
    <row r="89">
      <c r="A89" s="8" t="inlineStr">
        <is>
          <t>22/04/2026</t>
        </is>
      </c>
      <c r="B89" s="8" t="inlineStr">
        <is>
          <t>342584</t>
        </is>
      </c>
      <c r="C89" s="8" t="inlineStr">
        <is>
          <t>32032899</t>
        </is>
      </c>
      <c r="D89" s="8" t="inlineStr">
        <is>
          <t>Local 8</t>
        </is>
      </c>
      <c r="E89" s="8" t="inlineStr">
        <is>
          <t>Visa Débito</t>
        </is>
      </c>
      <c r="F89" s="9" t="n">
        <v>210852.6</v>
      </c>
      <c r="G89" s="8" t="inlineStr">
        <is>
          <t>Sí</t>
        </is>
      </c>
      <c r="H89" s="8" t="inlineStr">
        <is>
          <t>OK</t>
        </is>
      </c>
    </row>
    <row r="90">
      <c r="A90" s="8" t="inlineStr">
        <is>
          <t>22/04/2026</t>
        </is>
      </c>
      <c r="B90" s="8" t="inlineStr">
        <is>
          <t>342605</t>
        </is>
      </c>
      <c r="C90" s="8" t="inlineStr">
        <is>
          <t>32032899</t>
        </is>
      </c>
      <c r="D90" s="8" t="inlineStr">
        <is>
          <t>Local 8</t>
        </is>
      </c>
      <c r="E90" s="8" t="inlineStr">
        <is>
          <t>Mastercard Crédito</t>
        </is>
      </c>
      <c r="F90" s="9" t="n">
        <v>195047.16</v>
      </c>
      <c r="G90" s="8" t="inlineStr">
        <is>
          <t>Sí</t>
        </is>
      </c>
      <c r="H90" s="8" t="inlineStr">
        <is>
          <t>OK</t>
        </is>
      </c>
    </row>
    <row r="91">
      <c r="A91" s="8" t="inlineStr">
        <is>
          <t>23/04/2026</t>
        </is>
      </c>
      <c r="B91" s="8" t="inlineStr">
        <is>
          <t>342119</t>
        </is>
      </c>
      <c r="C91" s="8" t="inlineStr">
        <is>
          <t>29841627</t>
        </is>
      </c>
      <c r="D91" s="8" t="inlineStr">
        <is>
          <t>Local 2</t>
        </is>
      </c>
      <c r="E91" s="8" t="inlineStr">
        <is>
          <t>Mastercard Crédito</t>
        </is>
      </c>
      <c r="F91" s="9" t="n">
        <v>64073.41</v>
      </c>
      <c r="G91" s="8" t="inlineStr">
        <is>
          <t>Sí</t>
        </is>
      </c>
      <c r="H91" s="8" t="inlineStr">
        <is>
          <t>OK</t>
        </is>
      </c>
    </row>
    <row r="92">
      <c r="A92" s="8" t="inlineStr">
        <is>
          <t>23/04/2026</t>
        </is>
      </c>
      <c r="B92" s="8" t="inlineStr">
        <is>
          <t>342138</t>
        </is>
      </c>
      <c r="C92" s="8" t="inlineStr">
        <is>
          <t>29841627</t>
        </is>
      </c>
      <c r="D92" s="8" t="inlineStr">
        <is>
          <t>Local 2</t>
        </is>
      </c>
      <c r="E92" s="8" t="inlineStr">
        <is>
          <t>Visa Crédito</t>
        </is>
      </c>
      <c r="F92" s="9" t="n">
        <v>232199</v>
      </c>
      <c r="G92" s="8" t="inlineStr">
        <is>
          <t>Sí</t>
        </is>
      </c>
      <c r="H92" s="8" t="inlineStr">
        <is>
          <t>OK</t>
        </is>
      </c>
    </row>
    <row r="93">
      <c r="A93" s="8" t="inlineStr">
        <is>
          <t>23/04/2026</t>
        </is>
      </c>
      <c r="B93" s="8" t="inlineStr">
        <is>
          <t>342680</t>
        </is>
      </c>
      <c r="C93" s="8" t="inlineStr">
        <is>
          <t>29841627</t>
        </is>
      </c>
      <c r="D93" s="8" t="inlineStr">
        <is>
          <t>Local 2</t>
        </is>
      </c>
      <c r="E93" s="8" t="inlineStr">
        <is>
          <t>Mastercard Debit</t>
        </is>
      </c>
      <c r="F93" s="9" t="n">
        <v>22721.7</v>
      </c>
      <c r="G93" s="8" t="inlineStr">
        <is>
          <t>Sí</t>
        </is>
      </c>
      <c r="H93" s="8" t="inlineStr">
        <is>
          <t>OK</t>
        </is>
      </c>
    </row>
    <row r="94">
      <c r="A94" s="8" t="inlineStr">
        <is>
          <t>23/04/2026</t>
        </is>
      </c>
      <c r="B94" s="8" t="inlineStr">
        <is>
          <t>342701</t>
        </is>
      </c>
      <c r="C94" s="8" t="inlineStr">
        <is>
          <t>29841627</t>
        </is>
      </c>
      <c r="D94" s="8" t="inlineStr">
        <is>
          <t>Local 2</t>
        </is>
      </c>
      <c r="E94" s="8" t="inlineStr">
        <is>
          <t>Visa Débito</t>
        </is>
      </c>
      <c r="F94" s="9" t="n">
        <v>45443.4</v>
      </c>
      <c r="G94" s="8" t="inlineStr">
        <is>
          <t>Sí</t>
        </is>
      </c>
      <c r="H94" s="8" t="inlineStr">
        <is>
          <t>OK</t>
        </is>
      </c>
    </row>
    <row r="95">
      <c r="A95" s="8" t="inlineStr">
        <is>
          <t>23/04/2026</t>
        </is>
      </c>
      <c r="B95" s="8" t="inlineStr">
        <is>
          <t>340866</t>
        </is>
      </c>
      <c r="C95" s="8" t="inlineStr">
        <is>
          <t>29841642</t>
        </is>
      </c>
      <c r="D95" s="8" t="inlineStr">
        <is>
          <t>Local 1</t>
        </is>
      </c>
      <c r="E95" s="8" t="inlineStr">
        <is>
          <t>Mastercard Crédito</t>
        </is>
      </c>
      <c r="F95" s="9" t="n">
        <v>11249.53</v>
      </c>
      <c r="G95" s="8" t="inlineStr">
        <is>
          <t>Sí</t>
        </is>
      </c>
      <c r="H95" s="8" t="inlineStr">
        <is>
          <t>OK</t>
        </is>
      </c>
    </row>
    <row r="96">
      <c r="A96" s="8" t="inlineStr">
        <is>
          <t>23/04/2026</t>
        </is>
      </c>
      <c r="B96" s="8" t="inlineStr">
        <is>
          <t>342120</t>
        </is>
      </c>
      <c r="C96" s="8" t="inlineStr">
        <is>
          <t>29841642</t>
        </is>
      </c>
      <c r="D96" s="8" t="inlineStr">
        <is>
          <t>Local 1</t>
        </is>
      </c>
      <c r="E96" s="8" t="inlineStr">
        <is>
          <t>Mastercard Crédito</t>
        </is>
      </c>
      <c r="F96" s="9" t="n">
        <v>82268.3</v>
      </c>
      <c r="G96" s="8" t="inlineStr">
        <is>
          <t>Sí</t>
        </is>
      </c>
      <c r="H96" s="8" t="inlineStr">
        <is>
          <t>OK</t>
        </is>
      </c>
    </row>
    <row r="97">
      <c r="A97" s="8" t="inlineStr">
        <is>
          <t>23/04/2026</t>
        </is>
      </c>
      <c r="B97" s="8" t="inlineStr">
        <is>
          <t>342139</t>
        </is>
      </c>
      <c r="C97" s="8" t="inlineStr">
        <is>
          <t>29841642</t>
        </is>
      </c>
      <c r="D97" s="8" t="inlineStr">
        <is>
          <t>Local 1</t>
        </is>
      </c>
      <c r="E97" s="8" t="inlineStr">
        <is>
          <t>Visa Crédito</t>
        </is>
      </c>
      <c r="F97" s="9" t="n">
        <v>438685.01</v>
      </c>
      <c r="G97" s="8" t="inlineStr">
        <is>
          <t>Sí</t>
        </is>
      </c>
      <c r="H97" s="8" t="inlineStr">
        <is>
          <t>OK</t>
        </is>
      </c>
    </row>
    <row r="98">
      <c r="A98" s="8" t="inlineStr">
        <is>
          <t>23/04/2026</t>
        </is>
      </c>
      <c r="B98" s="8" t="inlineStr">
        <is>
          <t>342702</t>
        </is>
      </c>
      <c r="C98" s="8" t="inlineStr">
        <is>
          <t>29841642</t>
        </is>
      </c>
      <c r="D98" s="8" t="inlineStr">
        <is>
          <t>Local 1</t>
        </is>
      </c>
      <c r="E98" s="8" t="inlineStr">
        <is>
          <t>Visa Débito</t>
        </is>
      </c>
      <c r="F98" s="9" t="n">
        <v>82786.02</v>
      </c>
      <c r="G98" s="8" t="inlineStr">
        <is>
          <t>Sí</t>
        </is>
      </c>
      <c r="H98" s="8" t="inlineStr">
        <is>
          <t>OK</t>
        </is>
      </c>
    </row>
    <row r="99">
      <c r="A99" s="8" t="inlineStr">
        <is>
          <t>23/04/2026</t>
        </is>
      </c>
      <c r="B99" s="8" t="inlineStr">
        <is>
          <t>342121</t>
        </is>
      </c>
      <c r="C99" s="8" t="inlineStr">
        <is>
          <t>29841670</t>
        </is>
      </c>
      <c r="D99" s="8" t="inlineStr">
        <is>
          <t>Local 5</t>
        </is>
      </c>
      <c r="E99" s="8" t="inlineStr">
        <is>
          <t>Mastercard Crédito</t>
        </is>
      </c>
      <c r="F99" s="9" t="n">
        <v>170018.56</v>
      </c>
      <c r="G99" s="8" t="inlineStr">
        <is>
          <t>Sí</t>
        </is>
      </c>
      <c r="H99" s="8" t="inlineStr">
        <is>
          <t>OK</t>
        </is>
      </c>
    </row>
    <row r="100">
      <c r="A100" s="8" t="inlineStr">
        <is>
          <t>23/04/2026</t>
        </is>
      </c>
      <c r="B100" s="8" t="inlineStr">
        <is>
          <t>342140</t>
        </is>
      </c>
      <c r="C100" s="8" t="inlineStr">
        <is>
          <t>29841670</t>
        </is>
      </c>
      <c r="D100" s="8" t="inlineStr">
        <is>
          <t>Local 5</t>
        </is>
      </c>
      <c r="E100" s="8" t="inlineStr">
        <is>
          <t>Visa Crédito</t>
        </is>
      </c>
      <c r="F100" s="9" t="n">
        <v>189767.69</v>
      </c>
      <c r="G100" s="8" t="inlineStr">
        <is>
          <t>Sí</t>
        </is>
      </c>
      <c r="H100" s="8" t="inlineStr">
        <is>
          <t>OK</t>
        </is>
      </c>
    </row>
    <row r="101">
      <c r="A101" s="8" t="inlineStr">
        <is>
          <t>23/04/2026</t>
        </is>
      </c>
      <c r="B101" s="8" t="inlineStr">
        <is>
          <t>342681</t>
        </is>
      </c>
      <c r="C101" s="8" t="inlineStr">
        <is>
          <t>29841670</t>
        </is>
      </c>
      <c r="D101" s="8" t="inlineStr">
        <is>
          <t>Local 5</t>
        </is>
      </c>
      <c r="E101" s="8" t="inlineStr">
        <is>
          <t>Mastercard Debit</t>
        </is>
      </c>
      <c r="F101" s="9" t="n">
        <v>30130.95</v>
      </c>
      <c r="G101" s="8" t="inlineStr">
        <is>
          <t>Sí</t>
        </is>
      </c>
      <c r="H101" s="8" t="inlineStr">
        <is>
          <t>OK</t>
        </is>
      </c>
    </row>
    <row r="102">
      <c r="A102" s="8" t="inlineStr">
        <is>
          <t>23/04/2026</t>
        </is>
      </c>
      <c r="B102" s="8" t="inlineStr">
        <is>
          <t>342703</t>
        </is>
      </c>
      <c r="C102" s="8" t="inlineStr">
        <is>
          <t>29841670</t>
        </is>
      </c>
      <c r="D102" s="8" t="inlineStr">
        <is>
          <t>Local 5</t>
        </is>
      </c>
      <c r="E102" s="8" t="inlineStr">
        <is>
          <t>Visa Débito</t>
        </is>
      </c>
      <c r="F102" s="9" t="n">
        <v>24697.5</v>
      </c>
      <c r="G102" s="8" t="inlineStr">
        <is>
          <t>Sí</t>
        </is>
      </c>
      <c r="H102" s="8" t="inlineStr">
        <is>
          <t>OK</t>
        </is>
      </c>
    </row>
    <row r="103">
      <c r="A103" s="8" t="inlineStr">
        <is>
          <t>23/04/2026</t>
        </is>
      </c>
      <c r="B103" s="8" t="inlineStr">
        <is>
          <t>342122</t>
        </is>
      </c>
      <c r="C103" s="8" t="inlineStr">
        <is>
          <t>29841683</t>
        </is>
      </c>
      <c r="D103" s="8" t="inlineStr">
        <is>
          <t>Local 3</t>
        </is>
      </c>
      <c r="E103" s="8" t="inlineStr">
        <is>
          <t>Mastercard Crédito</t>
        </is>
      </c>
      <c r="F103" s="9" t="n">
        <v>119961.34</v>
      </c>
      <c r="G103" s="8" t="inlineStr">
        <is>
          <t>Sí</t>
        </is>
      </c>
      <c r="H103" s="8" t="inlineStr">
        <is>
          <t>OK</t>
        </is>
      </c>
    </row>
    <row r="104">
      <c r="A104" s="8" t="inlineStr">
        <is>
          <t>23/04/2026</t>
        </is>
      </c>
      <c r="B104" s="8" t="inlineStr">
        <is>
          <t>342141</t>
        </is>
      </c>
      <c r="C104" s="8" t="inlineStr">
        <is>
          <t>29841683</t>
        </is>
      </c>
      <c r="D104" s="8" t="inlineStr">
        <is>
          <t>Local 3</t>
        </is>
      </c>
      <c r="E104" s="8" t="inlineStr">
        <is>
          <t>Visa Crédito</t>
        </is>
      </c>
      <c r="F104" s="9" t="n">
        <v>103339.16</v>
      </c>
      <c r="G104" s="8" t="inlineStr">
        <is>
          <t>Sí</t>
        </is>
      </c>
      <c r="H104" s="8" t="inlineStr">
        <is>
          <t>OK</t>
        </is>
      </c>
    </row>
    <row r="105">
      <c r="A105" s="8" t="inlineStr">
        <is>
          <t>23/04/2026</t>
        </is>
      </c>
      <c r="B105" s="8" t="inlineStr">
        <is>
          <t>342704</t>
        </is>
      </c>
      <c r="C105" s="8" t="inlineStr">
        <is>
          <t>29841683</t>
        </is>
      </c>
      <c r="D105" s="8" t="inlineStr">
        <is>
          <t>Local 3</t>
        </is>
      </c>
      <c r="E105" s="8" t="inlineStr">
        <is>
          <t>Visa Débito</t>
        </is>
      </c>
      <c r="F105" s="9" t="n">
        <v>33489.81</v>
      </c>
      <c r="G105" s="8" t="inlineStr">
        <is>
          <t>Sí</t>
        </is>
      </c>
      <c r="H105" s="8" t="inlineStr">
        <is>
          <t>OK</t>
        </is>
      </c>
    </row>
    <row r="106">
      <c r="A106" s="8" t="inlineStr">
        <is>
          <t>23/04/2026</t>
        </is>
      </c>
      <c r="B106" s="8" t="inlineStr">
        <is>
          <t>342123</t>
        </is>
      </c>
      <c r="C106" s="8" t="inlineStr">
        <is>
          <t>29841705</t>
        </is>
      </c>
      <c r="D106" s="8" t="inlineStr">
        <is>
          <t>Local 6</t>
        </is>
      </c>
      <c r="E106" s="8" t="inlineStr">
        <is>
          <t>Mastercard Crédito</t>
        </is>
      </c>
      <c r="F106" s="9" t="n">
        <v>43237.32</v>
      </c>
      <c r="G106" s="8" t="inlineStr">
        <is>
          <t>Sí</t>
        </is>
      </c>
      <c r="H106" s="8" t="inlineStr">
        <is>
          <t>OK</t>
        </is>
      </c>
    </row>
    <row r="107">
      <c r="A107" s="8" t="inlineStr">
        <is>
          <t>23/04/2026</t>
        </is>
      </c>
      <c r="B107" s="8" t="inlineStr">
        <is>
          <t>342142</t>
        </is>
      </c>
      <c r="C107" s="8" t="inlineStr">
        <is>
          <t>29841705</t>
        </is>
      </c>
      <c r="D107" s="8" t="inlineStr">
        <is>
          <t>Local 6</t>
        </is>
      </c>
      <c r="E107" s="8" t="inlineStr">
        <is>
          <t>Visa Crédito</t>
        </is>
      </c>
      <c r="F107" s="9" t="n">
        <v>456869.88</v>
      </c>
      <c r="G107" s="8" t="inlineStr">
        <is>
          <t>Sí</t>
        </is>
      </c>
      <c r="H107" s="8" t="inlineStr">
        <is>
          <t>OK</t>
        </is>
      </c>
    </row>
    <row r="108">
      <c r="A108" s="8" t="inlineStr">
        <is>
          <t>23/04/2026</t>
        </is>
      </c>
      <c r="B108" s="8" t="inlineStr">
        <is>
          <t>342613</t>
        </is>
      </c>
      <c r="C108" s="8" t="inlineStr">
        <is>
          <t>29841705</t>
        </is>
      </c>
      <c r="D108" s="8" t="inlineStr">
        <is>
          <t>Local 6</t>
        </is>
      </c>
      <c r="E108" s="8" t="inlineStr">
        <is>
          <t>Mastercard Crédito</t>
        </is>
      </c>
      <c r="F108" s="9" t="n">
        <v>-29.06</v>
      </c>
      <c r="G108" s="8" t="inlineStr">
        <is>
          <t>No</t>
        </is>
      </c>
      <c r="H108" s="8" t="inlineStr">
        <is>
          <t>Revisar</t>
        </is>
      </c>
    </row>
    <row r="109">
      <c r="A109" s="8" t="inlineStr">
        <is>
          <t>23/04/2026</t>
        </is>
      </c>
      <c r="B109" s="8" t="inlineStr">
        <is>
          <t>342682</t>
        </is>
      </c>
      <c r="C109" s="8" t="inlineStr">
        <is>
          <t>29841705</t>
        </is>
      </c>
      <c r="D109" s="8" t="inlineStr">
        <is>
          <t>Local 6</t>
        </is>
      </c>
      <c r="E109" s="8" t="inlineStr">
        <is>
          <t>Mastercard Debit</t>
        </is>
      </c>
      <c r="F109" s="9" t="n">
        <v>46727.67</v>
      </c>
      <c r="G109" s="8" t="inlineStr">
        <is>
          <t>Sí</t>
        </is>
      </c>
      <c r="H109" s="8" t="inlineStr">
        <is>
          <t>OK</t>
        </is>
      </c>
    </row>
    <row r="110">
      <c r="A110" s="8" t="inlineStr">
        <is>
          <t>23/04/2026</t>
        </is>
      </c>
      <c r="B110" s="8" t="inlineStr">
        <is>
          <t>342705</t>
        </is>
      </c>
      <c r="C110" s="8" t="inlineStr">
        <is>
          <t>29841705</t>
        </is>
      </c>
      <c r="D110" s="8" t="inlineStr">
        <is>
          <t>Local 6</t>
        </is>
      </c>
      <c r="E110" s="8" t="inlineStr">
        <is>
          <t>Visa Débito</t>
        </is>
      </c>
      <c r="F110" s="9" t="n">
        <v>40306.32</v>
      </c>
      <c r="G110" s="8" t="inlineStr">
        <is>
          <t>Sí</t>
        </is>
      </c>
      <c r="H110" s="8" t="inlineStr">
        <is>
          <t>OK</t>
        </is>
      </c>
    </row>
    <row r="111">
      <c r="A111" s="8" t="inlineStr">
        <is>
          <t>23/04/2026</t>
        </is>
      </c>
      <c r="B111" s="8" t="inlineStr">
        <is>
          <t>340880</t>
        </is>
      </c>
      <c r="C111" s="8" t="inlineStr">
        <is>
          <t>31995644</t>
        </is>
      </c>
      <c r="D111" s="8" t="inlineStr">
        <is>
          <t>Local 7</t>
        </is>
      </c>
      <c r="E111" s="8" t="inlineStr">
        <is>
          <t>Visa Crédito</t>
        </is>
      </c>
      <c r="F111" s="9" t="n">
        <v>71899.17</v>
      </c>
      <c r="G111" s="8" t="inlineStr">
        <is>
          <t>Sí</t>
        </is>
      </c>
      <c r="H111" s="8" t="inlineStr">
        <is>
          <t>OK</t>
        </is>
      </c>
    </row>
    <row r="112">
      <c r="A112" s="8" t="inlineStr">
        <is>
          <t>23/04/2026</t>
        </is>
      </c>
      <c r="B112" s="8" t="inlineStr">
        <is>
          <t>342128</t>
        </is>
      </c>
      <c r="C112" s="8" t="inlineStr">
        <is>
          <t>31995644</t>
        </is>
      </c>
      <c r="D112" s="8" t="inlineStr">
        <is>
          <t>Local 7</t>
        </is>
      </c>
      <c r="E112" s="8" t="inlineStr">
        <is>
          <t>Mastercard Crédito</t>
        </is>
      </c>
      <c r="F112" s="9" t="n">
        <v>695717.11</v>
      </c>
      <c r="G112" s="8" t="inlineStr">
        <is>
          <t>Sí</t>
        </is>
      </c>
      <c r="H112" s="8" t="inlineStr">
        <is>
          <t>OK</t>
        </is>
      </c>
    </row>
    <row r="113">
      <c r="A113" s="8" t="inlineStr">
        <is>
          <t>23/04/2026</t>
        </is>
      </c>
      <c r="B113" s="8" t="inlineStr">
        <is>
          <t>342147</t>
        </is>
      </c>
      <c r="C113" s="8" t="inlineStr">
        <is>
          <t>31995644</t>
        </is>
      </c>
      <c r="D113" s="8" t="inlineStr">
        <is>
          <t>Local 7</t>
        </is>
      </c>
      <c r="E113" s="8" t="inlineStr">
        <is>
          <t>Visa Crédito</t>
        </is>
      </c>
      <c r="F113" s="9" t="n">
        <v>2215305.56</v>
      </c>
      <c r="G113" s="8" t="inlineStr">
        <is>
          <t>Sí</t>
        </is>
      </c>
      <c r="H113" s="8" t="inlineStr">
        <is>
          <t>OK</t>
        </is>
      </c>
    </row>
    <row r="114">
      <c r="A114" s="8" t="inlineStr">
        <is>
          <t>23/04/2026</t>
        </is>
      </c>
      <c r="B114" s="8" t="inlineStr">
        <is>
          <t>342691</t>
        </is>
      </c>
      <c r="C114" s="8" t="inlineStr">
        <is>
          <t>31995644</t>
        </is>
      </c>
      <c r="D114" s="8" t="inlineStr">
        <is>
          <t>Local 7</t>
        </is>
      </c>
      <c r="E114" s="8" t="inlineStr">
        <is>
          <t>Mastercard Debit</t>
        </is>
      </c>
      <c r="F114" s="9" t="n">
        <v>47715.57</v>
      </c>
      <c r="G114" s="8" t="inlineStr">
        <is>
          <t>Sí</t>
        </is>
      </c>
      <c r="H114" s="8" t="inlineStr">
        <is>
          <t>OK</t>
        </is>
      </c>
    </row>
    <row r="115">
      <c r="A115" s="8" t="inlineStr">
        <is>
          <t>23/04/2026</t>
        </is>
      </c>
      <c r="B115" s="8" t="inlineStr">
        <is>
          <t>342714</t>
        </is>
      </c>
      <c r="C115" s="8" t="inlineStr">
        <is>
          <t>31995644</t>
        </is>
      </c>
      <c r="D115" s="8" t="inlineStr">
        <is>
          <t>Local 7</t>
        </is>
      </c>
      <c r="E115" s="8" t="inlineStr">
        <is>
          <t>Visa Débito</t>
        </is>
      </c>
      <c r="F115" s="9" t="n">
        <v>288181.68</v>
      </c>
      <c r="G115" s="8" t="inlineStr">
        <is>
          <t>Sí</t>
        </is>
      </c>
      <c r="H115" s="8" t="inlineStr">
        <is>
          <t>OK</t>
        </is>
      </c>
    </row>
    <row r="116">
      <c r="A116" s="8" t="inlineStr">
        <is>
          <t>23/04/2026</t>
        </is>
      </c>
      <c r="B116" s="8" t="inlineStr">
        <is>
          <t>340881</t>
        </is>
      </c>
      <c r="C116" s="8" t="inlineStr">
        <is>
          <t>32032899</t>
        </is>
      </c>
      <c r="D116" s="8" t="inlineStr">
        <is>
          <t>Local 8</t>
        </is>
      </c>
      <c r="E116" s="8" t="inlineStr">
        <is>
          <t>Visa Crédito</t>
        </is>
      </c>
      <c r="F116" s="9" t="n">
        <v>289588.82</v>
      </c>
      <c r="G116" s="8" t="inlineStr">
        <is>
          <t>Sí</t>
        </is>
      </c>
      <c r="H116" s="8" t="inlineStr">
        <is>
          <t>OK</t>
        </is>
      </c>
    </row>
    <row r="117">
      <c r="A117" s="8" t="inlineStr">
        <is>
          <t>23/04/2026</t>
        </is>
      </c>
      <c r="B117" s="8" t="inlineStr">
        <is>
          <t>342129</t>
        </is>
      </c>
      <c r="C117" s="8" t="inlineStr">
        <is>
          <t>32032899</t>
        </is>
      </c>
      <c r="D117" s="8" t="inlineStr">
        <is>
          <t>Local 8</t>
        </is>
      </c>
      <c r="E117" s="8" t="inlineStr">
        <is>
          <t>Mastercard Crédito</t>
        </is>
      </c>
      <c r="F117" s="9" t="n">
        <v>836894.08</v>
      </c>
      <c r="G117" s="8" t="inlineStr">
        <is>
          <t>Sí</t>
        </is>
      </c>
      <c r="H117" s="8" t="inlineStr">
        <is>
          <t>OK</t>
        </is>
      </c>
    </row>
    <row r="118">
      <c r="A118" s="8" t="inlineStr">
        <is>
          <t>23/04/2026</t>
        </is>
      </c>
      <c r="B118" s="8" t="inlineStr">
        <is>
          <t>342148</t>
        </is>
      </c>
      <c r="C118" s="8" t="inlineStr">
        <is>
          <t>32032899</t>
        </is>
      </c>
      <c r="D118" s="8" t="inlineStr">
        <is>
          <t>Local 8</t>
        </is>
      </c>
      <c r="E118" s="8" t="inlineStr">
        <is>
          <t>Visa Crédito</t>
        </is>
      </c>
      <c r="F118" s="9" t="n">
        <v>2493792.83</v>
      </c>
      <c r="G118" s="8" t="inlineStr">
        <is>
          <t>Sí</t>
        </is>
      </c>
      <c r="H118" s="8" t="inlineStr">
        <is>
          <t>OK</t>
        </is>
      </c>
    </row>
    <row r="119">
      <c r="A119" s="8" t="inlineStr">
        <is>
          <t>23/04/2026</t>
        </is>
      </c>
      <c r="B119" s="8" t="inlineStr">
        <is>
          <t>342620</t>
        </is>
      </c>
      <c r="C119" s="8" t="inlineStr">
        <is>
          <t>32032899</t>
        </is>
      </c>
      <c r="D119" s="8" t="inlineStr">
        <is>
          <t>Local 8</t>
        </is>
      </c>
      <c r="E119" s="8" t="inlineStr">
        <is>
          <t>Mastercard Crédito</t>
        </is>
      </c>
      <c r="F119" s="9" t="n">
        <v>-22.75</v>
      </c>
      <c r="G119" s="8" t="inlineStr">
        <is>
          <t>No</t>
        </is>
      </c>
      <c r="H119" s="8" t="inlineStr">
        <is>
          <t>Revisar</t>
        </is>
      </c>
    </row>
    <row r="120">
      <c r="A120" s="8" t="inlineStr">
        <is>
          <t>23/04/2026</t>
        </is>
      </c>
      <c r="B120" s="8" t="inlineStr">
        <is>
          <t>342715</t>
        </is>
      </c>
      <c r="C120" s="8" t="inlineStr">
        <is>
          <t>32032899</t>
        </is>
      </c>
      <c r="D120" s="8" t="inlineStr">
        <is>
          <t>Local 8</t>
        </is>
      </c>
      <c r="E120" s="8" t="inlineStr">
        <is>
          <t>Visa Débito</t>
        </is>
      </c>
      <c r="F120" s="9" t="n">
        <v>17782.2</v>
      </c>
      <c r="G120" s="8" t="inlineStr">
        <is>
          <t>Sí</t>
        </is>
      </c>
      <c r="H120" s="8" t="inlineStr">
        <is>
          <t>OK</t>
        </is>
      </c>
    </row>
    <row r="121">
      <c r="A121" s="8" t="inlineStr">
        <is>
          <t>24/04/2026</t>
        </is>
      </c>
      <c r="B121" s="8" t="inlineStr">
        <is>
          <t>342824</t>
        </is>
      </c>
      <c r="C121" s="8" t="inlineStr">
        <is>
          <t>29841627</t>
        </is>
      </c>
      <c r="D121" s="8" t="inlineStr">
        <is>
          <t>Local 2</t>
        </is>
      </c>
      <c r="E121" s="8" t="inlineStr">
        <is>
          <t>Visa Débito</t>
        </is>
      </c>
      <c r="F121" s="9" t="n">
        <v>26673.3</v>
      </c>
      <c r="G121" s="8" t="inlineStr">
        <is>
          <t>Sí</t>
        </is>
      </c>
      <c r="H121" s="8" t="inlineStr">
        <is>
          <t>OK</t>
        </is>
      </c>
    </row>
    <row r="122">
      <c r="A122" s="8" t="inlineStr">
        <is>
          <t>24/04/2026</t>
        </is>
      </c>
      <c r="B122" s="8" t="inlineStr">
        <is>
          <t>342825</t>
        </is>
      </c>
      <c r="C122" s="8" t="inlineStr">
        <is>
          <t>29841642</t>
        </is>
      </c>
      <c r="D122" s="8" t="inlineStr">
        <is>
          <t>Local 1</t>
        </is>
      </c>
      <c r="E122" s="8" t="inlineStr">
        <is>
          <t>Visa Débito</t>
        </is>
      </c>
      <c r="F122" s="9" t="n">
        <v>23709.6</v>
      </c>
      <c r="G122" s="8" t="inlineStr">
        <is>
          <t>Sí</t>
        </is>
      </c>
      <c r="H122" s="8" t="inlineStr">
        <is>
          <t>OK</t>
        </is>
      </c>
    </row>
    <row r="123">
      <c r="A123" s="8" t="inlineStr">
        <is>
          <t>24/04/2026</t>
        </is>
      </c>
      <c r="B123" s="8" t="inlineStr">
        <is>
          <t>342246</t>
        </is>
      </c>
      <c r="C123" s="8" t="inlineStr">
        <is>
          <t>29841670</t>
        </is>
      </c>
      <c r="D123" s="8" t="inlineStr">
        <is>
          <t>Local 5</t>
        </is>
      </c>
      <c r="E123" s="8" t="inlineStr">
        <is>
          <t>Mastercard Crédito</t>
        </is>
      </c>
      <c r="F123" s="9" t="n">
        <v>21129.55</v>
      </c>
      <c r="G123" s="8" t="inlineStr">
        <is>
          <t>Sí</t>
        </is>
      </c>
      <c r="H123" s="8" t="inlineStr">
        <is>
          <t>OK</t>
        </is>
      </c>
    </row>
    <row r="124">
      <c r="A124" s="8" t="inlineStr">
        <is>
          <t>24/04/2026</t>
        </is>
      </c>
      <c r="B124" s="8" t="inlineStr">
        <is>
          <t>342261</t>
        </is>
      </c>
      <c r="C124" s="8" t="inlineStr">
        <is>
          <t>29841670</t>
        </is>
      </c>
      <c r="D124" s="8" t="inlineStr">
        <is>
          <t>Local 5</t>
        </is>
      </c>
      <c r="E124" s="8" t="inlineStr">
        <is>
          <t>Visa Crédito</t>
        </is>
      </c>
      <c r="F124" s="9" t="n">
        <v>120939.01</v>
      </c>
      <c r="G124" s="8" t="inlineStr">
        <is>
          <t>Sí</t>
        </is>
      </c>
      <c r="H124" s="8" t="inlineStr">
        <is>
          <t>OK</t>
        </is>
      </c>
    </row>
    <row r="125">
      <c r="A125" s="8" t="inlineStr">
        <is>
          <t>24/04/2026</t>
        </is>
      </c>
      <c r="B125" s="8" t="inlineStr">
        <is>
          <t>342826</t>
        </is>
      </c>
      <c r="C125" s="8" t="inlineStr">
        <is>
          <t>29841670</t>
        </is>
      </c>
      <c r="D125" s="8" t="inlineStr">
        <is>
          <t>Local 5</t>
        </is>
      </c>
      <c r="E125" s="8" t="inlineStr">
        <is>
          <t>Visa Débito</t>
        </is>
      </c>
      <c r="F125" s="9" t="n">
        <v>60854.64</v>
      </c>
      <c r="G125" s="8" t="inlineStr">
        <is>
          <t>Sí</t>
        </is>
      </c>
      <c r="H125" s="8" t="inlineStr">
        <is>
          <t>OK</t>
        </is>
      </c>
    </row>
    <row r="126">
      <c r="A126" s="8" t="inlineStr">
        <is>
          <t>24/04/2026</t>
        </is>
      </c>
      <c r="B126" s="8" t="inlineStr">
        <is>
          <t>342247</t>
        </is>
      </c>
      <c r="C126" s="8" t="inlineStr">
        <is>
          <t>29841683</t>
        </is>
      </c>
      <c r="D126" s="8" t="inlineStr">
        <is>
          <t>Local 3</t>
        </is>
      </c>
      <c r="E126" s="8" t="inlineStr">
        <is>
          <t>Mastercard Crédito</t>
        </is>
      </c>
      <c r="F126" s="9" t="n">
        <v>60747.46</v>
      </c>
      <c r="G126" s="8" t="inlineStr">
        <is>
          <t>Sí</t>
        </is>
      </c>
      <c r="H126" s="8" t="inlineStr">
        <is>
          <t>OK</t>
        </is>
      </c>
    </row>
    <row r="127">
      <c r="A127" s="8" t="inlineStr">
        <is>
          <t>24/04/2026</t>
        </is>
      </c>
      <c r="B127" s="8" t="inlineStr">
        <is>
          <t>342273</t>
        </is>
      </c>
      <c r="C127" s="8" t="inlineStr">
        <is>
          <t>29841683</t>
        </is>
      </c>
      <c r="D127" s="8" t="inlineStr">
        <is>
          <t>Local 3</t>
        </is>
      </c>
      <c r="E127" s="8" t="inlineStr">
        <is>
          <t>Amex</t>
        </is>
      </c>
      <c r="F127" s="9" t="n">
        <v>47517.75</v>
      </c>
      <c r="G127" s="8" t="inlineStr">
        <is>
          <t>Sí</t>
        </is>
      </c>
      <c r="H127" s="8" t="inlineStr">
        <is>
          <t>OK</t>
        </is>
      </c>
    </row>
    <row r="128">
      <c r="A128" s="8" t="inlineStr">
        <is>
          <t>24/04/2026</t>
        </is>
      </c>
      <c r="B128" s="8" t="inlineStr">
        <is>
          <t>342827</t>
        </is>
      </c>
      <c r="C128" s="8" t="inlineStr">
        <is>
          <t>29841683</t>
        </is>
      </c>
      <c r="D128" s="8" t="inlineStr">
        <is>
          <t>Local 3</t>
        </is>
      </c>
      <c r="E128" s="8" t="inlineStr">
        <is>
          <t>Visa Débito</t>
        </is>
      </c>
      <c r="F128" s="9" t="n">
        <v>58384.89</v>
      </c>
      <c r="G128" s="8" t="inlineStr">
        <is>
          <t>Sí</t>
        </is>
      </c>
      <c r="H128" s="8" t="inlineStr">
        <is>
          <t>OK</t>
        </is>
      </c>
    </row>
    <row r="129">
      <c r="A129" s="8" t="inlineStr">
        <is>
          <t>24/04/2026</t>
        </is>
      </c>
      <c r="B129" s="8" t="inlineStr">
        <is>
          <t>341007</t>
        </is>
      </c>
      <c r="C129" s="8" t="inlineStr">
        <is>
          <t>29841705</t>
        </is>
      </c>
      <c r="D129" s="8" t="inlineStr">
        <is>
          <t>Local 6</t>
        </is>
      </c>
      <c r="E129" s="8" t="inlineStr">
        <is>
          <t>Visa Crédito</t>
        </is>
      </c>
      <c r="F129" s="9" t="n">
        <v>41183.06</v>
      </c>
      <c r="G129" s="8" t="inlineStr">
        <is>
          <t>Sí</t>
        </is>
      </c>
      <c r="H129" s="8" t="inlineStr">
        <is>
          <t>OK</t>
        </is>
      </c>
    </row>
    <row r="130">
      <c r="A130" s="8" t="inlineStr">
        <is>
          <t>24/04/2026</t>
        </is>
      </c>
      <c r="B130" s="8" t="inlineStr">
        <is>
          <t>342262</t>
        </is>
      </c>
      <c r="C130" s="8" t="inlineStr">
        <is>
          <t>29841705</t>
        </is>
      </c>
      <c r="D130" s="8" t="inlineStr">
        <is>
          <t>Local 6</t>
        </is>
      </c>
      <c r="E130" s="8" t="inlineStr">
        <is>
          <t>Visa Crédito</t>
        </is>
      </c>
      <c r="F130" s="9" t="n">
        <v>7532.29</v>
      </c>
      <c r="G130" s="8" t="inlineStr">
        <is>
          <t>Sí</t>
        </is>
      </c>
      <c r="H130" s="8" t="inlineStr">
        <is>
          <t>OK</t>
        </is>
      </c>
    </row>
    <row r="131">
      <c r="A131" s="8" t="inlineStr">
        <is>
          <t>24/04/2026</t>
        </is>
      </c>
      <c r="B131" s="8" t="inlineStr">
        <is>
          <t>342828</t>
        </is>
      </c>
      <c r="C131" s="8" t="inlineStr">
        <is>
          <t>29841705</t>
        </is>
      </c>
      <c r="D131" s="8" t="inlineStr">
        <is>
          <t>Local 6</t>
        </is>
      </c>
      <c r="E131" s="8" t="inlineStr">
        <is>
          <t>Visa Débito</t>
        </is>
      </c>
      <c r="F131" s="9" t="n">
        <v>11360.85</v>
      </c>
      <c r="G131" s="8" t="inlineStr">
        <is>
          <t>Sí</t>
        </is>
      </c>
      <c r="H131" s="8" t="inlineStr">
        <is>
          <t>OK</t>
        </is>
      </c>
    </row>
    <row r="132">
      <c r="A132" s="8" t="inlineStr">
        <is>
          <t>24/04/2026</t>
        </is>
      </c>
      <c r="B132" s="8" t="inlineStr">
        <is>
          <t>340994</t>
        </is>
      </c>
      <c r="C132" s="8" t="inlineStr">
        <is>
          <t>31995644</t>
        </is>
      </c>
      <c r="D132" s="8" t="inlineStr">
        <is>
          <t>Local 7</t>
        </is>
      </c>
      <c r="E132" s="8" t="inlineStr">
        <is>
          <t>Mastercard Crédito</t>
        </is>
      </c>
      <c r="F132" s="9" t="n">
        <v>133062.24</v>
      </c>
      <c r="G132" s="8" t="inlineStr">
        <is>
          <t>Sí</t>
        </is>
      </c>
      <c r="H132" s="8" t="inlineStr">
        <is>
          <t>OK</t>
        </is>
      </c>
    </row>
    <row r="133">
      <c r="A133" s="8" t="inlineStr">
        <is>
          <t>24/04/2026</t>
        </is>
      </c>
      <c r="B133" s="8" t="inlineStr">
        <is>
          <t>341009</t>
        </is>
      </c>
      <c r="C133" s="8" t="inlineStr">
        <is>
          <t>31995644</t>
        </is>
      </c>
      <c r="D133" s="8" t="inlineStr">
        <is>
          <t>Local 7</t>
        </is>
      </c>
      <c r="E133" s="8" t="inlineStr">
        <is>
          <t>Visa Crédito</t>
        </is>
      </c>
      <c r="F133" s="9" t="n">
        <v>435165.36</v>
      </c>
      <c r="G133" s="8" t="inlineStr">
        <is>
          <t>Sí</t>
        </is>
      </c>
      <c r="H133" s="8" t="inlineStr">
        <is>
          <t>OK</t>
        </is>
      </c>
    </row>
    <row r="134">
      <c r="A134" s="8" t="inlineStr">
        <is>
          <t>24/04/2026</t>
        </is>
      </c>
      <c r="B134" s="8" t="inlineStr">
        <is>
          <t>342250</t>
        </is>
      </c>
      <c r="C134" s="8" t="inlineStr">
        <is>
          <t>31995644</t>
        </is>
      </c>
      <c r="D134" s="8" t="inlineStr">
        <is>
          <t>Local 7</t>
        </is>
      </c>
      <c r="E134" s="8" t="inlineStr">
        <is>
          <t>Mastercard Crédito</t>
        </is>
      </c>
      <c r="F134" s="9" t="n">
        <v>118722.93</v>
      </c>
      <c r="G134" s="8" t="inlineStr">
        <is>
          <t>Sí</t>
        </is>
      </c>
      <c r="H134" s="8" t="inlineStr">
        <is>
          <t>OK</t>
        </is>
      </c>
    </row>
    <row r="135">
      <c r="A135" s="8" t="inlineStr">
        <is>
          <t>24/04/2026</t>
        </is>
      </c>
      <c r="B135" s="8" t="inlineStr">
        <is>
          <t>342267</t>
        </is>
      </c>
      <c r="C135" s="8" t="inlineStr">
        <is>
          <t>31995644</t>
        </is>
      </c>
      <c r="D135" s="8" t="inlineStr">
        <is>
          <t>Local 7</t>
        </is>
      </c>
      <c r="E135" s="8" t="inlineStr">
        <is>
          <t>Visa Crédito</t>
        </is>
      </c>
      <c r="F135" s="9" t="n">
        <v>302950.44</v>
      </c>
      <c r="G135" s="8" t="inlineStr">
        <is>
          <t>Sí</t>
        </is>
      </c>
      <c r="H135" s="8" t="inlineStr">
        <is>
          <t>OK</t>
        </is>
      </c>
    </row>
    <row r="136">
      <c r="A136" s="8" t="inlineStr">
        <is>
          <t>24/04/2026</t>
        </is>
      </c>
      <c r="B136" s="8" t="inlineStr">
        <is>
          <t>342278</t>
        </is>
      </c>
      <c r="C136" s="8" t="inlineStr">
        <is>
          <t>31995644</t>
        </is>
      </c>
      <c r="D136" s="8" t="inlineStr">
        <is>
          <t>Local 7</t>
        </is>
      </c>
      <c r="E136" s="8" t="inlineStr">
        <is>
          <t>Amex</t>
        </is>
      </c>
      <c r="F136" s="9" t="n">
        <v>83624.69</v>
      </c>
      <c r="G136" s="8" t="inlineStr">
        <is>
          <t>Sí</t>
        </is>
      </c>
      <c r="H136" s="8" t="inlineStr">
        <is>
          <t>OK</t>
        </is>
      </c>
    </row>
    <row r="137">
      <c r="A137" s="8" t="inlineStr">
        <is>
          <t>24/04/2026</t>
        </is>
      </c>
      <c r="B137" s="8" t="inlineStr">
        <is>
          <t>342838</t>
        </is>
      </c>
      <c r="C137" s="8" t="inlineStr">
        <is>
          <t>31995644</t>
        </is>
      </c>
      <c r="D137" s="8" t="inlineStr">
        <is>
          <t>Local 7</t>
        </is>
      </c>
      <c r="E137" s="8" t="inlineStr">
        <is>
          <t>Visa Débito</t>
        </is>
      </c>
      <c r="F137" s="9" t="n">
        <v>291342</v>
      </c>
      <c r="G137" s="8" t="inlineStr">
        <is>
          <t>Sí</t>
        </is>
      </c>
      <c r="H137" s="8" t="inlineStr">
        <is>
          <t>OK</t>
        </is>
      </c>
    </row>
    <row r="138">
      <c r="A138" s="8" t="inlineStr">
        <is>
          <t>24/04/2026</t>
        </is>
      </c>
      <c r="B138" s="8" t="inlineStr">
        <is>
          <t>341010</t>
        </is>
      </c>
      <c r="C138" s="8" t="inlineStr">
        <is>
          <t>32032899</t>
        </is>
      </c>
      <c r="D138" s="8" t="inlineStr">
        <is>
          <t>Local 8</t>
        </is>
      </c>
      <c r="E138" s="8" t="inlineStr">
        <is>
          <t>Visa Crédito</t>
        </is>
      </c>
      <c r="F138" s="9" t="n">
        <v>119961.33</v>
      </c>
      <c r="G138" s="8" t="inlineStr">
        <is>
          <t>Sí</t>
        </is>
      </c>
      <c r="H138" s="8" t="inlineStr">
        <is>
          <t>OK</t>
        </is>
      </c>
    </row>
    <row r="139">
      <c r="A139" s="8" t="inlineStr">
        <is>
          <t>24/04/2026</t>
        </is>
      </c>
      <c r="B139" s="8" t="inlineStr">
        <is>
          <t>342251</t>
        </is>
      </c>
      <c r="C139" s="8" t="inlineStr">
        <is>
          <t>32032899</t>
        </is>
      </c>
      <c r="D139" s="8" t="inlineStr">
        <is>
          <t>Local 8</t>
        </is>
      </c>
      <c r="E139" s="8" t="inlineStr">
        <is>
          <t>Mastercard Crédito</t>
        </is>
      </c>
      <c r="F139" s="9" t="n">
        <v>91267.92999999999</v>
      </c>
      <c r="G139" s="8" t="inlineStr">
        <is>
          <t>Sí</t>
        </is>
      </c>
      <c r="H139" s="8" t="inlineStr">
        <is>
          <t>OK</t>
        </is>
      </c>
    </row>
    <row r="140">
      <c r="A140" s="8" t="inlineStr">
        <is>
          <t>24/04/2026</t>
        </is>
      </c>
      <c r="B140" s="8" t="inlineStr">
        <is>
          <t>342268</t>
        </is>
      </c>
      <c r="C140" s="8" t="inlineStr">
        <is>
          <t>32032899</t>
        </is>
      </c>
      <c r="D140" s="8" t="inlineStr">
        <is>
          <t>Local 8</t>
        </is>
      </c>
      <c r="E140" s="8" t="inlineStr">
        <is>
          <t>Visa Crédito</t>
        </is>
      </c>
      <c r="F140" s="9" t="n">
        <v>647028.63</v>
      </c>
      <c r="G140" s="8" t="inlineStr">
        <is>
          <t>Sí</t>
        </is>
      </c>
      <c r="H140" s="8" t="inlineStr">
        <is>
          <t>OK</t>
        </is>
      </c>
    </row>
    <row r="141">
      <c r="A141" s="8" t="inlineStr">
        <is>
          <t>24/04/2026</t>
        </is>
      </c>
      <c r="B141" s="8" t="inlineStr">
        <is>
          <t>342279</t>
        </is>
      </c>
      <c r="C141" s="8" t="inlineStr">
        <is>
          <t>32032899</t>
        </is>
      </c>
      <c r="D141" s="8" t="inlineStr">
        <is>
          <t>Local 8</t>
        </is>
      </c>
      <c r="E141" s="8" t="inlineStr">
        <is>
          <t>Amex</t>
        </is>
      </c>
      <c r="F141" s="9" t="n">
        <v>115795.49</v>
      </c>
      <c r="G141" s="8" t="inlineStr">
        <is>
          <t>Sí</t>
        </is>
      </c>
      <c r="H141" s="8" t="inlineStr">
        <is>
          <t>OK</t>
        </is>
      </c>
    </row>
    <row r="142">
      <c r="A142" s="8" t="inlineStr">
        <is>
          <t>24/04/2026</t>
        </is>
      </c>
      <c r="B142" s="8" t="inlineStr">
        <is>
          <t>342744</t>
        </is>
      </c>
      <c r="C142" s="8" t="inlineStr">
        <is>
          <t>32032899</t>
        </is>
      </c>
      <c r="D142" s="8" t="inlineStr">
        <is>
          <t>Local 8</t>
        </is>
      </c>
      <c r="E142" s="8" t="inlineStr">
        <is>
          <t>Mastercard Crédito</t>
        </is>
      </c>
      <c r="F142" s="9" t="n">
        <v>-79.8</v>
      </c>
      <c r="G142" s="8" t="inlineStr">
        <is>
          <t>No</t>
        </is>
      </c>
      <c r="H142" s="8" t="inlineStr">
        <is>
          <t>Revisar</t>
        </is>
      </c>
    </row>
    <row r="143">
      <c r="A143" s="8" t="inlineStr">
        <is>
          <t>24/04/2026</t>
        </is>
      </c>
      <c r="B143" s="8" t="inlineStr">
        <is>
          <t>342815</t>
        </is>
      </c>
      <c r="C143" s="8" t="inlineStr">
        <is>
          <t>32032899</t>
        </is>
      </c>
      <c r="D143" s="8" t="inlineStr">
        <is>
          <t>Local 8</t>
        </is>
      </c>
      <c r="E143" s="8" t="inlineStr">
        <is>
          <t>Mastercard Debit</t>
        </is>
      </c>
      <c r="F143" s="9" t="n">
        <v>291440.76</v>
      </c>
      <c r="G143" s="8" t="inlineStr">
        <is>
          <t>Sí</t>
        </is>
      </c>
      <c r="H143" s="8" t="inlineStr">
        <is>
          <t>OK</t>
        </is>
      </c>
    </row>
    <row r="144">
      <c r="A144" s="8" t="inlineStr">
        <is>
          <t>24/04/2026</t>
        </is>
      </c>
      <c r="B144" s="8" t="inlineStr">
        <is>
          <t>342839</t>
        </is>
      </c>
      <c r="C144" s="8" t="inlineStr">
        <is>
          <t>32032899</t>
        </is>
      </c>
      <c r="D144" s="8" t="inlineStr">
        <is>
          <t>Local 8</t>
        </is>
      </c>
      <c r="E144" s="8" t="inlineStr">
        <is>
          <t>Visa Débito</t>
        </is>
      </c>
      <c r="F144" s="9" t="n">
        <v>121314.12</v>
      </c>
      <c r="G144" s="8" t="inlineStr">
        <is>
          <t>Sí</t>
        </is>
      </c>
      <c r="H144" s="8" t="inlineStr">
        <is>
          <t>OK</t>
        </is>
      </c>
    </row>
    <row r="145">
      <c r="A145" s="8" t="inlineStr">
        <is>
          <t>24/04/2026</t>
        </is>
      </c>
      <c r="B145" s="8" t="inlineStr">
        <is>
          <t>342853</t>
        </is>
      </c>
      <c r="C145" s="8" t="inlineStr">
        <is>
          <t>32032899</t>
        </is>
      </c>
      <c r="D145" s="8" t="inlineStr">
        <is>
          <t>Local 8</t>
        </is>
      </c>
      <c r="E145" s="8" t="inlineStr">
        <is>
          <t>Mastercard Crédito</t>
        </is>
      </c>
      <c r="F145" s="9" t="n">
        <v>41672.17</v>
      </c>
      <c r="G145" s="8" t="inlineStr">
        <is>
          <t>Sí</t>
        </is>
      </c>
      <c r="H145" s="8" t="inlineStr">
        <is>
          <t>OK</t>
        </is>
      </c>
    </row>
  </sheetData>
  <autoFilter ref="A1:H1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7" customWidth="1" min="2" max="2"/>
    <col width="41" customWidth="1" min="3" max="3"/>
    <col width="28" customWidth="1" min="4" max="4"/>
    <col width="28" customWidth="1" min="5" max="5"/>
    <col width="45" customWidth="1" min="6" max="6"/>
    <col width="70" customWidth="1" min="7" max="7"/>
    <col width="12" customWidth="1" min="8" max="8"/>
    <col width="70" customWidth="1" min="9" max="9"/>
  </cols>
  <sheetData>
    <row r="1">
      <c r="A1" s="6" t="inlineStr">
        <is>
          <t>Resumen de atraso/carga pendiente por local</t>
        </is>
      </c>
    </row>
    <row r="2">
      <c r="A2" s="2" t="inlineStr">
        <is>
          <t>Este tablero no sanciona por timing bancario normal; marca pendientes atribuibles o no identificados para seguimiento operativo.</t>
        </is>
      </c>
    </row>
    <row r="3"/>
    <row r="4">
      <c r="A4" s="7" t="inlineStr">
        <is>
          <t>Local</t>
        </is>
      </c>
      <c r="B4" s="7" t="inlineStr">
        <is>
          <t>Cantidad pendientes</t>
        </is>
      </c>
      <c r="C4" s="7" t="inlineStr">
        <is>
          <t>Importe total observado</t>
        </is>
      </c>
      <c r="D4" s="7" t="inlineStr">
        <is>
          <t>Banco ingresos no Flexxus</t>
        </is>
      </c>
      <c r="E4" s="7" t="inlineStr">
        <is>
          <t>Flexxus no Banco</t>
        </is>
      </c>
      <c r="F4" s="7" t="inlineStr">
        <is>
          <t>Banco egresos no Flexxus</t>
        </is>
      </c>
      <c r="G4" s="7" t="inlineStr">
        <is>
          <t>Categoría dominante</t>
        </is>
      </c>
      <c r="H4" s="7" t="inlineStr">
        <is>
          <t>Severidad</t>
        </is>
      </c>
      <c r="I4" s="7" t="inlineStr">
        <is>
          <t>Comunicado sugerido</t>
        </is>
      </c>
    </row>
    <row r="5">
      <c r="A5" s="8" t="inlineStr">
        <is>
          <t>Administración/Banco</t>
        </is>
      </c>
      <c r="B5" s="8" t="n">
        <v>1069</v>
      </c>
      <c r="C5" s="9" t="n">
        <v>2497923.31</v>
      </c>
      <c r="D5" s="9" t="n">
        <v>0</v>
      </c>
      <c r="E5" s="9" t="n">
        <v>0</v>
      </c>
      <c r="F5" s="9" t="n">
        <v>2497923.31</v>
      </c>
      <c r="G5" s="8" t="inlineStr">
        <is>
          <t>Anticipo Ganancias Ley 25.413 débitos</t>
        </is>
      </c>
      <c r="H5" s="10" t="inlineStr">
        <is>
          <t>ALTA</t>
        </is>
      </c>
      <c r="I5" s="8" t="inlineStr">
        <is>
          <t>Administración/Banco: revisar egresos/impuestos/gastos pendientes de registro.</t>
        </is>
      </c>
    </row>
    <row r="6">
      <c r="A6" s="8" t="inlineStr">
        <is>
          <t>Local 1</t>
        </is>
      </c>
      <c r="B6" s="8" t="n">
        <v>4</v>
      </c>
      <c r="C6" s="9" t="n">
        <v>172414.95</v>
      </c>
      <c r="D6" s="9" t="n">
        <v>0</v>
      </c>
      <c r="E6" s="9" t="n">
        <v>172414.95</v>
      </c>
      <c r="F6" s="9" t="n">
        <v>0</v>
      </c>
      <c r="G6" s="8" t="inlineStr">
        <is>
          <t>PAV</t>
        </is>
      </c>
      <c r="H6" s="11" t="inlineStr">
        <is>
          <t>MEDIA</t>
        </is>
      </c>
      <c r="I6" s="8" t="inlineStr">
        <is>
          <t>Local 1: verificar PAV/ventas cargadas en Flexxus pendientes de acreditación bancaria.</t>
        </is>
      </c>
    </row>
    <row r="7">
      <c r="A7" s="8" t="inlineStr">
        <is>
          <t>Local 2</t>
        </is>
      </c>
      <c r="B7" s="8" t="n">
        <v>10</v>
      </c>
      <c r="C7" s="9" t="n">
        <v>424499.6899999999</v>
      </c>
      <c r="D7" s="9" t="n">
        <v>0</v>
      </c>
      <c r="E7" s="9" t="n">
        <v>424499.6899999999</v>
      </c>
      <c r="F7" s="9" t="n">
        <v>0</v>
      </c>
      <c r="G7" s="8" t="inlineStr">
        <is>
          <t>PAV</t>
        </is>
      </c>
      <c r="H7" s="10" t="inlineStr">
        <is>
          <t>ALTA</t>
        </is>
      </c>
      <c r="I7" s="8" t="inlineStr">
        <is>
          <t>Local 2: verificar PAV/ventas cargadas en Flexxus pendientes de acreditación bancaria.</t>
        </is>
      </c>
    </row>
    <row r="8">
      <c r="A8" s="8" t="inlineStr">
        <is>
          <t>Local 3</t>
        </is>
      </c>
      <c r="B8" s="8" t="n">
        <v>6</v>
      </c>
      <c r="C8" s="9" t="n">
        <v>290807.46</v>
      </c>
      <c r="D8" s="9" t="n">
        <v>0</v>
      </c>
      <c r="E8" s="9" t="n">
        <v>290807.46</v>
      </c>
      <c r="F8" s="9" t="n">
        <v>0</v>
      </c>
      <c r="G8" s="8" t="inlineStr">
        <is>
          <t>PAV</t>
        </is>
      </c>
      <c r="H8" s="11" t="inlineStr">
        <is>
          <t>MEDIA</t>
        </is>
      </c>
      <c r="I8" s="8" t="inlineStr">
        <is>
          <t>Local 3: verificar PAV/ventas cargadas en Flexxus pendientes de acreditación bancaria.</t>
        </is>
      </c>
    </row>
    <row r="9">
      <c r="A9" s="8" t="inlineStr">
        <is>
          <t>Local 5</t>
        </is>
      </c>
      <c r="B9" s="8" t="n">
        <v>19</v>
      </c>
      <c r="C9" s="9" t="n">
        <v>678763.2</v>
      </c>
      <c r="D9" s="9" t="n">
        <v>0</v>
      </c>
      <c r="E9" s="9" t="n">
        <v>678763.2</v>
      </c>
      <c r="F9" s="9" t="n">
        <v>0</v>
      </c>
      <c r="G9" s="8" t="inlineStr">
        <is>
          <t>PAV</t>
        </is>
      </c>
      <c r="H9" s="10" t="inlineStr">
        <is>
          <t>ALTA</t>
        </is>
      </c>
      <c r="I9" s="8" t="inlineStr">
        <is>
          <t>Local 5: verificar PAV/ventas cargadas en Flexxus pendientes de acreditación bancaria.</t>
        </is>
      </c>
    </row>
    <row r="10">
      <c r="A10" s="8" t="inlineStr">
        <is>
          <t>Local 6</t>
        </is>
      </c>
      <c r="B10" s="8" t="n">
        <v>10</v>
      </c>
      <c r="C10" s="9" t="n">
        <v>341264.4</v>
      </c>
      <c r="D10" s="9" t="n">
        <v>0</v>
      </c>
      <c r="E10" s="9" t="n">
        <v>341264.4</v>
      </c>
      <c r="F10" s="9" t="n">
        <v>0</v>
      </c>
      <c r="G10" s="8" t="inlineStr">
        <is>
          <t>PAV</t>
        </is>
      </c>
      <c r="H10" s="10" t="inlineStr">
        <is>
          <t>ALTA</t>
        </is>
      </c>
      <c r="I10" s="8" t="inlineStr">
        <is>
          <t>Local 6: verificar PAV/ventas cargadas en Flexxus pendientes de acreditación bancaria.</t>
        </is>
      </c>
    </row>
    <row r="11">
      <c r="A11" s="8" t="inlineStr">
        <is>
          <t>Local 7</t>
        </is>
      </c>
      <c r="B11" s="8" t="n">
        <v>7</v>
      </c>
      <c r="C11" s="9" t="n">
        <v>514075.11</v>
      </c>
      <c r="D11" s="9" t="n">
        <v>0</v>
      </c>
      <c r="E11" s="9" t="n">
        <v>514075.11</v>
      </c>
      <c r="F11" s="9" t="n">
        <v>0</v>
      </c>
      <c r="G11" s="8" t="inlineStr">
        <is>
          <t>PAV</t>
        </is>
      </c>
      <c r="H11" s="11" t="inlineStr">
        <is>
          <t>MEDIA</t>
        </is>
      </c>
      <c r="I11" s="8" t="inlineStr">
        <is>
          <t>Local 7: verificar PAV/ventas cargadas en Flexxus pendientes de acreditación bancaria.</t>
        </is>
      </c>
    </row>
    <row r="12">
      <c r="A12" s="8" t="inlineStr">
        <is>
          <t>Local 8</t>
        </is>
      </c>
      <c r="B12" s="8" t="n">
        <v>5</v>
      </c>
      <c r="C12" s="9" t="n">
        <v>514074.62</v>
      </c>
      <c r="D12" s="9" t="n">
        <v>0</v>
      </c>
      <c r="E12" s="9" t="n">
        <v>514074.62</v>
      </c>
      <c r="F12" s="9" t="n">
        <v>0</v>
      </c>
      <c r="G12" s="8" t="inlineStr">
        <is>
          <t>PAV</t>
        </is>
      </c>
      <c r="H12" s="11" t="inlineStr">
        <is>
          <t>MEDIA</t>
        </is>
      </c>
      <c r="I12" s="8" t="inlineStr">
        <is>
          <t>Local 8: verificar PAV/ventas cargadas en Flexxus pendientes de acreditación bancaria.</t>
        </is>
      </c>
    </row>
    <row r="13">
      <c r="A13" s="8" t="inlineStr">
        <is>
          <t>No identificado</t>
        </is>
      </c>
      <c r="B13" s="8" t="n">
        <v>4</v>
      </c>
      <c r="C13" s="9" t="n">
        <v>2900454.46</v>
      </c>
      <c r="D13" s="9" t="n">
        <v>65270.86000000001</v>
      </c>
      <c r="E13" s="9" t="n">
        <v>2835183.6</v>
      </c>
      <c r="F13" s="9" t="n">
        <v>0</v>
      </c>
      <c r="G13" s="8" t="inlineStr">
        <is>
          <t>Ajuste menor redondeo/extracto</t>
        </is>
      </c>
      <c r="H13" s="10" t="inlineStr">
        <is>
          <t>ALTA</t>
        </is>
      </c>
      <c r="I13" s="8" t="inlineStr">
        <is>
          <t>Identificar origen/local de movimientos bancarios no registrados antes del cierre.</t>
        </is>
      </c>
    </row>
    <row r="14"/>
    <row r="15"/>
    <row r="16">
      <c r="A16" s="6" t="inlineStr">
        <is>
          <t>Detalle de hallazgos por local</t>
        </is>
      </c>
    </row>
    <row r="17">
      <c r="A17" s="7" t="inlineStr">
        <is>
          <t>Local</t>
        </is>
      </c>
      <c r="B17" s="7" t="inlineStr">
        <is>
          <t>Bloque</t>
        </is>
      </c>
      <c r="C17" s="7" t="inlineStr">
        <is>
          <t>Categoría</t>
        </is>
      </c>
      <c r="D17" s="7" t="inlineStr">
        <is>
          <t>Importe</t>
        </is>
      </c>
      <c r="E17" s="7" t="inlineStr">
        <is>
          <t>Estado trazabilidad</t>
        </is>
      </c>
      <c r="F17" s="7" t="inlineStr">
        <is>
          <t>Origen detectado</t>
        </is>
      </c>
      <c r="G17" s="7" t="inlineStr">
        <is>
          <t>Acción sugerida</t>
        </is>
      </c>
    </row>
    <row r="18">
      <c r="A18" s="8" t="inlineStr">
        <is>
          <t>Administración/Banco</t>
        </is>
      </c>
      <c r="B18" s="8" t="inlineStr">
        <is>
          <t>Banco egreso no Flexxus</t>
        </is>
      </c>
      <c r="C18" s="8" t="inlineStr">
        <is>
          <t>Anticipo Ganancias Ley 25.413 créditos</t>
        </is>
      </c>
      <c r="D18" s="9" t="n">
        <v>430.2</v>
      </c>
      <c r="E18" s="8" t="inlineStr">
        <is>
          <t>ABIERTO_NUEVO</t>
        </is>
      </c>
      <c r="F18" s="8" t="inlineStr">
        <is>
          <t>Banco / impuesto / gasto</t>
        </is>
      </c>
      <c r="G18" s="8" t="inlineStr">
        <is>
          <t>Copiar en Flexxus: Tipo=MB-EXT | Movimiento=GRAVAMEN LEY 25.413 S/CRED | Monto=430,20 | Fecha: 24/04/2026</t>
        </is>
      </c>
    </row>
    <row r="19">
      <c r="A19" s="8" t="inlineStr">
        <is>
          <t>Administración/Banco</t>
        </is>
      </c>
      <c r="B19" s="8" t="inlineStr">
        <is>
          <t>Banco egreso no Flexxus</t>
        </is>
      </c>
      <c r="C19" s="8" t="inlineStr">
        <is>
          <t>Anticipo Ganancias Ley 25.413 créditos</t>
        </is>
      </c>
      <c r="D19" s="9" t="n">
        <v>62.98</v>
      </c>
      <c r="E19" s="8" t="inlineStr">
        <is>
          <t>ABIERTO_NUEVO</t>
        </is>
      </c>
      <c r="F19" s="8" t="inlineStr">
        <is>
          <t>Banco / impuesto / gasto</t>
        </is>
      </c>
      <c r="G19" s="8" t="inlineStr">
        <is>
          <t>Copiar en Flexxus: Tipo=MB-EXT | Movimiento=GRAVAMEN LEY 25.413 S/CRED | Monto=62,98 | Fecha: 24/04/2026</t>
        </is>
      </c>
    </row>
    <row r="20">
      <c r="A20" s="8" t="inlineStr">
        <is>
          <t>Administración/Banco</t>
        </is>
      </c>
      <c r="B20" s="8" t="inlineStr">
        <is>
          <t>Banco egreso no Flexxus</t>
        </is>
      </c>
      <c r="C20" s="8" t="inlineStr">
        <is>
          <t>Anticipo Ganancias Ley 25.413 créditos</t>
        </is>
      </c>
      <c r="D20" s="9" t="n">
        <v>405.24</v>
      </c>
      <c r="E20" s="8" t="inlineStr">
        <is>
          <t>ABIERTO_NUEVO</t>
        </is>
      </c>
      <c r="F20" s="8" t="inlineStr">
        <is>
          <t>Banco / impuesto / gasto</t>
        </is>
      </c>
      <c r="G20" s="8" t="inlineStr">
        <is>
          <t>Copiar en Flexxus: Tipo=MB-EXT | Movimiento=GRAVAMEN LEY 25.413 S/CRED | Monto=405,24 | Fecha: 24/04/2026</t>
        </is>
      </c>
    </row>
    <row r="21">
      <c r="A21" s="8" t="inlineStr">
        <is>
          <t>Administración/Banco</t>
        </is>
      </c>
      <c r="B21" s="8" t="inlineStr">
        <is>
          <t>Banco egreso no Flexxus</t>
        </is>
      </c>
      <c r="C21" s="8" t="inlineStr">
        <is>
          <t>Anticipo Ganancias Ley 25.413 créditos</t>
        </is>
      </c>
      <c r="D21" s="9" t="n">
        <v>45.75</v>
      </c>
      <c r="E21" s="8" t="inlineStr">
        <is>
          <t>ABIERTO_NUEVO</t>
        </is>
      </c>
      <c r="F21" s="8" t="inlineStr">
        <is>
          <t>Banco / impuesto / gasto</t>
        </is>
      </c>
      <c r="G21" s="8" t="inlineStr">
        <is>
          <t>Copiar en Flexxus: Tipo=MB-EXT | Movimiento=GRAVAMEN LEY 25.413 S/CRED | Monto=45,75 | Fecha: 24/04/2026</t>
        </is>
      </c>
    </row>
    <row r="22">
      <c r="A22" s="8" t="inlineStr">
        <is>
          <t>Administración/Banco</t>
        </is>
      </c>
      <c r="B22" s="8" t="inlineStr">
        <is>
          <t>Banco egreso no Flexxus</t>
        </is>
      </c>
      <c r="C22" s="8" t="inlineStr">
        <is>
          <t>Anticipo Ganancias Ley 25.413 créditos</t>
        </is>
      </c>
      <c r="D22" s="9" t="n">
        <v>26.74</v>
      </c>
      <c r="E22" s="8" t="inlineStr">
        <is>
          <t>ABIERTO_NUEVO</t>
        </is>
      </c>
      <c r="F22" s="8" t="inlineStr">
        <is>
          <t>Banco / impuesto / gasto</t>
        </is>
      </c>
      <c r="G22" s="8" t="inlineStr">
        <is>
          <t>Copiar en Flexxus: Tipo=MB-EXT | Movimiento=GRAVAMEN LEY 25.413 S/CRED | Monto=26,74 | Fecha: 24/04/2026</t>
        </is>
      </c>
    </row>
    <row r="23">
      <c r="A23" s="8" t="inlineStr">
        <is>
          <t>Administración/Banco</t>
        </is>
      </c>
      <c r="B23" s="8" t="inlineStr">
        <is>
          <t>Banco egreso no Flexxus</t>
        </is>
      </c>
      <c r="C23" s="8" t="inlineStr">
        <is>
          <t>Anticipo Ganancias Ley 25.413 créditos</t>
        </is>
      </c>
      <c r="D23" s="9" t="n">
        <v>46.35</v>
      </c>
      <c r="E23" s="8" t="inlineStr">
        <is>
          <t>ABIERTO_NUEVO</t>
        </is>
      </c>
      <c r="F23" s="8" t="inlineStr">
        <is>
          <t>Banco / impuesto / gasto</t>
        </is>
      </c>
      <c r="G23" s="8" t="inlineStr">
        <is>
          <t>Copiar en Flexxus: Tipo=MB-EXT | Movimiento=GRAVAMEN LEY 25.413 S/CRED | Monto=46,35 | Fecha: 24/04/2026</t>
        </is>
      </c>
    </row>
    <row r="24">
      <c r="A24" s="8" t="inlineStr">
        <is>
          <t>Administración/Banco</t>
        </is>
      </c>
      <c r="B24" s="8" t="inlineStr">
        <is>
          <t>Banco egreso no Flexxus</t>
        </is>
      </c>
      <c r="C24" s="8" t="inlineStr">
        <is>
          <t>Anticipo Ganancias Ley 25.413 créditos</t>
        </is>
      </c>
      <c r="D24" s="9" t="n">
        <v>133.1</v>
      </c>
      <c r="E24" s="8" t="inlineStr">
        <is>
          <t>ABIERTO_NUEVO</t>
        </is>
      </c>
      <c r="F24" s="8" t="inlineStr">
        <is>
          <t>Banco / impuesto / gasto</t>
        </is>
      </c>
      <c r="G24" s="8" t="inlineStr">
        <is>
          <t>Copiar en Flexxus: Tipo=MB-EXT | Movimiento=GRAVAMEN LEY 25.413 S/CRED | Monto=133,10 | Fecha: 24/04/2026</t>
        </is>
      </c>
    </row>
    <row r="25">
      <c r="A25" s="8" t="inlineStr">
        <is>
          <t>Administración/Banco</t>
        </is>
      </c>
      <c r="B25" s="8" t="inlineStr">
        <is>
          <t>Banco egreso no Flexxus</t>
        </is>
      </c>
      <c r="C25" s="8" t="inlineStr">
        <is>
          <t>Anticipo Ganancias Ley 25.413 créditos</t>
        </is>
      </c>
      <c r="D25" s="9" t="n">
        <v>285.21</v>
      </c>
      <c r="E25" s="8" t="inlineStr">
        <is>
          <t>ABIERTO_NUEVO</t>
        </is>
      </c>
      <c r="F25" s="8" t="inlineStr">
        <is>
          <t>Banco / impuesto / gasto</t>
        </is>
      </c>
      <c r="G25" s="8" t="inlineStr">
        <is>
          <t>Copiar en Flexxus: Tipo=MB-EXT | Movimiento=GRAVAMEN LEY 25.413 S/CRED | Monto=285,21 | Fecha: 24/04/2026</t>
        </is>
      </c>
    </row>
    <row r="26">
      <c r="A26" s="8" t="inlineStr">
        <is>
          <t>Administración/Banco</t>
        </is>
      </c>
      <c r="B26" s="8" t="inlineStr">
        <is>
          <t>Banco egreso no Flexxus</t>
        </is>
      </c>
      <c r="C26" s="8" t="inlineStr">
        <is>
          <t>Anticipo Ganancias Ley 25.413 créditos</t>
        </is>
      </c>
      <c r="D26" s="9" t="n">
        <v>900</v>
      </c>
      <c r="E26" s="8" t="inlineStr">
        <is>
          <t>ABIERTO_NUEVO</t>
        </is>
      </c>
      <c r="F26" s="8" t="inlineStr">
        <is>
          <t>Banco / impuesto / gasto</t>
        </is>
      </c>
      <c r="G26" s="8" t="inlineStr">
        <is>
          <t>Copiar en Flexxus: Tipo=MB-EXT | Movimiento=GRAVAMEN LEY 25.413 S/CRED | Monto=900,00 | Fecha: 24/04/2026</t>
        </is>
      </c>
    </row>
    <row r="27">
      <c r="A27" s="8" t="inlineStr">
        <is>
          <t>Administración/Banco</t>
        </is>
      </c>
      <c r="B27" s="8" t="inlineStr">
        <is>
          <t>Banco egreso no Flexxus</t>
        </is>
      </c>
      <c r="C27" s="8" t="inlineStr">
        <is>
          <t>Anticipo Ganancias Ley 25.413 créditos</t>
        </is>
      </c>
      <c r="D27" s="9" t="n">
        <v>68.33</v>
      </c>
      <c r="E27" s="8" t="inlineStr">
        <is>
          <t>ABIERTO_NUEVO</t>
        </is>
      </c>
      <c r="F27" s="8" t="inlineStr">
        <is>
          <t>Banco / impuesto / gasto</t>
        </is>
      </c>
      <c r="G27" s="8" t="inlineStr">
        <is>
          <t>Copiar en Flexxus: Tipo=MB-EXT | Movimiento=GRAVAMEN LEY 25.413 S/CRED | Monto=68,33 | Fecha: 24/04/2026</t>
        </is>
      </c>
    </row>
    <row r="28">
      <c r="A28" s="8" t="inlineStr">
        <is>
          <t>Administración/Banco</t>
        </is>
      </c>
      <c r="B28" s="8" t="inlineStr">
        <is>
          <t>Banco egreso no Flexxus</t>
        </is>
      </c>
      <c r="C28" s="8" t="inlineStr">
        <is>
          <t>Anticipo Ganancias Ley 25.413 créditos</t>
        </is>
      </c>
      <c r="D28" s="9" t="n">
        <v>94.48</v>
      </c>
      <c r="E28" s="8" t="inlineStr">
        <is>
          <t>ABIERTO_NUEVO</t>
        </is>
      </c>
      <c r="F28" s="8" t="inlineStr">
        <is>
          <t>Banco / impuesto / gasto</t>
        </is>
      </c>
      <c r="G28" s="8" t="inlineStr">
        <is>
          <t>Copiar en Flexxus: Tipo=MB-EXT | Movimiento=GRAVAMEN LEY 25.413 S/CRED | Monto=94,48 | Fecha: 24/04/2026</t>
        </is>
      </c>
    </row>
    <row r="29">
      <c r="A29" s="8" t="inlineStr">
        <is>
          <t>Administración/Banco</t>
        </is>
      </c>
      <c r="B29" s="8" t="inlineStr">
        <is>
          <t>Banco egreso no Flexxus</t>
        </is>
      </c>
      <c r="C29" s="8" t="inlineStr">
        <is>
          <t>Anticipo Ganancias Ley 25.413 créditos</t>
        </is>
      </c>
      <c r="D29" s="9" t="n">
        <v>77.19</v>
      </c>
      <c r="E29" s="8" t="inlineStr">
        <is>
          <t>ABIERTO_NUEVO</t>
        </is>
      </c>
      <c r="F29" s="8" t="inlineStr">
        <is>
          <t>Banco / impuesto / gasto</t>
        </is>
      </c>
      <c r="G29" s="8" t="inlineStr">
        <is>
          <t>Copiar en Flexxus: Tipo=MB-EXT | Movimiento=GRAVAMEN LEY 25.413 S/CRED | Monto=77,19 | Fecha: 24/04/2026</t>
        </is>
      </c>
    </row>
    <row r="30">
      <c r="A30" s="8" t="inlineStr">
        <is>
          <t>Administración/Banco</t>
        </is>
      </c>
      <c r="B30" s="8" t="inlineStr">
        <is>
          <t>Banco egreso no Flexxus</t>
        </is>
      </c>
      <c r="C30" s="8" t="inlineStr">
        <is>
          <t>Anticipo Ganancias Ley 25.413 créditos</t>
        </is>
      </c>
      <c r="D30" s="9" t="n">
        <v>26.74</v>
      </c>
      <c r="E30" s="8" t="inlineStr">
        <is>
          <t>ABIERTO_NUEVO</t>
        </is>
      </c>
      <c r="F30" s="8" t="inlineStr">
        <is>
          <t>Banco / impuesto / gasto</t>
        </is>
      </c>
      <c r="G30" s="8" t="inlineStr">
        <is>
          <t>Copiar en Flexxus: Tipo=MB-EXT | Movimiento=GRAVAMEN LEY 25.413 S/CRED | Monto=26,74 | Fecha: 24/04/2026</t>
        </is>
      </c>
    </row>
    <row r="31">
      <c r="A31" s="8" t="inlineStr">
        <is>
          <t>Administración/Banco</t>
        </is>
      </c>
      <c r="B31" s="8" t="inlineStr">
        <is>
          <t>Banco egreso no Flexxus</t>
        </is>
      </c>
      <c r="C31" s="8" t="inlineStr">
        <is>
          <t>Anticipo Ganancias Ley 25.413 créditos</t>
        </is>
      </c>
      <c r="D31" s="9" t="n">
        <v>21.09</v>
      </c>
      <c r="E31" s="8" t="inlineStr">
        <is>
          <t>ABIERTO_NUEVO</t>
        </is>
      </c>
      <c r="F31" s="8" t="inlineStr">
        <is>
          <t>Banco / impuesto / gasto</t>
        </is>
      </c>
      <c r="G31" s="8" t="inlineStr">
        <is>
          <t>Copiar en Flexxus: Tipo=MB-EXT | Movimiento=GRAVAMEN LEY 25.413 S/CRED | Monto=21,09 | Fecha: 24/04/2026</t>
        </is>
      </c>
    </row>
    <row r="32">
      <c r="A32" s="8" t="inlineStr">
        <is>
          <t>Administración/Banco</t>
        </is>
      </c>
      <c r="B32" s="8" t="inlineStr">
        <is>
          <t>Banco egreso no Flexxus</t>
        </is>
      </c>
      <c r="C32" s="8" t="inlineStr">
        <is>
          <t>Anticipo Ganancias Ley 25.413 créditos</t>
        </is>
      </c>
      <c r="D32" s="9" t="n">
        <v>404.05</v>
      </c>
      <c r="E32" s="8" t="inlineStr">
        <is>
          <t>ABIERTO_NUEVO</t>
        </is>
      </c>
      <c r="F32" s="8" t="inlineStr">
        <is>
          <t>Banco / impuesto / gasto</t>
        </is>
      </c>
      <c r="G32" s="8" t="inlineStr">
        <is>
          <t>Copiar en Flexxus: Tipo=MB-EXT | Movimiento=GRAVAMEN LEY 25.413 S/CRED | Monto=404,05 | Fecha: 24/04/2026</t>
        </is>
      </c>
    </row>
    <row r="33">
      <c r="A33" s="8" t="inlineStr">
        <is>
          <t>Administración/Banco</t>
        </is>
      </c>
      <c r="B33" s="8" t="inlineStr">
        <is>
          <t>Banco egreso no Flexxus</t>
        </is>
      </c>
      <c r="C33" s="8" t="inlineStr">
        <is>
          <t>Anticipo Ganancias Ley 25.413 créditos</t>
        </is>
      </c>
      <c r="D33" s="9" t="n">
        <v>1192.54</v>
      </c>
      <c r="E33" s="8" t="inlineStr">
        <is>
          <t>ABIERTO_NUEVO</t>
        </is>
      </c>
      <c r="F33" s="8" t="inlineStr">
        <is>
          <t>Banco / impuesto / gasto</t>
        </is>
      </c>
      <c r="G33" s="8" t="inlineStr">
        <is>
          <t>Copiar en Flexxus: Tipo=MB-EXT | Movimiento=GRAVAMEN LEY 25.413 S/CRED | Monto=1.192,54 | Fecha: 24/04/2026</t>
        </is>
      </c>
    </row>
    <row r="34">
      <c r="A34" s="8" t="inlineStr">
        <is>
          <t>Administración/Banco</t>
        </is>
      </c>
      <c r="B34" s="8" t="inlineStr">
        <is>
          <t>Banco egreso no Flexxus</t>
        </is>
      </c>
      <c r="C34" s="8" t="inlineStr">
        <is>
          <t>Anticipo Ganancias Ley 25.413 créditos</t>
        </is>
      </c>
      <c r="D34" s="9" t="n">
        <v>160.43</v>
      </c>
      <c r="E34" s="8" t="inlineStr">
        <is>
          <t>ABIERTO_NUEVO</t>
        </is>
      </c>
      <c r="F34" s="8" t="inlineStr">
        <is>
          <t>Banco / impuesto / gasto</t>
        </is>
      </c>
      <c r="G34" s="8" t="inlineStr">
        <is>
          <t>Copiar en Flexxus: Tipo=MB-EXT | Movimiento=GRAVAMEN LEY 25.413 S/CRED | Monto=160,43 | Fecha: 24/04/2026</t>
        </is>
      </c>
    </row>
    <row r="35">
      <c r="A35" s="8" t="inlineStr">
        <is>
          <t>Administración/Banco</t>
        </is>
      </c>
      <c r="B35" s="8" t="inlineStr">
        <is>
          <t>Banco egreso no Flexxus</t>
        </is>
      </c>
      <c r="C35" s="8" t="inlineStr">
        <is>
          <t>Anticipo Ganancias Ley 25.413 créditos</t>
        </is>
      </c>
      <c r="D35" s="9" t="n">
        <v>212.72</v>
      </c>
      <c r="E35" s="8" t="inlineStr">
        <is>
          <t>ABIERTO_NUEVO</t>
        </is>
      </c>
      <c r="F35" s="8" t="inlineStr">
        <is>
          <t>Banco / impuesto / gasto</t>
        </is>
      </c>
      <c r="G35" s="8" t="inlineStr">
        <is>
          <t>Copiar en Flexxus: Tipo=MB-EXT | Movimiento=GRAVAMEN LEY 25.413 S/CRED | Monto=212,72 | Fecha: 24/04/2026</t>
        </is>
      </c>
    </row>
    <row r="36">
      <c r="A36" s="8" t="inlineStr">
        <is>
          <t>Administración/Banco</t>
        </is>
      </c>
      <c r="B36" s="8" t="inlineStr">
        <is>
          <t>Banco egreso no Flexxus</t>
        </is>
      </c>
      <c r="C36" s="8" t="inlineStr">
        <is>
          <t>Anticipo Ganancias Ley 25.413 créditos</t>
        </is>
      </c>
      <c r="D36" s="9" t="n">
        <v>727.88</v>
      </c>
      <c r="E36" s="8" t="inlineStr">
        <is>
          <t>ABIERTO_NUEVO</t>
        </is>
      </c>
      <c r="F36" s="8" t="inlineStr">
        <is>
          <t>Banco / impuesto / gasto</t>
        </is>
      </c>
      <c r="G36" s="8" t="inlineStr">
        <is>
          <t>Copiar en Flexxus: Tipo=MB-EXT | Movimiento=GRAVAMEN LEY 25.413 S/CRED | Monto=727,88 | Fecha: 24/04/2026</t>
        </is>
      </c>
    </row>
    <row r="37">
      <c r="A37" s="8" t="inlineStr">
        <is>
          <t>Administración/Banco</t>
        </is>
      </c>
      <c r="B37" s="8" t="inlineStr">
        <is>
          <t>Banco egreso no Flexxus</t>
        </is>
      </c>
      <c r="C37" s="8" t="inlineStr">
        <is>
          <t>Anticipo Ganancias Ley 25.413 créditos</t>
        </is>
      </c>
      <c r="D37" s="9" t="n">
        <v>1748.05</v>
      </c>
      <c r="E37" s="8" t="inlineStr">
        <is>
          <t>ABIERTO_NUEVO</t>
        </is>
      </c>
      <c r="F37" s="8" t="inlineStr">
        <is>
          <t>Banco / impuesto / gasto</t>
        </is>
      </c>
      <c r="G37" s="8" t="inlineStr">
        <is>
          <t>Copiar en Flexxus: Tipo=MB-EXT | Movimiento=GRAVAMEN LEY 25.413 S/CRED | Monto=1.748,05 | Fecha: 24/04/2026</t>
        </is>
      </c>
    </row>
    <row r="38">
      <c r="A38" s="8" t="inlineStr">
        <is>
          <t>Administración/Banco</t>
        </is>
      </c>
      <c r="B38" s="8" t="inlineStr">
        <is>
          <t>Banco egreso no Flexxus</t>
        </is>
      </c>
      <c r="C38" s="8" t="inlineStr">
        <is>
          <t>Anticipo Ganancias Ley 25.413 créditos</t>
        </is>
      </c>
      <c r="D38" s="9" t="n">
        <v>68.17</v>
      </c>
      <c r="E38" s="8" t="inlineStr">
        <is>
          <t>ABIERTO_NUEVO</t>
        </is>
      </c>
      <c r="F38" s="8" t="inlineStr">
        <is>
          <t>Banco / impuesto / gasto</t>
        </is>
      </c>
      <c r="G38" s="8" t="inlineStr">
        <is>
          <t>Copiar en Flexxus: Tipo=MB-EXT | Movimiento=GRAVAMEN LEY 25.413 S/CRED | Monto=68,17 | Fecha: 24/04/2026</t>
        </is>
      </c>
    </row>
    <row r="39">
      <c r="A39" s="8" t="inlineStr">
        <is>
          <t>Administración/Banco</t>
        </is>
      </c>
      <c r="B39" s="8" t="inlineStr">
        <is>
          <t>Banco egreso no Flexxus</t>
        </is>
      </c>
      <c r="C39" s="8" t="inlineStr">
        <is>
          <t>Anticipo Ganancias Ley 25.413 créditos</t>
        </is>
      </c>
      <c r="D39" s="9" t="n">
        <v>350.31</v>
      </c>
      <c r="E39" s="8" t="inlineStr">
        <is>
          <t>ABIERTO_NUEVO</t>
        </is>
      </c>
      <c r="F39" s="8" t="inlineStr">
        <is>
          <t>Banco / impuesto / gasto</t>
        </is>
      </c>
      <c r="G39" s="8" t="inlineStr">
        <is>
          <t>Copiar en Flexxus: Tipo=MB-EXT | Movimiento=GRAVAMEN LEY 25.413 S/CRED | Monto=350,31 | Fecha: 24/04/2026</t>
        </is>
      </c>
    </row>
    <row r="40">
      <c r="A40" s="8" t="inlineStr">
        <is>
          <t>Administración/Banco</t>
        </is>
      </c>
      <c r="B40" s="8" t="inlineStr">
        <is>
          <t>Banco egreso no Flexxus</t>
        </is>
      </c>
      <c r="C40" s="8" t="inlineStr">
        <is>
          <t>Anticipo Ganancias Ley 25.413 créditos</t>
        </is>
      </c>
      <c r="D40" s="9" t="n">
        <v>365.13</v>
      </c>
      <c r="E40" s="8" t="inlineStr">
        <is>
          <t>ABIERTO_NUEVO</t>
        </is>
      </c>
      <c r="F40" s="8" t="inlineStr">
        <is>
          <t>Banco / impuesto / gasto</t>
        </is>
      </c>
      <c r="G40" s="8" t="inlineStr">
        <is>
          <t>Copiar en Flexxus: Tipo=MB-EXT | Movimiento=GRAVAMEN LEY 25.413 S/CRED | Monto=365,13 | Fecha: 24/04/2026</t>
        </is>
      </c>
    </row>
    <row r="41">
      <c r="A41" s="8" t="inlineStr">
        <is>
          <t>Administración/Banco</t>
        </is>
      </c>
      <c r="B41" s="8" t="inlineStr">
        <is>
          <t>Banco egreso no Flexxus</t>
        </is>
      </c>
      <c r="C41" s="8" t="inlineStr">
        <is>
          <t>Anticipo Ganancias Ley 25.413 créditos</t>
        </is>
      </c>
      <c r="D41" s="9" t="n">
        <v>142.26</v>
      </c>
      <c r="E41" s="8" t="inlineStr">
        <is>
          <t>ABIERTO_NUEVO</t>
        </is>
      </c>
      <c r="F41" s="8" t="inlineStr">
        <is>
          <t>Banco / impuesto / gasto</t>
        </is>
      </c>
      <c r="G41" s="8" t="inlineStr">
        <is>
          <t>Copiar en Flexxus: Tipo=MB-EXT | Movimiento=GRAVAMEN LEY 25.413 S/CRED | Monto=142,26 | Fecha: 24/04/2026</t>
        </is>
      </c>
    </row>
    <row r="42">
      <c r="A42" s="8" t="inlineStr">
        <is>
          <t>Administración/Banco</t>
        </is>
      </c>
      <c r="B42" s="8" t="inlineStr">
        <is>
          <t>Banco egreso no Flexxus</t>
        </is>
      </c>
      <c r="C42" s="8" t="inlineStr">
        <is>
          <t>Anticipo Ganancias Ley 25.413 créditos</t>
        </is>
      </c>
      <c r="D42" s="9" t="n">
        <v>160.04</v>
      </c>
      <c r="E42" s="8" t="inlineStr">
        <is>
          <t>ABIERTO_NUEVO</t>
        </is>
      </c>
      <c r="F42" s="8" t="inlineStr">
        <is>
          <t>Banco / impuesto / gasto</t>
        </is>
      </c>
      <c r="G42" s="8" t="inlineStr">
        <is>
          <t>Copiar en Flexxus: Tipo=MB-EXT | Movimiento=GRAVAMEN LEY 25.413 S/CRED | Monto=160,04 | Fecha: 24/04/2026</t>
        </is>
      </c>
    </row>
    <row r="43">
      <c r="A43" s="8" t="inlineStr">
        <is>
          <t>Administración/Banco</t>
        </is>
      </c>
      <c r="B43" s="8" t="inlineStr">
        <is>
          <t>Banco egreso no Flexxus</t>
        </is>
      </c>
      <c r="C43" s="8" t="inlineStr">
        <is>
          <t>Anticipo Ganancias Ley 25.413 créditos</t>
        </is>
      </c>
      <c r="D43" s="9" t="n">
        <v>1748.64</v>
      </c>
      <c r="E43" s="8" t="inlineStr">
        <is>
          <t>ABIERTO_NUEVO</t>
        </is>
      </c>
      <c r="F43" s="8" t="inlineStr">
        <is>
          <t>Banco / impuesto / gasto</t>
        </is>
      </c>
      <c r="G43" s="8" t="inlineStr">
        <is>
          <t>Copiar en Flexxus: Tipo=MB-EXT | Movimiento=GRAVAMEN LEY 25.413 S/CRED | Monto=1.748,64 | Fecha: 24/04/2026</t>
        </is>
      </c>
    </row>
    <row r="44">
      <c r="A44" s="8" t="inlineStr">
        <is>
          <t>Administración/Banco</t>
        </is>
      </c>
      <c r="B44" s="8" t="inlineStr">
        <is>
          <t>Banco egreso no Flexxus</t>
        </is>
      </c>
      <c r="C44" s="8" t="inlineStr">
        <is>
          <t>Anticipo Ganancias Ley 25.413 créditos</t>
        </is>
      </c>
      <c r="D44" s="9" t="n">
        <v>250.03</v>
      </c>
      <c r="E44" s="8" t="inlineStr">
        <is>
          <t>ABIERTO_NUEVO</t>
        </is>
      </c>
      <c r="F44" s="8" t="inlineStr">
        <is>
          <t>Banco / impuesto / gasto</t>
        </is>
      </c>
      <c r="G44" s="8" t="inlineStr">
        <is>
          <t>Copiar en Flexxus: Tipo=MB-EXT | Movimiento=GRAVAMEN LEY 25.413 S/CRED | Monto=250,03 | Fecha: 24/04/2026</t>
        </is>
      </c>
    </row>
    <row r="45">
      <c r="A45" s="8" t="inlineStr">
        <is>
          <t>Administración/Banco</t>
        </is>
      </c>
      <c r="B45" s="8" t="inlineStr">
        <is>
          <t>Banco egreso no Flexxus</t>
        </is>
      </c>
      <c r="C45" s="8" t="inlineStr">
        <is>
          <t>Anticipo Ganancias Ley 25.413 créditos</t>
        </is>
      </c>
      <c r="D45" s="9" t="n">
        <v>694.77</v>
      </c>
      <c r="E45" s="8" t="inlineStr">
        <is>
          <t>ABIERTO_NUEVO</t>
        </is>
      </c>
      <c r="F45" s="8" t="inlineStr">
        <is>
          <t>Banco / impuesto / gasto</t>
        </is>
      </c>
      <c r="G45" s="8" t="inlineStr">
        <is>
          <t>Copiar en Flexxus: Tipo=MB-EXT | Movimiento=GRAVAMEN LEY 25.413 S/CRED | Monto=694,77 | Fecha: 24/04/2026</t>
        </is>
      </c>
    </row>
    <row r="46">
      <c r="A46" s="8" t="inlineStr">
        <is>
          <t>Administración/Banco</t>
        </is>
      </c>
      <c r="B46" s="8" t="inlineStr">
        <is>
          <t>Banco egreso no Flexxus</t>
        </is>
      </c>
      <c r="C46" s="8" t="inlineStr">
        <is>
          <t>Anticipo Ganancias Ley 25.413 créditos</t>
        </is>
      </c>
      <c r="D46" s="9" t="n">
        <v>501.75</v>
      </c>
      <c r="E46" s="8" t="inlineStr">
        <is>
          <t>ABIERTO_NUEVO</t>
        </is>
      </c>
      <c r="F46" s="8" t="inlineStr">
        <is>
          <t>Banco / impuesto / gasto</t>
        </is>
      </c>
      <c r="G46" s="8" t="inlineStr">
        <is>
          <t>Copiar en Flexxus: Tipo=MB-EXT | Movimiento=GRAVAMEN LEY 25.413 S/CRED | Monto=501,75 | Fecha: 24/04/2026</t>
        </is>
      </c>
    </row>
    <row r="47">
      <c r="A47" s="8" t="inlineStr">
        <is>
          <t>Administración/Banco</t>
        </is>
      </c>
      <c r="B47" s="8" t="inlineStr">
        <is>
          <t>Banco egreso no Flexxus</t>
        </is>
      </c>
      <c r="C47" s="8" t="inlineStr">
        <is>
          <t>Anticipo Ganancias Ley 25.413 créditos</t>
        </is>
      </c>
      <c r="D47" s="9" t="n">
        <v>285.11</v>
      </c>
      <c r="E47" s="8" t="inlineStr">
        <is>
          <t>ABIERTO_NUEVO</t>
        </is>
      </c>
      <c r="F47" s="8" t="inlineStr">
        <is>
          <t>Banco / impuesto / gasto</t>
        </is>
      </c>
      <c r="G47" s="8" t="inlineStr">
        <is>
          <t>Copiar en Flexxus: Tipo=MB-EXT | Movimiento=GRAVAMEN LEY 25.413 S/CRED | Monto=285,11 | Fecha: 24/04/2026</t>
        </is>
      </c>
    </row>
    <row r="48">
      <c r="A48" s="8" t="inlineStr">
        <is>
          <t>Administración/Banco</t>
        </is>
      </c>
      <c r="B48" s="8" t="inlineStr">
        <is>
          <t>Banco egreso no Flexxus</t>
        </is>
      </c>
      <c r="C48" s="8" t="inlineStr">
        <is>
          <t>Anticipo Ganancias Ley 25.413 créditos</t>
        </is>
      </c>
      <c r="D48" s="9" t="n">
        <v>3882.17</v>
      </c>
      <c r="E48" s="8" t="inlineStr">
        <is>
          <t>ABIERTO_NUEVO</t>
        </is>
      </c>
      <c r="F48" s="8" t="inlineStr">
        <is>
          <t>Banco / impuesto / gasto</t>
        </is>
      </c>
      <c r="G48" s="8" t="inlineStr">
        <is>
          <t>Copiar en Flexxus: Tipo=MB-EXT | Movimiento=GRAVAMEN LEY 25.413 S/CRED | Monto=3.882,17 | Fecha: 24/04/2026</t>
        </is>
      </c>
    </row>
    <row r="49">
      <c r="A49" s="8" t="inlineStr">
        <is>
          <t>Administración/Banco</t>
        </is>
      </c>
      <c r="B49" s="8" t="inlineStr">
        <is>
          <t>Banco egreso no Flexxus</t>
        </is>
      </c>
      <c r="C49" s="8" t="inlineStr">
        <is>
          <t>Anticipo Ganancias Ley 25.413 créditos</t>
        </is>
      </c>
      <c r="D49" s="9" t="n">
        <v>719.77</v>
      </c>
      <c r="E49" s="8" t="inlineStr">
        <is>
          <t>ABIERTO_NUEVO</t>
        </is>
      </c>
      <c r="F49" s="8" t="inlineStr">
        <is>
          <t>Banco / impuesto / gasto</t>
        </is>
      </c>
      <c r="G49" s="8" t="inlineStr">
        <is>
          <t>Copiar en Flexxus: Tipo=MB-EXT | Movimiento=GRAVAMEN LEY 25.413 S/CRED | Monto=719,77 | Fecha: 24/04/2026</t>
        </is>
      </c>
    </row>
    <row r="50">
      <c r="A50" s="8" t="inlineStr">
        <is>
          <t>Administración/Banco</t>
        </is>
      </c>
      <c r="B50" s="8" t="inlineStr">
        <is>
          <t>Banco egreso no Flexxus</t>
        </is>
      </c>
      <c r="C50" s="8" t="inlineStr">
        <is>
          <t>Anticipo Ganancias Ley 25.413 créditos</t>
        </is>
      </c>
      <c r="D50" s="9" t="n">
        <v>1817.7</v>
      </c>
      <c r="E50" s="8" t="inlineStr">
        <is>
          <t>ABIERTO_NUEVO</t>
        </is>
      </c>
      <c r="F50" s="8" t="inlineStr">
        <is>
          <t>Banco / impuesto / gasto</t>
        </is>
      </c>
      <c r="G50" s="8" t="inlineStr">
        <is>
          <t>Copiar en Flexxus: Tipo=MB-EXT | Movimiento=GRAVAMEN LEY 25.413 S/CRED | Monto=1.817,70 | Fecha: 24/04/2026</t>
        </is>
      </c>
    </row>
    <row r="51">
      <c r="A51" s="8" t="inlineStr">
        <is>
          <t>Administración/Banco</t>
        </is>
      </c>
      <c r="B51" s="8" t="inlineStr">
        <is>
          <t>Banco egreso no Flexxus</t>
        </is>
      </c>
      <c r="C51" s="8" t="inlineStr">
        <is>
          <t>Anticipo Ganancias Ley 25.413 créditos</t>
        </is>
      </c>
      <c r="D51" s="9" t="n">
        <v>2610.99</v>
      </c>
      <c r="E51" s="8" t="inlineStr">
        <is>
          <t>ABIERTO_NUEVO</t>
        </is>
      </c>
      <c r="F51" s="8" t="inlineStr">
        <is>
          <t>Banco / impuesto / gasto</t>
        </is>
      </c>
      <c r="G51" s="8" t="inlineStr">
        <is>
          <t>Copiar en Flexxus: Tipo=MB-EXT | Movimiento=GRAVAMEN LEY 25.413 S/CRED | Monto=2.610,99 | Fecha: 24/04/2026</t>
        </is>
      </c>
    </row>
    <row r="52">
      <c r="A52" s="8" t="inlineStr">
        <is>
          <t>Administración/Banco</t>
        </is>
      </c>
      <c r="B52" s="8" t="inlineStr">
        <is>
          <t>Banco egreso no Flexxus</t>
        </is>
      </c>
      <c r="C52" s="8" t="inlineStr">
        <is>
          <t>Anticipo Ganancias Ley 25.413 créditos</t>
        </is>
      </c>
      <c r="D52" s="9" t="n">
        <v>45.19</v>
      </c>
      <c r="E52" s="8" t="inlineStr">
        <is>
          <t>ABIERTO_NUEVO</t>
        </is>
      </c>
      <c r="F52" s="8" t="inlineStr">
        <is>
          <t>Banco / impuesto / gasto</t>
        </is>
      </c>
      <c r="G52" s="8" t="inlineStr">
        <is>
          <t>Copiar en Flexxus: Tipo=MB-EXT | Movimiento=GRAVAMEN LEY 25.413 S/CRED | Monto=45,19 | Fecha: 24/04/2026</t>
        </is>
      </c>
    </row>
    <row r="53">
      <c r="A53" s="8" t="inlineStr">
        <is>
          <t>Administración/Banco</t>
        </is>
      </c>
      <c r="B53" s="8" t="inlineStr">
        <is>
          <t>Banco egreso no Flexxus</t>
        </is>
      </c>
      <c r="C53" s="8" t="inlineStr">
        <is>
          <t>Anticipo Ganancias Ley 25.413 créditos</t>
        </is>
      </c>
      <c r="D53" s="9" t="n">
        <v>247.1</v>
      </c>
      <c r="E53" s="8" t="inlineStr">
        <is>
          <t>ABIERTO_NUEVO</t>
        </is>
      </c>
      <c r="F53" s="8" t="inlineStr">
        <is>
          <t>Banco / impuesto / gasto</t>
        </is>
      </c>
      <c r="G53" s="8" t="inlineStr">
        <is>
          <t>Copiar en Flexxus: Tipo=MB-EXT | Movimiento=GRAVAMEN LEY 25.413 S/CRED | Monto=247,10 | Fecha: 24/04/2026</t>
        </is>
      </c>
    </row>
    <row r="54">
      <c r="A54" s="8" t="inlineStr">
        <is>
          <t>Administración/Banco</t>
        </is>
      </c>
      <c r="B54" s="8" t="inlineStr">
        <is>
          <t>Banco egreso no Flexxus</t>
        </is>
      </c>
      <c r="C54" s="8" t="inlineStr">
        <is>
          <t>Anticipo Ganancias Ley 25.413 créditos</t>
        </is>
      </c>
      <c r="D54" s="9" t="n">
        <v>725.63</v>
      </c>
      <c r="E54" s="8" t="inlineStr">
        <is>
          <t>ABIERTO_NUEVO</t>
        </is>
      </c>
      <c r="F54" s="8" t="inlineStr">
        <is>
          <t>Banco / impuesto / gasto</t>
        </is>
      </c>
      <c r="G54" s="8" t="inlineStr">
        <is>
          <t>Copiar en Flexxus: Tipo=MB-EXT | Movimiento=GRAVAMEN LEY 25.413 S/CRED | Monto=725,63 | Fecha: 24/04/2026</t>
        </is>
      </c>
    </row>
    <row r="55">
      <c r="A55" s="8" t="inlineStr">
        <is>
          <t>Administración/Banco</t>
        </is>
      </c>
      <c r="B55" s="8" t="inlineStr">
        <is>
          <t>Banco egreso no Flexxus</t>
        </is>
      </c>
      <c r="C55" s="8" t="inlineStr">
        <is>
          <t>Anticipo Ganancias Ley 25.413 créditos</t>
        </is>
      </c>
      <c r="D55" s="9" t="n">
        <v>547.61</v>
      </c>
      <c r="E55" s="8" t="inlineStr">
        <is>
          <t>ABIERTO_NUEVO</t>
        </is>
      </c>
      <c r="F55" s="8" t="inlineStr">
        <is>
          <t>Banco / impuesto / gasto</t>
        </is>
      </c>
      <c r="G55" s="8" t="inlineStr">
        <is>
          <t>Copiar en Flexxus: Tipo=MB-EXT | Movimiento=GRAVAMEN LEY 25.413 S/CRED | Monto=547,61 | Fecha: 24/04/2026</t>
        </is>
      </c>
    </row>
    <row r="56">
      <c r="A56" s="8" t="inlineStr">
        <is>
          <t>Administración/Banco</t>
        </is>
      </c>
      <c r="B56" s="8" t="inlineStr">
        <is>
          <t>Banco egreso no Flexxus</t>
        </is>
      </c>
      <c r="C56" s="8" t="inlineStr">
        <is>
          <t>Anticipo Ganancias Ley 25.413 créditos</t>
        </is>
      </c>
      <c r="D56" s="9" t="n">
        <v>712.34</v>
      </c>
      <c r="E56" s="8" t="inlineStr">
        <is>
          <t>ABIERTO_NUEVO</t>
        </is>
      </c>
      <c r="F56" s="8" t="inlineStr">
        <is>
          <t>Banco / impuesto / gasto</t>
        </is>
      </c>
      <c r="G56" s="8" t="inlineStr">
        <is>
          <t>Copiar en Flexxus: Tipo=MB-EXT | Movimiento=GRAVAMEN LEY 25.413 S/CRED | Monto=712,34 | Fecha: 24/04/2026</t>
        </is>
      </c>
    </row>
    <row r="57">
      <c r="A57" s="8" t="inlineStr">
        <is>
          <t>Administración/Banco</t>
        </is>
      </c>
      <c r="B57" s="8" t="inlineStr">
        <is>
          <t>Banco egreso no Flexxus</t>
        </is>
      </c>
      <c r="C57" s="8" t="inlineStr">
        <is>
          <t>Anticipo Ganancias Ley 25.413 créditos</t>
        </is>
      </c>
      <c r="D57" s="9" t="n">
        <v>798.37</v>
      </c>
      <c r="E57" s="8" t="inlineStr">
        <is>
          <t>ABIERTO_NUEVO</t>
        </is>
      </c>
      <c r="F57" s="8" t="inlineStr">
        <is>
          <t>Banco / impuesto / gasto</t>
        </is>
      </c>
      <c r="G57" s="8" t="inlineStr">
        <is>
          <t>Copiar en Flexxus: Tipo=MB-EXT | Movimiento=GRAVAMEN LEY 25.413 S/CRED | Monto=798,37 | Fecha: 24/04/2026</t>
        </is>
      </c>
    </row>
    <row r="58">
      <c r="A58" s="8" t="inlineStr">
        <is>
          <t>Administración/Banco</t>
        </is>
      </c>
      <c r="B58" s="8" t="inlineStr">
        <is>
          <t>Banco egreso no Flexxus</t>
        </is>
      </c>
      <c r="C58" s="8" t="inlineStr">
        <is>
          <t>Anticipo Ganancias Ley 25.413 créditos</t>
        </is>
      </c>
      <c r="D58" s="9" t="n">
        <v>364.48</v>
      </c>
      <c r="E58" s="8" t="inlineStr">
        <is>
          <t>ABIERTO_NUEVO</t>
        </is>
      </c>
      <c r="F58" s="8" t="inlineStr">
        <is>
          <t>Banco / impuesto / gasto</t>
        </is>
      </c>
      <c r="G58" s="8" t="inlineStr">
        <is>
          <t>Copiar en Flexxus: Tipo=MB-EXT | Movimiento=GRAVAMEN LEY 25.413 S/CRED | Monto=364,48 | Fecha: 24/04/2026</t>
        </is>
      </c>
    </row>
    <row r="59">
      <c r="A59" s="8" t="inlineStr">
        <is>
          <t>Administración/Banco</t>
        </is>
      </c>
      <c r="B59" s="8" t="inlineStr">
        <is>
          <t>Banco egreso no Flexxus</t>
        </is>
      </c>
      <c r="C59" s="8" t="inlineStr">
        <is>
          <t>Anticipo Ganancias Ley 25.413 créditos</t>
        </is>
      </c>
      <c r="D59" s="9" t="n">
        <v>126.78</v>
      </c>
      <c r="E59" s="8" t="inlineStr">
        <is>
          <t>ABIERTO_NUEVO</t>
        </is>
      </c>
      <c r="F59" s="8" t="inlineStr">
        <is>
          <t>Banco / impuesto / gasto</t>
        </is>
      </c>
      <c r="G59" s="8" t="inlineStr">
        <is>
          <t>Copiar en Flexxus: Tipo=MB-EXT | Movimiento=GRAVAMEN LEY 25.413 S/CRED | Monto=126,78 | Fecha: 24/04/2026</t>
        </is>
      </c>
    </row>
    <row r="60">
      <c r="A60" s="8" t="inlineStr">
        <is>
          <t>Administración/Banco</t>
        </is>
      </c>
      <c r="B60" s="8" t="inlineStr">
        <is>
          <t>Banco egreso no Flexxus</t>
        </is>
      </c>
      <c r="C60" s="8" t="inlineStr">
        <is>
          <t>Anticipo Ganancias Ley 25.413 créditos</t>
        </is>
      </c>
      <c r="D60" s="9" t="n">
        <v>136.66</v>
      </c>
      <c r="E60" s="8" t="inlineStr">
        <is>
          <t>ABIERTO_NUEVO</t>
        </is>
      </c>
      <c r="F60" s="8" t="inlineStr">
        <is>
          <t>Banco / impuesto / gasto</t>
        </is>
      </c>
      <c r="G60" s="8" t="inlineStr">
        <is>
          <t>Copiar en Flexxus: Tipo=MB-EXT | Movimiento=GRAVAMEN LEY 25.413 S/CRED | Monto=136,66 | Fecha: 24/04/2026</t>
        </is>
      </c>
    </row>
    <row r="61">
      <c r="A61" s="8" t="inlineStr">
        <is>
          <t>Administración/Banco</t>
        </is>
      </c>
      <c r="B61" s="8" t="inlineStr">
        <is>
          <t>Banco egreso no Flexxus</t>
        </is>
      </c>
      <c r="C61" s="8" t="inlineStr">
        <is>
          <t>Anticipo Ganancias Ley 25.413 créditos</t>
        </is>
      </c>
      <c r="D61" s="9" t="n">
        <v>199.09</v>
      </c>
      <c r="E61" s="8" t="inlineStr">
        <is>
          <t>ABIERTO_NUEVO</t>
        </is>
      </c>
      <c r="F61" s="8" t="inlineStr">
        <is>
          <t>Banco / impuesto / gasto</t>
        </is>
      </c>
      <c r="G61" s="8" t="inlineStr">
        <is>
          <t>Copiar en Flexxus: Tipo=MB-EXT | Movimiento=GRAVAMEN LEY 25.413 S/CRED | Monto=199,09 | Fecha: 24/04/2026</t>
        </is>
      </c>
    </row>
    <row r="62">
      <c r="A62" s="8" t="inlineStr">
        <is>
          <t>Administración/Banco</t>
        </is>
      </c>
      <c r="B62" s="8" t="inlineStr">
        <is>
          <t>Banco egreso no Flexxus</t>
        </is>
      </c>
      <c r="C62" s="8" t="inlineStr">
        <is>
          <t>Anticipo Ganancias Ley 25.413 créditos</t>
        </is>
      </c>
      <c r="D62" s="9" t="n">
        <v>168.75</v>
      </c>
      <c r="E62" s="8" t="inlineStr">
        <is>
          <t>ABIERTO_NUEVO</t>
        </is>
      </c>
      <c r="F62" s="8" t="inlineStr">
        <is>
          <t>Banco / impuesto / gasto</t>
        </is>
      </c>
      <c r="G62" s="8" t="inlineStr">
        <is>
          <t>Copiar en Flexxus: Tipo=MB-EXT | Movimiento=GRAVAMEN LEY 25.413 S/CRED | Monto=168,75 | Fecha: 24/04/2026</t>
        </is>
      </c>
    </row>
    <row r="63">
      <c r="A63" s="8" t="inlineStr">
        <is>
          <t>Administración/Banco</t>
        </is>
      </c>
      <c r="B63" s="8" t="inlineStr">
        <is>
          <t>Banco egreso no Flexxus</t>
        </is>
      </c>
      <c r="C63" s="8" t="inlineStr">
        <is>
          <t>Anticipo Ganancias Ley 25.413 créditos</t>
        </is>
      </c>
      <c r="D63" s="9" t="n">
        <v>192.52</v>
      </c>
      <c r="E63" s="8" t="inlineStr">
        <is>
          <t>ABIERTO_NUEVO</t>
        </is>
      </c>
      <c r="F63" s="8" t="inlineStr">
        <is>
          <t>Banco / impuesto / gasto</t>
        </is>
      </c>
      <c r="G63" s="8" t="inlineStr">
        <is>
          <t>Copiar en Flexxus: Tipo=MB-EXT | Movimiento=GRAVAMEN LEY 25.413 S/CRED | Monto=192,52 | Fecha: 24/04/2026</t>
        </is>
      </c>
    </row>
    <row r="64">
      <c r="A64" s="8" t="inlineStr">
        <is>
          <t>Administración/Banco</t>
        </is>
      </c>
      <c r="B64" s="8" t="inlineStr">
        <is>
          <t>Banco egreso no Flexxus</t>
        </is>
      </c>
      <c r="C64" s="8" t="inlineStr">
        <is>
          <t>Anticipo Ganancias Ley 25.413 créditos</t>
        </is>
      </c>
      <c r="D64" s="9" t="n">
        <v>68.93000000000001</v>
      </c>
      <c r="E64" s="8" t="inlineStr">
        <is>
          <t>ABIERTO_NUEVO</t>
        </is>
      </c>
      <c r="F64" s="8" t="inlineStr">
        <is>
          <t>Banco / impuesto / gasto</t>
        </is>
      </c>
      <c r="G64" s="8" t="inlineStr">
        <is>
          <t>Copiar en Flexxus: Tipo=MB-EXT | Movimiento=GRAVAMEN LEY 25.413 S/CRED | Monto=68,93 | Fecha: 24/04/2026</t>
        </is>
      </c>
    </row>
    <row r="65">
      <c r="A65" s="8" t="inlineStr">
        <is>
          <t>Administración/Banco</t>
        </is>
      </c>
      <c r="B65" s="8" t="inlineStr">
        <is>
          <t>Banco egreso no Flexxus</t>
        </is>
      </c>
      <c r="C65" s="8" t="inlineStr">
        <is>
          <t>Anticipo Ganancias Ley 25.413 créditos</t>
        </is>
      </c>
      <c r="D65" s="9" t="n">
        <v>443.27</v>
      </c>
      <c r="E65" s="8" t="inlineStr">
        <is>
          <t>ABIERTO_NUEVO</t>
        </is>
      </c>
      <c r="F65" s="8" t="inlineStr">
        <is>
          <t>Banco / impuesto / gasto</t>
        </is>
      </c>
      <c r="G65" s="8" t="inlineStr">
        <is>
          <t>Copiar en Flexxus: Tipo=MB-EXT | Movimiento=GRAVAMEN LEY 25.413 S/CRED | Monto=443,27 | Fecha: 23/04/2026</t>
        </is>
      </c>
    </row>
    <row r="66">
      <c r="A66" s="8" t="inlineStr">
        <is>
          <t>Administración/Banco</t>
        </is>
      </c>
      <c r="B66" s="8" t="inlineStr">
        <is>
          <t>Banco egreso no Flexxus</t>
        </is>
      </c>
      <c r="C66" s="8" t="inlineStr">
        <is>
          <t>Anticipo Ganancias Ley 25.413 créditos</t>
        </is>
      </c>
      <c r="D66" s="9" t="n">
        <v>53.48</v>
      </c>
      <c r="E66" s="8" t="inlineStr">
        <is>
          <t>ABIERTO_NUEVO</t>
        </is>
      </c>
      <c r="F66" s="8" t="inlineStr">
        <is>
          <t>Banco / impuesto / gasto</t>
        </is>
      </c>
      <c r="G66" s="8" t="inlineStr">
        <is>
          <t>Copiar en Flexxus: Tipo=MB-EXT | Movimiento=GRAVAMEN LEY 25.413 S/CRED | Monto=53,48 | Fecha: 23/04/2026</t>
        </is>
      </c>
    </row>
    <row r="67">
      <c r="A67" s="8" t="inlineStr">
        <is>
          <t>Administración/Banco</t>
        </is>
      </c>
      <c r="B67" s="8" t="inlineStr">
        <is>
          <t>Banco egreso no Flexxus</t>
        </is>
      </c>
      <c r="C67" s="8" t="inlineStr">
        <is>
          <t>Anticipo Ganancias Ley 25.413 créditos</t>
        </is>
      </c>
      <c r="D67" s="9" t="n">
        <v>68.33</v>
      </c>
      <c r="E67" s="8" t="inlineStr">
        <is>
          <t>ABIERTO_NUEVO</t>
        </is>
      </c>
      <c r="F67" s="8" t="inlineStr">
        <is>
          <t>Banco / impuesto / gasto</t>
        </is>
      </c>
      <c r="G67" s="8" t="inlineStr">
        <is>
          <t>Copiar en Flexxus: Tipo=MB-EXT | Movimiento=GRAVAMEN LEY 25.413 S/CRED | Monto=68,33 | Fecha: 23/04/2026</t>
        </is>
      </c>
    </row>
    <row r="68">
      <c r="A68" s="8" t="inlineStr">
        <is>
          <t>Administración/Banco</t>
        </is>
      </c>
      <c r="B68" s="8" t="inlineStr">
        <is>
          <t>Banco egreso no Flexxus</t>
        </is>
      </c>
      <c r="C68" s="8" t="inlineStr">
        <is>
          <t>Anticipo Ganancias Ley 25.413 créditos</t>
        </is>
      </c>
      <c r="D68" s="9" t="n">
        <v>297.1</v>
      </c>
      <c r="E68" s="8" t="inlineStr">
        <is>
          <t>ABIERTO_NUEVO</t>
        </is>
      </c>
      <c r="F68" s="8" t="inlineStr">
        <is>
          <t>Banco / impuesto / gasto</t>
        </is>
      </c>
      <c r="G68" s="8" t="inlineStr">
        <is>
          <t>Copiar en Flexxus: Tipo=MB-EXT | Movimiento=GRAVAMEN LEY 25.413 S/CRED | Monto=297,10 | Fecha: 23/04/2026</t>
        </is>
      </c>
    </row>
    <row r="69">
      <c r="A69" s="8" t="inlineStr">
        <is>
          <t>Administración/Banco</t>
        </is>
      </c>
      <c r="B69" s="8" t="inlineStr">
        <is>
          <t>Banco egreso no Flexxus</t>
        </is>
      </c>
      <c r="C69" s="8" t="inlineStr">
        <is>
          <t>Anticipo Ganancias Ley 25.413 créditos</t>
        </is>
      </c>
      <c r="D69" s="9" t="n">
        <v>377.91</v>
      </c>
      <c r="E69" s="8" t="inlineStr">
        <is>
          <t>ABIERTO_NUEVO</t>
        </is>
      </c>
      <c r="F69" s="8" t="inlineStr">
        <is>
          <t>Banco / impuesto / gasto</t>
        </is>
      </c>
      <c r="G69" s="8" t="inlineStr">
        <is>
          <t>Copiar en Flexxus: Tipo=MB-EXT | Movimiento=GRAVAMEN LEY 25.413 S/CRED | Monto=377,91 | Fecha: 23/04/2026</t>
        </is>
      </c>
    </row>
    <row r="70">
      <c r="A70" s="8" t="inlineStr">
        <is>
          <t>Administración/Banco</t>
        </is>
      </c>
      <c r="B70" s="8" t="inlineStr">
        <is>
          <t>Banco egreso no Flexxus</t>
        </is>
      </c>
      <c r="C70" s="8" t="inlineStr">
        <is>
          <t>Anticipo Ganancias Ley 25.413 créditos</t>
        </is>
      </c>
      <c r="D70" s="9" t="n">
        <v>106.69</v>
      </c>
      <c r="E70" s="8" t="inlineStr">
        <is>
          <t>ABIERTO_NUEVO</t>
        </is>
      </c>
      <c r="F70" s="8" t="inlineStr">
        <is>
          <t>Banco / impuesto / gasto</t>
        </is>
      </c>
      <c r="G70" s="8" t="inlineStr">
        <is>
          <t>Copiar en Flexxus: Tipo=MB-EXT | Movimiento=GRAVAMEN LEY 25.413 S/CRED | Monto=106,69 | Fecha: 23/04/2026</t>
        </is>
      </c>
    </row>
    <row r="71">
      <c r="A71" s="8" t="inlineStr">
        <is>
          <t>Administración/Banco</t>
        </is>
      </c>
      <c r="B71" s="8" t="inlineStr">
        <is>
          <t>Banco egreso no Flexxus</t>
        </is>
      </c>
      <c r="C71" s="8" t="inlineStr">
        <is>
          <t>Anticipo Ganancias Ley 25.413 créditos</t>
        </is>
      </c>
      <c r="D71" s="9" t="n">
        <v>1729.09</v>
      </c>
      <c r="E71" s="8" t="inlineStr">
        <is>
          <t>ABIERTO_NUEVO</t>
        </is>
      </c>
      <c r="F71" s="8" t="inlineStr">
        <is>
          <t>Banco / impuesto / gasto</t>
        </is>
      </c>
      <c r="G71" s="8" t="inlineStr">
        <is>
          <t>Copiar en Flexxus: Tipo=MB-EXT | Movimiento=GRAVAMEN LEY 25.413 S/CRED | Monto=1.729,09 | Fecha: 23/04/2026</t>
        </is>
      </c>
    </row>
    <row r="72">
      <c r="A72" s="8" t="inlineStr">
        <is>
          <t>Administración/Banco</t>
        </is>
      </c>
      <c r="B72" s="8" t="inlineStr">
        <is>
          <t>Banco egreso no Flexxus</t>
        </is>
      </c>
      <c r="C72" s="8" t="inlineStr">
        <is>
          <t>Anticipo Ganancias Ley 25.413 créditos</t>
        </is>
      </c>
      <c r="D72" s="9" t="n">
        <v>241.84</v>
      </c>
      <c r="E72" s="8" t="inlineStr">
        <is>
          <t>ABIERTO_NUEVO</t>
        </is>
      </c>
      <c r="F72" s="8" t="inlineStr">
        <is>
          <t>Banco / impuesto / gasto</t>
        </is>
      </c>
      <c r="G72" s="8" t="inlineStr">
        <is>
          <t>Copiar en Flexxus: Tipo=MB-EXT | Movimiento=GRAVAMEN LEY 25.413 S/CRED | Monto=241,84 | Fecha: 23/04/2026</t>
        </is>
      </c>
    </row>
    <row r="73">
      <c r="A73" s="8" t="inlineStr">
        <is>
          <t>Administración/Banco</t>
        </is>
      </c>
      <c r="B73" s="8" t="inlineStr">
        <is>
          <t>Banco egreso no Flexxus</t>
        </is>
      </c>
      <c r="C73" s="8" t="inlineStr">
        <is>
          <t>Anticipo Ganancias Ley 25.413 créditos</t>
        </is>
      </c>
      <c r="D73" s="9" t="n">
        <v>200.94</v>
      </c>
      <c r="E73" s="8" t="inlineStr">
        <is>
          <t>ABIERTO_NUEVO</t>
        </is>
      </c>
      <c r="F73" s="8" t="inlineStr">
        <is>
          <t>Banco / impuesto / gasto</t>
        </is>
      </c>
      <c r="G73" s="8" t="inlineStr">
        <is>
          <t>Copiar en Flexxus: Tipo=MB-EXT | Movimiento=GRAVAMEN LEY 25.413 S/CRED | Monto=200,94 | Fecha: 23/04/2026</t>
        </is>
      </c>
    </row>
    <row r="74">
      <c r="A74" s="8" t="inlineStr">
        <is>
          <t>Administración/Banco</t>
        </is>
      </c>
      <c r="B74" s="8" t="inlineStr">
        <is>
          <t>Banco egreso no Flexxus</t>
        </is>
      </c>
      <c r="C74" s="8" t="inlineStr">
        <is>
          <t>Anticipo Ganancias Ley 25.413 créditos</t>
        </is>
      </c>
      <c r="D74" s="9" t="n">
        <v>148.19</v>
      </c>
      <c r="E74" s="8" t="inlineStr">
        <is>
          <t>ABIERTO_NUEVO</t>
        </is>
      </c>
      <c r="F74" s="8" t="inlineStr">
        <is>
          <t>Banco / impuesto / gasto</t>
        </is>
      </c>
      <c r="G74" s="8" t="inlineStr">
        <is>
          <t>Copiar en Flexxus: Tipo=MB-EXT | Movimiento=GRAVAMEN LEY 25.413 S/CRED | Monto=148,19 | Fecha: 23/04/2026</t>
        </is>
      </c>
    </row>
    <row r="75">
      <c r="A75" s="8" t="inlineStr">
        <is>
          <t>Administración/Banco</t>
        </is>
      </c>
      <c r="B75" s="8" t="inlineStr">
        <is>
          <t>Banco egreso no Flexxus</t>
        </is>
      </c>
      <c r="C75" s="8" t="inlineStr">
        <is>
          <t>Anticipo Ganancias Ley 25.413 créditos</t>
        </is>
      </c>
      <c r="D75" s="9" t="n">
        <v>496.72</v>
      </c>
      <c r="E75" s="8" t="inlineStr">
        <is>
          <t>ABIERTO_NUEVO</t>
        </is>
      </c>
      <c r="F75" s="8" t="inlineStr">
        <is>
          <t>Banco / impuesto / gasto</t>
        </is>
      </c>
      <c r="G75" s="8" t="inlineStr">
        <is>
          <t>Copiar en Flexxus: Tipo=MB-EXT | Movimiento=GRAVAMEN LEY 25.413 S/CRED | Monto=496,72 | Fecha: 23/04/2026</t>
        </is>
      </c>
    </row>
    <row r="76">
      <c r="A76" s="8" t="inlineStr">
        <is>
          <t>Administración/Banco</t>
        </is>
      </c>
      <c r="B76" s="8" t="inlineStr">
        <is>
          <t>Banco egreso no Flexxus</t>
        </is>
      </c>
      <c r="C76" s="8" t="inlineStr">
        <is>
          <t>Anticipo Ganancias Ley 25.413 créditos</t>
        </is>
      </c>
      <c r="D76" s="9" t="n">
        <v>272.66</v>
      </c>
      <c r="E76" s="8" t="inlineStr">
        <is>
          <t>ABIERTO_NUEVO</t>
        </is>
      </c>
      <c r="F76" s="8" t="inlineStr">
        <is>
          <t>Banco / impuesto / gasto</t>
        </is>
      </c>
      <c r="G76" s="8" t="inlineStr">
        <is>
          <t>Copiar en Flexxus: Tipo=MB-EXT | Movimiento=GRAVAMEN LEY 25.413 S/CRED | Monto=272,66 | Fecha: 23/04/2026</t>
        </is>
      </c>
    </row>
    <row r="77">
      <c r="A77" s="8" t="inlineStr">
        <is>
          <t>Administración/Banco</t>
        </is>
      </c>
      <c r="B77" s="8" t="inlineStr">
        <is>
          <t>Banco egreso no Flexxus</t>
        </is>
      </c>
      <c r="C77" s="8" t="inlineStr">
        <is>
          <t>Anticipo Ganancias Ley 25.413 créditos</t>
        </is>
      </c>
      <c r="D77" s="9" t="n">
        <v>286.29</v>
      </c>
      <c r="E77" s="8" t="inlineStr">
        <is>
          <t>ABIERTO_NUEVO</t>
        </is>
      </c>
      <c r="F77" s="8" t="inlineStr">
        <is>
          <t>Banco / impuesto / gasto</t>
        </is>
      </c>
      <c r="G77" s="8" t="inlineStr">
        <is>
          <t>Copiar en Flexxus: Tipo=MB-EXT | Movimiento=GRAVAMEN LEY 25.413 S/CRED | Monto=286,29 | Fecha: 23/04/2026</t>
        </is>
      </c>
    </row>
    <row r="78">
      <c r="A78" s="8" t="inlineStr">
        <is>
          <t>Administración/Banco</t>
        </is>
      </c>
      <c r="B78" s="8" t="inlineStr">
        <is>
          <t>Banco egreso no Flexxus</t>
        </is>
      </c>
      <c r="C78" s="8" t="inlineStr">
        <is>
          <t>Anticipo Ganancias Ley 25.413 créditos</t>
        </is>
      </c>
      <c r="D78" s="9" t="n">
        <v>89.13</v>
      </c>
      <c r="E78" s="8" t="inlineStr">
        <is>
          <t>ABIERTO_NUEVO</t>
        </is>
      </c>
      <c r="F78" s="8" t="inlineStr">
        <is>
          <t>Banco / impuesto / gasto</t>
        </is>
      </c>
      <c r="G78" s="8" t="inlineStr">
        <is>
          <t>Copiar en Flexxus: Tipo=MB-EXT | Movimiento=GRAVAMEN LEY 25.413 S/CRED | Monto=89,13 | Fecha: 23/04/2026</t>
        </is>
      </c>
    </row>
    <row r="79">
      <c r="A79" s="8" t="inlineStr">
        <is>
          <t>Administración/Banco</t>
        </is>
      </c>
      <c r="B79" s="8" t="inlineStr">
        <is>
          <t>Banco egreso no Flexxus</t>
        </is>
      </c>
      <c r="C79" s="8" t="inlineStr">
        <is>
          <t>Anticipo Ganancias Ley 25.413 créditos</t>
        </is>
      </c>
      <c r="D79" s="9" t="n">
        <v>280.37</v>
      </c>
      <c r="E79" s="8" t="inlineStr">
        <is>
          <t>ABIERTO_NUEVO</t>
        </is>
      </c>
      <c r="F79" s="8" t="inlineStr">
        <is>
          <t>Banco / impuesto / gasto</t>
        </is>
      </c>
      <c r="G79" s="8" t="inlineStr">
        <is>
          <t>Copiar en Flexxus: Tipo=MB-EXT | Movimiento=GRAVAMEN LEY 25.413 S/CRED | Monto=280,37 | Fecha: 23/04/2026</t>
        </is>
      </c>
    </row>
    <row r="80">
      <c r="A80" s="8" t="inlineStr">
        <is>
          <t>Administración/Banco</t>
        </is>
      </c>
      <c r="B80" s="8" t="inlineStr">
        <is>
          <t>Banco egreso no Flexxus</t>
        </is>
      </c>
      <c r="C80" s="8" t="inlineStr">
        <is>
          <t>Anticipo Ganancias Ley 25.413 créditos</t>
        </is>
      </c>
      <c r="D80" s="9" t="n">
        <v>180.79</v>
      </c>
      <c r="E80" s="8" t="inlineStr">
        <is>
          <t>ABIERTO_NUEVO</t>
        </is>
      </c>
      <c r="F80" s="8" t="inlineStr">
        <is>
          <t>Banco / impuesto / gasto</t>
        </is>
      </c>
      <c r="G80" s="8" t="inlineStr">
        <is>
          <t>Copiar en Flexxus: Tipo=MB-EXT | Movimiento=GRAVAMEN LEY 25.413 S/CRED | Monto=180,79 | Fecha: 23/04/2026</t>
        </is>
      </c>
    </row>
    <row r="81">
      <c r="A81" s="8" t="inlineStr">
        <is>
          <t>Administración/Banco</t>
        </is>
      </c>
      <c r="B81" s="8" t="inlineStr">
        <is>
          <t>Banco egreso no Flexxus</t>
        </is>
      </c>
      <c r="C81" s="8" t="inlineStr">
        <is>
          <t>Anticipo Ganancias Ley 25.413 créditos</t>
        </is>
      </c>
      <c r="D81" s="9" t="n">
        <v>136.33</v>
      </c>
      <c r="E81" s="8" t="inlineStr">
        <is>
          <t>ABIERTO_NUEVO</t>
        </is>
      </c>
      <c r="F81" s="8" t="inlineStr">
        <is>
          <t>Banco / impuesto / gasto</t>
        </is>
      </c>
      <c r="G81" s="8" t="inlineStr">
        <is>
          <t>Copiar en Flexxus: Tipo=MB-EXT | Movimiento=GRAVAMEN LEY 25.413 S/CRED | Monto=136,33 | Fecha: 23/04/2026</t>
        </is>
      </c>
    </row>
    <row r="82">
      <c r="A82" s="8" t="inlineStr">
        <is>
          <t>Administración/Banco</t>
        </is>
      </c>
      <c r="B82" s="8" t="inlineStr">
        <is>
          <t>Banco egreso no Flexxus</t>
        </is>
      </c>
      <c r="C82" s="8" t="inlineStr">
        <is>
          <t>Anticipo Ganancias Ley 25.413 créditos</t>
        </is>
      </c>
      <c r="D82" s="9" t="n">
        <v>14962.76</v>
      </c>
      <c r="E82" s="8" t="inlineStr">
        <is>
          <t>ABIERTO_NUEVO</t>
        </is>
      </c>
      <c r="F82" s="8" t="inlineStr">
        <is>
          <t>Banco / impuesto / gasto</t>
        </is>
      </c>
      <c r="G82" s="8" t="inlineStr">
        <is>
          <t>Copiar en Flexxus: Tipo=MB-EXT | Movimiento=GRAVAMEN LEY 25.413 S/CRED | Monto=14.962,76 | Fecha: 23/04/2026</t>
        </is>
      </c>
    </row>
    <row r="83">
      <c r="A83" s="8" t="inlineStr">
        <is>
          <t>Administración/Banco</t>
        </is>
      </c>
      <c r="B83" s="8" t="inlineStr">
        <is>
          <t>Banco egreso no Flexxus</t>
        </is>
      </c>
      <c r="C83" s="8" t="inlineStr">
        <is>
          <t>Anticipo Ganancias Ley 25.413 créditos</t>
        </is>
      </c>
      <c r="D83" s="9" t="n">
        <v>1737.53</v>
      </c>
      <c r="E83" s="8" t="inlineStr">
        <is>
          <t>ABIERTO_NUEVO</t>
        </is>
      </c>
      <c r="F83" s="8" t="inlineStr">
        <is>
          <t>Banco / impuesto / gasto</t>
        </is>
      </c>
      <c r="G83" s="8" t="inlineStr">
        <is>
          <t>Copiar en Flexxus: Tipo=MB-EXT | Movimiento=GRAVAMEN LEY 25.413 S/CRED | Monto=1.737,53 | Fecha: 23/04/2026</t>
        </is>
      </c>
    </row>
    <row r="84">
      <c r="A84" s="8" t="inlineStr">
        <is>
          <t>Administración/Banco</t>
        </is>
      </c>
      <c r="B84" s="8" t="inlineStr">
        <is>
          <t>Banco egreso no Flexxus</t>
        </is>
      </c>
      <c r="C84" s="8" t="inlineStr">
        <is>
          <t>Anticipo Ganancias Ley 25.413 créditos</t>
        </is>
      </c>
      <c r="D84" s="9" t="n">
        <v>13291.83</v>
      </c>
      <c r="E84" s="8" t="inlineStr">
        <is>
          <t>ABIERTO_NUEVO</t>
        </is>
      </c>
      <c r="F84" s="8" t="inlineStr">
        <is>
          <t>Banco / impuesto / gasto</t>
        </is>
      </c>
      <c r="G84" s="8" t="inlineStr">
        <is>
          <t>Copiar en Flexxus: Tipo=MB-EXT | Movimiento=GRAVAMEN LEY 25.413 S/CRED | Monto=13.291,83 | Fecha: 23/04/2026</t>
        </is>
      </c>
    </row>
    <row r="85">
      <c r="A85" s="8" t="inlineStr">
        <is>
          <t>Administración/Banco</t>
        </is>
      </c>
      <c r="B85" s="8" t="inlineStr">
        <is>
          <t>Banco egreso no Flexxus</t>
        </is>
      </c>
      <c r="C85" s="8" t="inlineStr">
        <is>
          <t>Anticipo Ganancias Ley 25.413 créditos</t>
        </is>
      </c>
      <c r="D85" s="9" t="n">
        <v>431.4</v>
      </c>
      <c r="E85" s="8" t="inlineStr">
        <is>
          <t>ABIERTO_NUEVO</t>
        </is>
      </c>
      <c r="F85" s="8" t="inlineStr">
        <is>
          <t>Banco / impuesto / gasto</t>
        </is>
      </c>
      <c r="G85" s="8" t="inlineStr">
        <is>
          <t>Copiar en Flexxus: Tipo=MB-EXT | Movimiento=GRAVAMEN LEY 25.413 S/CRED | Monto=431,40 | Fecha: 23/04/2026</t>
        </is>
      </c>
    </row>
    <row r="86">
      <c r="A86" s="8" t="inlineStr">
        <is>
          <t>Administración/Banco</t>
        </is>
      </c>
      <c r="B86" s="8" t="inlineStr">
        <is>
          <t>Banco egreso no Flexxus</t>
        </is>
      </c>
      <c r="C86" s="8" t="inlineStr">
        <is>
          <t>Anticipo Ganancias Ley 25.413 créditos</t>
        </is>
      </c>
      <c r="D86" s="9" t="n">
        <v>2741.22</v>
      </c>
      <c r="E86" s="8" t="inlineStr">
        <is>
          <t>ABIERTO_NUEVO</t>
        </is>
      </c>
      <c r="F86" s="8" t="inlineStr">
        <is>
          <t>Banco / impuesto / gasto</t>
        </is>
      </c>
      <c r="G86" s="8" t="inlineStr">
        <is>
          <t>Copiar en Flexxus: Tipo=MB-EXT | Movimiento=GRAVAMEN LEY 25.413 S/CRED | Monto=2.741,22 | Fecha: 23/04/2026</t>
        </is>
      </c>
    </row>
    <row r="87">
      <c r="A87" s="8" t="inlineStr">
        <is>
          <t>Administración/Banco</t>
        </is>
      </c>
      <c r="B87" s="8" t="inlineStr">
        <is>
          <t>Banco egreso no Flexxus</t>
        </is>
      </c>
      <c r="C87" s="8" t="inlineStr">
        <is>
          <t>Anticipo Ganancias Ley 25.413 créditos</t>
        </is>
      </c>
      <c r="D87" s="9" t="n">
        <v>620.03</v>
      </c>
      <c r="E87" s="8" t="inlineStr">
        <is>
          <t>ABIERTO_NUEVO</t>
        </is>
      </c>
      <c r="F87" s="8" t="inlineStr">
        <is>
          <t>Banco / impuesto / gasto</t>
        </is>
      </c>
      <c r="G87" s="8" t="inlineStr">
        <is>
          <t>Copiar en Flexxus: Tipo=MB-EXT | Movimiento=GRAVAMEN LEY 25.413 S/CRED | Monto=620,03 | Fecha: 23/04/2026</t>
        </is>
      </c>
    </row>
    <row r="88">
      <c r="A88" s="8" t="inlineStr">
        <is>
          <t>Administración/Banco</t>
        </is>
      </c>
      <c r="B88" s="8" t="inlineStr">
        <is>
          <t>Banco egreso no Flexxus</t>
        </is>
      </c>
      <c r="C88" s="8" t="inlineStr">
        <is>
          <t>Anticipo Ganancias Ley 25.413 créditos</t>
        </is>
      </c>
      <c r="D88" s="9" t="n">
        <v>1138.61</v>
      </c>
      <c r="E88" s="8" t="inlineStr">
        <is>
          <t>ABIERTO_NUEVO</t>
        </is>
      </c>
      <c r="F88" s="8" t="inlineStr">
        <is>
          <t>Banco / impuesto / gasto</t>
        </is>
      </c>
      <c r="G88" s="8" t="inlineStr">
        <is>
          <t>Copiar en Flexxus: Tipo=MB-EXT | Movimiento=GRAVAMEN LEY 25.413 S/CRED | Monto=1.138,61 | Fecha: 23/04/2026</t>
        </is>
      </c>
    </row>
    <row r="89">
      <c r="A89" s="8" t="inlineStr">
        <is>
          <t>Administración/Banco</t>
        </is>
      </c>
      <c r="B89" s="8" t="inlineStr">
        <is>
          <t>Banco egreso no Flexxus</t>
        </is>
      </c>
      <c r="C89" s="8" t="inlineStr">
        <is>
          <t>Anticipo Ganancias Ley 25.413 créditos</t>
        </is>
      </c>
      <c r="D89" s="9" t="n">
        <v>2632.11</v>
      </c>
      <c r="E89" s="8" t="inlineStr">
        <is>
          <t>ABIERTO_NUEVO</t>
        </is>
      </c>
      <c r="F89" s="8" t="inlineStr">
        <is>
          <t>Banco / impuesto / gasto</t>
        </is>
      </c>
      <c r="G89" s="8" t="inlineStr">
        <is>
          <t>Copiar en Flexxus: Tipo=MB-EXT | Movimiento=GRAVAMEN LEY 25.413 S/CRED | Monto=2.632,11 | Fecha: 23/04/2026</t>
        </is>
      </c>
    </row>
    <row r="90">
      <c r="A90" s="8" t="inlineStr">
        <is>
          <t>Administración/Banco</t>
        </is>
      </c>
      <c r="B90" s="8" t="inlineStr">
        <is>
          <t>Banco egreso no Flexxus</t>
        </is>
      </c>
      <c r="C90" s="8" t="inlineStr">
        <is>
          <t>Anticipo Ganancias Ley 25.413 créditos</t>
        </is>
      </c>
      <c r="D90" s="9" t="n">
        <v>1393.19</v>
      </c>
      <c r="E90" s="8" t="inlineStr">
        <is>
          <t>ABIERTO_NUEVO</t>
        </is>
      </c>
      <c r="F90" s="8" t="inlineStr">
        <is>
          <t>Banco / impuesto / gasto</t>
        </is>
      </c>
      <c r="G90" s="8" t="inlineStr">
        <is>
          <t>Copiar en Flexxus: Tipo=MB-EXT | Movimiento=GRAVAMEN LEY 25.413 S/CRED | Monto=1.393,19 | Fecha: 23/04/2026</t>
        </is>
      </c>
    </row>
    <row r="91">
      <c r="A91" s="8" t="inlineStr">
        <is>
          <t>Administración/Banco</t>
        </is>
      </c>
      <c r="B91" s="8" t="inlineStr">
        <is>
          <t>Banco egreso no Flexxus</t>
        </is>
      </c>
      <c r="C91" s="8" t="inlineStr">
        <is>
          <t>Anticipo Ganancias Ley 25.413 créditos</t>
        </is>
      </c>
      <c r="D91" s="9" t="n">
        <v>5021.36</v>
      </c>
      <c r="E91" s="8" t="inlineStr">
        <is>
          <t>ABIERTO_NUEVO</t>
        </is>
      </c>
      <c r="F91" s="8" t="inlineStr">
        <is>
          <t>Banco / impuesto / gasto</t>
        </is>
      </c>
      <c r="G91" s="8" t="inlineStr">
        <is>
          <t>Copiar en Flexxus: Tipo=MB-EXT | Movimiento=GRAVAMEN LEY 25.413 S/CRED | Monto=5.021,36 | Fecha: 23/04/2026</t>
        </is>
      </c>
    </row>
    <row r="92">
      <c r="A92" s="8" t="inlineStr">
        <is>
          <t>Administración/Banco</t>
        </is>
      </c>
      <c r="B92" s="8" t="inlineStr">
        <is>
          <t>Banco egreso no Flexxus</t>
        </is>
      </c>
      <c r="C92" s="8" t="inlineStr">
        <is>
          <t>Anticipo Ganancias Ley 25.413 créditos</t>
        </is>
      </c>
      <c r="D92" s="9" t="n">
        <v>4174.3</v>
      </c>
      <c r="E92" s="8" t="inlineStr">
        <is>
          <t>ABIERTO_NUEVO</t>
        </is>
      </c>
      <c r="F92" s="8" t="inlineStr">
        <is>
          <t>Banco / impuesto / gasto</t>
        </is>
      </c>
      <c r="G92" s="8" t="inlineStr">
        <is>
          <t>Copiar en Flexxus: Tipo=MB-EXT | Movimiento=GRAVAMEN LEY 25.413 S/CRED | Monto=4.174,30 | Fecha: 23/04/2026</t>
        </is>
      </c>
    </row>
    <row r="93">
      <c r="A93" s="8" t="inlineStr">
        <is>
          <t>Administración/Banco</t>
        </is>
      </c>
      <c r="B93" s="8" t="inlineStr">
        <is>
          <t>Banco egreso no Flexxus</t>
        </is>
      </c>
      <c r="C93" s="8" t="inlineStr">
        <is>
          <t>Anticipo Ganancias Ley 25.413 créditos</t>
        </is>
      </c>
      <c r="D93" s="9" t="n">
        <v>259.42</v>
      </c>
      <c r="E93" s="8" t="inlineStr">
        <is>
          <t>ABIERTO_NUEVO</t>
        </is>
      </c>
      <c r="F93" s="8" t="inlineStr">
        <is>
          <t>Banco / impuesto / gasto</t>
        </is>
      </c>
      <c r="G93" s="8" t="inlineStr">
        <is>
          <t>Copiar en Flexxus: Tipo=MB-EXT | Movimiento=GRAVAMEN LEY 25.413 S/CRED | Monto=259,42 | Fecha: 23/04/2026</t>
        </is>
      </c>
    </row>
    <row r="94">
      <c r="A94" s="8" t="inlineStr">
        <is>
          <t>Administración/Banco</t>
        </is>
      </c>
      <c r="B94" s="8" t="inlineStr">
        <is>
          <t>Banco egreso no Flexxus</t>
        </is>
      </c>
      <c r="C94" s="8" t="inlineStr">
        <is>
          <t>Anticipo Ganancias Ley 25.413 créditos</t>
        </is>
      </c>
      <c r="D94" s="9" t="n">
        <v>719.77</v>
      </c>
      <c r="E94" s="8" t="inlineStr">
        <is>
          <t>ABIERTO_NUEVO</t>
        </is>
      </c>
      <c r="F94" s="8" t="inlineStr">
        <is>
          <t>Banco / impuesto / gasto</t>
        </is>
      </c>
      <c r="G94" s="8" t="inlineStr">
        <is>
          <t>Copiar en Flexxus: Tipo=MB-EXT | Movimiento=GRAVAMEN LEY 25.413 S/CRED | Monto=719,77 | Fecha: 23/04/2026</t>
        </is>
      </c>
    </row>
    <row r="95">
      <c r="A95" s="8" t="inlineStr">
        <is>
          <t>Administración/Banco</t>
        </is>
      </c>
      <c r="B95" s="8" t="inlineStr">
        <is>
          <t>Banco egreso no Flexxus</t>
        </is>
      </c>
      <c r="C95" s="8" t="inlineStr">
        <is>
          <t>Anticipo Ganancias Ley 25.413 créditos</t>
        </is>
      </c>
      <c r="D95" s="9" t="n">
        <v>1020.11</v>
      </c>
      <c r="E95" s="8" t="inlineStr">
        <is>
          <t>ABIERTO_NUEVO</t>
        </is>
      </c>
      <c r="F95" s="8" t="inlineStr">
        <is>
          <t>Banco / impuesto / gasto</t>
        </is>
      </c>
      <c r="G95" s="8" t="inlineStr">
        <is>
          <t>Copiar en Flexxus: Tipo=MB-EXT | Movimiento=GRAVAMEN LEY 25.413 S/CRED | Monto=1.020,11 | Fecha: 23/04/2026</t>
        </is>
      </c>
    </row>
    <row r="96">
      <c r="A96" s="8" t="inlineStr">
        <is>
          <t>Administración/Banco</t>
        </is>
      </c>
      <c r="B96" s="8" t="inlineStr">
        <is>
          <t>Banco egreso no Flexxus</t>
        </is>
      </c>
      <c r="C96" s="8" t="inlineStr">
        <is>
          <t>Anticipo Ganancias Ley 25.413 créditos</t>
        </is>
      </c>
      <c r="D96" s="9" t="n">
        <v>493.61</v>
      </c>
      <c r="E96" s="8" t="inlineStr">
        <is>
          <t>ABIERTO_NUEVO</t>
        </is>
      </c>
      <c r="F96" s="8" t="inlineStr">
        <is>
          <t>Banco / impuesto / gasto</t>
        </is>
      </c>
      <c r="G96" s="8" t="inlineStr">
        <is>
          <t>Copiar en Flexxus: Tipo=MB-EXT | Movimiento=GRAVAMEN LEY 25.413 S/CRED | Monto=493,61 | Fecha: 23/04/2026</t>
        </is>
      </c>
    </row>
    <row r="97">
      <c r="A97" s="8" t="inlineStr">
        <is>
          <t>Administración/Banco</t>
        </is>
      </c>
      <c r="B97" s="8" t="inlineStr">
        <is>
          <t>Banco egreso no Flexxus</t>
        </is>
      </c>
      <c r="C97" s="8" t="inlineStr">
        <is>
          <t>Anticipo Ganancias Ley 25.413 créditos</t>
        </is>
      </c>
      <c r="D97" s="9" t="n">
        <v>67.5</v>
      </c>
      <c r="E97" s="8" t="inlineStr">
        <is>
          <t>ABIERTO_NUEVO</t>
        </is>
      </c>
      <c r="F97" s="8" t="inlineStr">
        <is>
          <t>Banco / impuesto / gasto</t>
        </is>
      </c>
      <c r="G97" s="8" t="inlineStr">
        <is>
          <t>Copiar en Flexxus: Tipo=MB-EXT | Movimiento=GRAVAMEN LEY 25.413 S/CRED | Monto=67,50 | Fecha: 23/04/2026</t>
        </is>
      </c>
    </row>
    <row r="98">
      <c r="A98" s="8" t="inlineStr">
        <is>
          <t>Administración/Banco</t>
        </is>
      </c>
      <c r="B98" s="8" t="inlineStr">
        <is>
          <t>Banco egreso no Flexxus</t>
        </is>
      </c>
      <c r="C98" s="8" t="inlineStr">
        <is>
          <t>Anticipo Ganancias Ley 25.413 créditos</t>
        </is>
      </c>
      <c r="D98" s="9" t="n">
        <v>384.44</v>
      </c>
      <c r="E98" s="8" t="inlineStr">
        <is>
          <t>ABIERTO_NUEVO</t>
        </is>
      </c>
      <c r="F98" s="8" t="inlineStr">
        <is>
          <t>Banco / impuesto / gasto</t>
        </is>
      </c>
      <c r="G98" s="8" t="inlineStr">
        <is>
          <t>Copiar en Flexxus: Tipo=MB-EXT | Movimiento=GRAVAMEN LEY 25.413 S/CRED | Monto=384,44 | Fecha: 23/04/2026</t>
        </is>
      </c>
    </row>
    <row r="99">
      <c r="A99" s="8" t="inlineStr">
        <is>
          <t>Administración/Banco</t>
        </is>
      </c>
      <c r="B99" s="8" t="inlineStr">
        <is>
          <t>Banco egreso no Flexxus</t>
        </is>
      </c>
      <c r="C99" s="8" t="inlineStr">
        <is>
          <t>Anticipo Ganancias Ley 25.413 créditos</t>
        </is>
      </c>
      <c r="D99" s="9" t="n">
        <v>130.13</v>
      </c>
      <c r="E99" s="8" t="inlineStr">
        <is>
          <t>ABIERTO_NUEVO</t>
        </is>
      </c>
      <c r="F99" s="8" t="inlineStr">
        <is>
          <t>Banco / impuesto / gasto</t>
        </is>
      </c>
      <c r="G99" s="8" t="inlineStr">
        <is>
          <t>Copiar en Flexxus: Tipo=MB-EXT | Movimiento=GRAVAMEN LEY 25.413 S/CRED | Monto=130,13 | Fecha: 23/04/2026</t>
        </is>
      </c>
    </row>
    <row r="100">
      <c r="A100" s="8" t="inlineStr">
        <is>
          <t>Administración/Banco</t>
        </is>
      </c>
      <c r="B100" s="8" t="inlineStr">
        <is>
          <t>Banco egreso no Flexxus</t>
        </is>
      </c>
      <c r="C100" s="8" t="inlineStr">
        <is>
          <t>Anticipo Ganancias Ley 25.413 créditos</t>
        </is>
      </c>
      <c r="D100" s="9" t="n">
        <v>205</v>
      </c>
      <c r="E100" s="8" t="inlineStr">
        <is>
          <t>ABIERTO_NUEVO</t>
        </is>
      </c>
      <c r="F100" s="8" t="inlineStr">
        <is>
          <t>Banco / impuesto / gasto</t>
        </is>
      </c>
      <c r="G100" s="8" t="inlineStr">
        <is>
          <t>Copiar en Flexxus: Tipo=MB-EXT | Movimiento=GRAVAMEN LEY 25.413 S/CRED | Monto=205,00 | Fecha: 23/04/2026</t>
        </is>
      </c>
    </row>
    <row r="101">
      <c r="A101" s="8" t="inlineStr">
        <is>
          <t>Administración/Banco</t>
        </is>
      </c>
      <c r="B101" s="8" t="inlineStr">
        <is>
          <t>Banco egreso no Flexxus</t>
        </is>
      </c>
      <c r="C101" s="8" t="inlineStr">
        <is>
          <t>Anticipo Ganancias Ley 25.413 créditos</t>
        </is>
      </c>
      <c r="D101" s="9" t="n">
        <v>68.33</v>
      </c>
      <c r="E101" s="8" t="inlineStr">
        <is>
          <t>ABIERTO_NUEVO</t>
        </is>
      </c>
      <c r="F101" s="8" t="inlineStr">
        <is>
          <t>Banco / impuesto / gasto</t>
        </is>
      </c>
      <c r="G101" s="8" t="inlineStr">
        <is>
          <t>Copiar en Flexxus: Tipo=MB-EXT | Movimiento=GRAVAMEN LEY 25.413 S/CRED | Monto=68,33 | Fecha: 23/04/2026</t>
        </is>
      </c>
    </row>
    <row r="102">
      <c r="A102" s="8" t="inlineStr">
        <is>
          <t>Administración/Banco</t>
        </is>
      </c>
      <c r="B102" s="8" t="inlineStr">
        <is>
          <t>Banco egreso no Flexxus</t>
        </is>
      </c>
      <c r="C102" s="8" t="inlineStr">
        <is>
          <t>Anticipo Ganancias Ley 25.413 créditos</t>
        </is>
      </c>
      <c r="D102" s="9" t="n">
        <v>199.65</v>
      </c>
      <c r="E102" s="8" t="inlineStr">
        <is>
          <t>ABIERTO_NUEVO</t>
        </is>
      </c>
      <c r="F102" s="8" t="inlineStr">
        <is>
          <t>Banco / impuesto / gasto</t>
        </is>
      </c>
      <c r="G102" s="8" t="inlineStr">
        <is>
          <t>Copiar en Flexxus: Tipo=MB-EXT | Movimiento=GRAVAMEN LEY 25.413 S/CRED | Monto=199,65 | Fecha: 23/04/2026</t>
        </is>
      </c>
    </row>
    <row r="103">
      <c r="A103" s="8" t="inlineStr">
        <is>
          <t>Administración/Banco</t>
        </is>
      </c>
      <c r="B103" s="8" t="inlineStr">
        <is>
          <t>Banco egreso no Flexxus</t>
        </is>
      </c>
      <c r="C103" s="8" t="inlineStr">
        <is>
          <t>Anticipo Ganancias Ley 25.413 créditos</t>
        </is>
      </c>
      <c r="D103" s="9" t="n">
        <v>95.06999999999999</v>
      </c>
      <c r="E103" s="8" t="inlineStr">
        <is>
          <t>ABIERTO_NUEVO</t>
        </is>
      </c>
      <c r="F103" s="8" t="inlineStr">
        <is>
          <t>Banco / impuesto / gasto</t>
        </is>
      </c>
      <c r="G103" s="8" t="inlineStr">
        <is>
          <t>Copiar en Flexxus: Tipo=MB-EXT | Movimiento=GRAVAMEN LEY 25.413 S/CRED | Monto=95,07 | Fecha: 23/04/2026</t>
        </is>
      </c>
    </row>
    <row r="104">
      <c r="A104" s="8" t="inlineStr">
        <is>
          <t>Administración/Banco</t>
        </is>
      </c>
      <c r="B104" s="8" t="inlineStr">
        <is>
          <t>Banco egreso no Flexxus</t>
        </is>
      </c>
      <c r="C104" s="8" t="inlineStr">
        <is>
          <t>Anticipo Ganancias Ley 25.413 créditos</t>
        </is>
      </c>
      <c r="D104" s="9" t="n">
        <v>108.14</v>
      </c>
      <c r="E104" s="8" t="inlineStr">
        <is>
          <t>ABIERTO_NUEVO</t>
        </is>
      </c>
      <c r="F104" s="8" t="inlineStr">
        <is>
          <t>Banco / impuesto / gasto</t>
        </is>
      </c>
      <c r="G104" s="8" t="inlineStr">
        <is>
          <t>Copiar en Flexxus: Tipo=MB-EXT | Movimiento=GRAVAMEN LEY 25.413 S/CRED | Monto=108,14 | Fecha: 23/04/2026</t>
        </is>
      </c>
    </row>
    <row r="105">
      <c r="A105" s="8" t="inlineStr">
        <is>
          <t>Administración/Banco</t>
        </is>
      </c>
      <c r="B105" s="8" t="inlineStr">
        <is>
          <t>Banco egreso no Flexxus</t>
        </is>
      </c>
      <c r="C105" s="8" t="inlineStr">
        <is>
          <t>Anticipo Ganancias Ley 25.413 créditos</t>
        </is>
      </c>
      <c r="D105" s="9" t="n">
        <v>146.17</v>
      </c>
      <c r="E105" s="8" t="inlineStr">
        <is>
          <t>ABIERTO_NUEVO</t>
        </is>
      </c>
      <c r="F105" s="8" t="inlineStr">
        <is>
          <t>Banco / impuesto / gasto</t>
        </is>
      </c>
      <c r="G105" s="8" t="inlineStr">
        <is>
          <t>Copiar en Flexxus: Tipo=MB-EXT | Movimiento=GRAVAMEN LEY 25.413 S/CRED | Monto=146,17 | Fecha: 23/04/2026</t>
        </is>
      </c>
    </row>
    <row r="106">
      <c r="A106" s="8" t="inlineStr">
        <is>
          <t>Administración/Banco</t>
        </is>
      </c>
      <c r="B106" s="8" t="inlineStr">
        <is>
          <t>Banco egreso no Flexxus</t>
        </is>
      </c>
      <c r="C106" s="8" t="inlineStr">
        <is>
          <t>Anticipo Ganancias Ley 25.413 créditos</t>
        </is>
      </c>
      <c r="D106" s="9" t="n">
        <v>923.97</v>
      </c>
      <c r="E106" s="8" t="inlineStr">
        <is>
          <t>ABIERTO_NUEVO</t>
        </is>
      </c>
      <c r="F106" s="8" t="inlineStr">
        <is>
          <t>Banco / impuesto / gasto</t>
        </is>
      </c>
      <c r="G106" s="8" t="inlineStr">
        <is>
          <t>Copiar en Flexxus: Tipo=MB-EXT | Movimiento=GRAVAMEN LEY 25.413 S/CRED | Monto=923,97 | Fecha: 23/04/2026</t>
        </is>
      </c>
    </row>
    <row r="107">
      <c r="A107" s="8" t="inlineStr">
        <is>
          <t>Administración/Banco</t>
        </is>
      </c>
      <c r="B107" s="8" t="inlineStr">
        <is>
          <t>Banco egreso no Flexxus</t>
        </is>
      </c>
      <c r="C107" s="8" t="inlineStr">
        <is>
          <t>Anticipo Ganancias Ley 25.413 créditos</t>
        </is>
      </c>
      <c r="D107" s="9" t="n">
        <v>403.46</v>
      </c>
      <c r="E107" s="8" t="inlineStr">
        <is>
          <t>ABIERTO_NUEVO</t>
        </is>
      </c>
      <c r="F107" s="8" t="inlineStr">
        <is>
          <t>Banco / impuesto / gasto</t>
        </is>
      </c>
      <c r="G107" s="8" t="inlineStr">
        <is>
          <t>Copiar en Flexxus: Tipo=MB-EXT | Movimiento=GRAVAMEN LEY 25.413 S/CRED | Monto=403,46 | Fecha: 22/04/2026</t>
        </is>
      </c>
    </row>
    <row r="108">
      <c r="A108" s="8" t="inlineStr">
        <is>
          <t>Administración/Banco</t>
        </is>
      </c>
      <c r="B108" s="8" t="inlineStr">
        <is>
          <t>Banco egreso no Flexxus</t>
        </is>
      </c>
      <c r="C108" s="8" t="inlineStr">
        <is>
          <t>Anticipo Ganancias Ley 25.413 créditos</t>
        </is>
      </c>
      <c r="D108" s="9" t="n">
        <v>543.6900000000001</v>
      </c>
      <c r="E108" s="8" t="inlineStr">
        <is>
          <t>ABIERTO_NUEVO</t>
        </is>
      </c>
      <c r="F108" s="8" t="inlineStr">
        <is>
          <t>Banco / impuesto / gasto</t>
        </is>
      </c>
      <c r="G108" s="8" t="inlineStr">
        <is>
          <t>Copiar en Flexxus: Tipo=MB-EXT | Movimiento=GRAVAMEN LEY 25.413 S/CRED | Monto=543,69 | Fecha: 22/04/2026</t>
        </is>
      </c>
    </row>
    <row r="109">
      <c r="A109" s="8" t="inlineStr">
        <is>
          <t>Administración/Banco</t>
        </is>
      </c>
      <c r="B109" s="8" t="inlineStr">
        <is>
          <t>Banco egreso no Flexxus</t>
        </is>
      </c>
      <c r="C109" s="8" t="inlineStr">
        <is>
          <t>Anticipo Ganancias Ley 25.413 créditos</t>
        </is>
      </c>
      <c r="D109" s="9" t="n">
        <v>136.66</v>
      </c>
      <c r="E109" s="8" t="inlineStr">
        <is>
          <t>ABIERTO_NUEVO</t>
        </is>
      </c>
      <c r="F109" s="8" t="inlineStr">
        <is>
          <t>Banco / impuesto / gasto</t>
        </is>
      </c>
      <c r="G109" s="8" t="inlineStr">
        <is>
          <t>Copiar en Flexxus: Tipo=MB-EXT | Movimiento=GRAVAMEN LEY 25.413 S/CRED | Monto=136,66 | Fecha: 22/04/2026</t>
        </is>
      </c>
    </row>
    <row r="110">
      <c r="A110" s="8" t="inlineStr">
        <is>
          <t>Administración/Banco</t>
        </is>
      </c>
      <c r="B110" s="8" t="inlineStr">
        <is>
          <t>Banco egreso no Flexxus</t>
        </is>
      </c>
      <c r="C110" s="8" t="inlineStr">
        <is>
          <t>Anticipo Ganancias Ley 25.413 créditos</t>
        </is>
      </c>
      <c r="D110" s="9" t="n">
        <v>153.3</v>
      </c>
      <c r="E110" s="8" t="inlineStr">
        <is>
          <t>ABIERTO_NUEVO</t>
        </is>
      </c>
      <c r="F110" s="8" t="inlineStr">
        <is>
          <t>Banco / impuesto / gasto</t>
        </is>
      </c>
      <c r="G110" s="8" t="inlineStr">
        <is>
          <t>Copiar en Flexxus: Tipo=MB-EXT | Movimiento=GRAVAMEN LEY 25.413 S/CRED | Monto=153,30 | Fecha: 22/04/2026</t>
        </is>
      </c>
    </row>
    <row r="111">
      <c r="A111" s="8" t="inlineStr">
        <is>
          <t>Administración/Banco</t>
        </is>
      </c>
      <c r="B111" s="8" t="inlineStr">
        <is>
          <t>Banco egreso no Flexxus</t>
        </is>
      </c>
      <c r="C111" s="8" t="inlineStr">
        <is>
          <t>Anticipo Ganancias Ley 25.413 créditos</t>
        </is>
      </c>
      <c r="D111" s="9" t="n">
        <v>53.48</v>
      </c>
      <c r="E111" s="8" t="inlineStr">
        <is>
          <t>ABIERTO_NUEVO</t>
        </is>
      </c>
      <c r="F111" s="8" t="inlineStr">
        <is>
          <t>Banco / impuesto / gasto</t>
        </is>
      </c>
      <c r="G111" s="8" t="inlineStr">
        <is>
          <t>Copiar en Flexxus: Tipo=MB-EXT | Movimiento=GRAVAMEN LEY 25.413 S/CRED | Monto=53,48 | Fecha: 22/04/2026</t>
        </is>
      </c>
    </row>
    <row r="112">
      <c r="A112" s="8" t="inlineStr">
        <is>
          <t>Administración/Banco</t>
        </is>
      </c>
      <c r="B112" s="8" t="inlineStr">
        <is>
          <t>Banco egreso no Flexxus</t>
        </is>
      </c>
      <c r="C112" s="8" t="inlineStr">
        <is>
          <t>Anticipo Ganancias Ley 25.413 créditos</t>
        </is>
      </c>
      <c r="D112" s="9" t="n">
        <v>80.22</v>
      </c>
      <c r="E112" s="8" t="inlineStr">
        <is>
          <t>ABIERTO_NUEVO</t>
        </is>
      </c>
      <c r="F112" s="8" t="inlineStr">
        <is>
          <t>Banco / impuesto / gasto</t>
        </is>
      </c>
      <c r="G112" s="8" t="inlineStr">
        <is>
          <t>Copiar en Flexxus: Tipo=MB-EXT | Movimiento=GRAVAMEN LEY 25.413 S/CRED | Monto=80,22 | Fecha: 22/04/2026</t>
        </is>
      </c>
    </row>
    <row r="113">
      <c r="A113" s="8" t="inlineStr">
        <is>
          <t>Administración/Banco</t>
        </is>
      </c>
      <c r="B113" s="8" t="inlineStr">
        <is>
          <t>Banco egreso no Flexxus</t>
        </is>
      </c>
      <c r="C113" s="8" t="inlineStr">
        <is>
          <t>Anticipo Ganancias Ley 25.413 créditos</t>
        </is>
      </c>
      <c r="D113" s="9" t="n">
        <v>68.33</v>
      </c>
      <c r="E113" s="8" t="inlineStr">
        <is>
          <t>ABIERTO_NUEVO</t>
        </is>
      </c>
      <c r="F113" s="8" t="inlineStr">
        <is>
          <t>Banco / impuesto / gasto</t>
        </is>
      </c>
      <c r="G113" s="8" t="inlineStr">
        <is>
          <t>Copiar en Flexxus: Tipo=MB-EXT | Movimiento=GRAVAMEN LEY 25.413 S/CRED | Monto=68,33 | Fecha: 22/04/2026</t>
        </is>
      </c>
    </row>
    <row r="114">
      <c r="A114" s="8" t="inlineStr">
        <is>
          <t>Administración/Banco</t>
        </is>
      </c>
      <c r="B114" s="8" t="inlineStr">
        <is>
          <t>Banco egreso no Flexxus</t>
        </is>
      </c>
      <c r="C114" s="8" t="inlineStr">
        <is>
          <t>Anticipo Ganancias Ley 25.413 créditos</t>
        </is>
      </c>
      <c r="D114" s="9" t="n">
        <v>80.22</v>
      </c>
      <c r="E114" s="8" t="inlineStr">
        <is>
          <t>ABIERTO_NUEVO</t>
        </is>
      </c>
      <c r="F114" s="8" t="inlineStr">
        <is>
          <t>Banco / impuesto / gasto</t>
        </is>
      </c>
      <c r="G114" s="8" t="inlineStr">
        <is>
          <t>Copiar en Flexxus: Tipo=MB-EXT | Movimiento=GRAVAMEN LEY 25.413 S/CRED | Monto=80,22 | Fecha: 22/04/2026</t>
        </is>
      </c>
    </row>
    <row r="115">
      <c r="A115" s="8" t="inlineStr">
        <is>
          <t>Administración/Banco</t>
        </is>
      </c>
      <c r="B115" s="8" t="inlineStr">
        <is>
          <t>Banco egreso no Flexxus</t>
        </is>
      </c>
      <c r="C115" s="8" t="inlineStr">
        <is>
          <t>Anticipo Ganancias Ley 25.413 créditos</t>
        </is>
      </c>
      <c r="D115" s="9" t="n">
        <v>604.29</v>
      </c>
      <c r="E115" s="8" t="inlineStr">
        <is>
          <t>ABIERTO_NUEVO</t>
        </is>
      </c>
      <c r="F115" s="8" t="inlineStr">
        <is>
          <t>Banco / impuesto / gasto</t>
        </is>
      </c>
      <c r="G115" s="8" t="inlineStr">
        <is>
          <t>Copiar en Flexxus: Tipo=MB-EXT | Movimiento=GRAVAMEN LEY 25.413 S/CRED | Monto=604,29 | Fecha: 22/04/2026</t>
        </is>
      </c>
    </row>
    <row r="116">
      <c r="A116" s="8" t="inlineStr">
        <is>
          <t>Administración/Banco</t>
        </is>
      </c>
      <c r="B116" s="8" t="inlineStr">
        <is>
          <t>Banco egreso no Flexxus</t>
        </is>
      </c>
      <c r="C116" s="8" t="inlineStr">
        <is>
          <t>Anticipo Ganancias Ley 25.413 créditos</t>
        </is>
      </c>
      <c r="D116" s="9" t="n">
        <v>433.76</v>
      </c>
      <c r="E116" s="8" t="inlineStr">
        <is>
          <t>ABIERTO_NUEVO</t>
        </is>
      </c>
      <c r="F116" s="8" t="inlineStr">
        <is>
          <t>Banco / impuesto / gasto</t>
        </is>
      </c>
      <c r="G116" s="8" t="inlineStr">
        <is>
          <t>Copiar en Flexxus: Tipo=MB-EXT | Movimiento=GRAVAMEN LEY 25.413 S/CRED | Monto=433,76 | Fecha: 22/04/2026</t>
        </is>
      </c>
    </row>
    <row r="117">
      <c r="A117" s="8" t="inlineStr">
        <is>
          <t>Administración/Banco</t>
        </is>
      </c>
      <c r="B117" s="8" t="inlineStr">
        <is>
          <t>Banco egreso no Flexxus</t>
        </is>
      </c>
      <c r="C117" s="8" t="inlineStr">
        <is>
          <t>Anticipo Ganancias Ley 25.413 créditos</t>
        </is>
      </c>
      <c r="D117" s="9" t="n">
        <v>113.49</v>
      </c>
      <c r="E117" s="8" t="inlineStr">
        <is>
          <t>ABIERTO_NUEVO</t>
        </is>
      </c>
      <c r="F117" s="8" t="inlineStr">
        <is>
          <t>Banco / impuesto / gasto</t>
        </is>
      </c>
      <c r="G117" s="8" t="inlineStr">
        <is>
          <t>Copiar en Flexxus: Tipo=MB-EXT | Movimiento=GRAVAMEN LEY 25.413 S/CRED | Monto=113,49 | Fecha: 22/04/2026</t>
        </is>
      </c>
    </row>
    <row r="118">
      <c r="A118" s="8" t="inlineStr">
        <is>
          <t>Administración/Banco</t>
        </is>
      </c>
      <c r="B118" s="8" t="inlineStr">
        <is>
          <t>Banco egreso no Flexxus</t>
        </is>
      </c>
      <c r="C118" s="8" t="inlineStr">
        <is>
          <t>Anticipo Ganancias Ley 25.413 créditos</t>
        </is>
      </c>
      <c r="D118" s="9" t="n">
        <v>315.52</v>
      </c>
      <c r="E118" s="8" t="inlineStr">
        <is>
          <t>ABIERTO_NUEVO</t>
        </is>
      </c>
      <c r="F118" s="8" t="inlineStr">
        <is>
          <t>Banco / impuesto / gasto</t>
        </is>
      </c>
      <c r="G118" s="8" t="inlineStr">
        <is>
          <t>Copiar en Flexxus: Tipo=MB-EXT | Movimiento=GRAVAMEN LEY 25.413 S/CRED | Monto=315,52 | Fecha: 22/04/2026</t>
        </is>
      </c>
    </row>
    <row r="119">
      <c r="A119" s="8" t="inlineStr">
        <is>
          <t>Administración/Banco</t>
        </is>
      </c>
      <c r="B119" s="8" t="inlineStr">
        <is>
          <t>Banco egreso no Flexxus</t>
        </is>
      </c>
      <c r="C119" s="8" t="inlineStr">
        <is>
          <t>Anticipo Ganancias Ley 25.413 créditos</t>
        </is>
      </c>
      <c r="D119" s="9" t="n">
        <v>1265.12</v>
      </c>
      <c r="E119" s="8" t="inlineStr">
        <is>
          <t>ABIERTO_NUEVO</t>
        </is>
      </c>
      <c r="F119" s="8" t="inlineStr">
        <is>
          <t>Banco / impuesto / gasto</t>
        </is>
      </c>
      <c r="G119" s="8" t="inlineStr">
        <is>
          <t>Copiar en Flexxus: Tipo=MB-EXT | Movimiento=GRAVAMEN LEY 25.413 S/CRED | Monto=1.265,12 | Fecha: 22/04/2026</t>
        </is>
      </c>
    </row>
    <row r="120">
      <c r="A120" s="8" t="inlineStr">
        <is>
          <t>Administración/Banco</t>
        </is>
      </c>
      <c r="B120" s="8" t="inlineStr">
        <is>
          <t>Banco egreso no Flexxus</t>
        </is>
      </c>
      <c r="C120" s="8" t="inlineStr">
        <is>
          <t>Anticipo Ganancias Ley 25.413 créditos</t>
        </is>
      </c>
      <c r="D120" s="9" t="n">
        <v>421.44</v>
      </c>
      <c r="E120" s="8" t="inlineStr">
        <is>
          <t>ABIERTO_NUEVO</t>
        </is>
      </c>
      <c r="F120" s="8" t="inlineStr">
        <is>
          <t>Banco / impuesto / gasto</t>
        </is>
      </c>
      <c r="G120" s="8" t="inlineStr">
        <is>
          <t>Copiar en Flexxus: Tipo=MB-EXT | Movimiento=GRAVAMEN LEY 25.413 S/CRED | Monto=421,44 | Fecha: 22/04/2026</t>
        </is>
      </c>
    </row>
    <row r="121">
      <c r="A121" s="8" t="inlineStr">
        <is>
          <t>Administración/Banco</t>
        </is>
      </c>
      <c r="B121" s="8" t="inlineStr">
        <is>
          <t>Banco egreso no Flexxus</t>
        </is>
      </c>
      <c r="C121" s="8" t="inlineStr">
        <is>
          <t>Anticipo Ganancias Ley 25.413 créditos</t>
        </is>
      </c>
      <c r="D121" s="9" t="n">
        <v>163</v>
      </c>
      <c r="E121" s="8" t="inlineStr">
        <is>
          <t>ABIERTO_NUEVO</t>
        </is>
      </c>
      <c r="F121" s="8" t="inlineStr">
        <is>
          <t>Banco / impuesto / gasto</t>
        </is>
      </c>
      <c r="G121" s="8" t="inlineStr">
        <is>
          <t>Copiar en Flexxus: Tipo=MB-EXT | Movimiento=GRAVAMEN LEY 25.413 S/CRED | Monto=163,00 | Fecha: 22/04/2026</t>
        </is>
      </c>
    </row>
    <row r="122">
      <c r="A122" s="8" t="inlineStr">
        <is>
          <t>Administración/Banco</t>
        </is>
      </c>
      <c r="B122" s="8" t="inlineStr">
        <is>
          <t>Banco egreso no Flexxus</t>
        </is>
      </c>
      <c r="C122" s="8" t="inlineStr">
        <is>
          <t>Anticipo Ganancias Ley 25.413 créditos</t>
        </is>
      </c>
      <c r="D122" s="9" t="n">
        <v>545.3200000000001</v>
      </c>
      <c r="E122" s="8" t="inlineStr">
        <is>
          <t>ABIERTO_NUEVO</t>
        </is>
      </c>
      <c r="F122" s="8" t="inlineStr">
        <is>
          <t>Banco / impuesto / gasto</t>
        </is>
      </c>
      <c r="G122" s="8" t="inlineStr">
        <is>
          <t>Copiar en Flexxus: Tipo=MB-EXT | Movimiento=GRAVAMEN LEY 25.413 S/CRED | Monto=545,32 | Fecha: 22/04/2026</t>
        </is>
      </c>
    </row>
    <row r="123">
      <c r="A123" s="8" t="inlineStr">
        <is>
          <t>Administración/Banco</t>
        </is>
      </c>
      <c r="B123" s="8" t="inlineStr">
        <is>
          <t>Banco egreso no Flexxus</t>
        </is>
      </c>
      <c r="C123" s="8" t="inlineStr">
        <is>
          <t>Anticipo Ganancias Ley 25.413 créditos</t>
        </is>
      </c>
      <c r="D123" s="9" t="n">
        <v>352.68</v>
      </c>
      <c r="E123" s="8" t="inlineStr">
        <is>
          <t>ABIERTO_NUEVO</t>
        </is>
      </c>
      <c r="F123" s="8" t="inlineStr">
        <is>
          <t>Banco / impuesto / gasto</t>
        </is>
      </c>
      <c r="G123" s="8" t="inlineStr">
        <is>
          <t>Copiar en Flexxus: Tipo=MB-EXT | Movimiento=GRAVAMEN LEY 25.413 S/CRED | Monto=352,68 | Fecha: 22/04/2026</t>
        </is>
      </c>
    </row>
    <row r="124">
      <c r="A124" s="8" t="inlineStr">
        <is>
          <t>Administración/Banco</t>
        </is>
      </c>
      <c r="B124" s="8" t="inlineStr">
        <is>
          <t>Banco egreso no Flexxus</t>
        </is>
      </c>
      <c r="C124" s="8" t="inlineStr">
        <is>
          <t>Anticipo Ganancias Ley 25.413 créditos</t>
        </is>
      </c>
      <c r="D124" s="9" t="n">
        <v>92.47</v>
      </c>
      <c r="E124" s="8" t="inlineStr">
        <is>
          <t>ABIERTO_NUEVO</t>
        </is>
      </c>
      <c r="F124" s="8" t="inlineStr">
        <is>
          <t>Banco / impuesto / gasto</t>
        </is>
      </c>
      <c r="G124" s="8" t="inlineStr">
        <is>
          <t>Copiar en Flexxus: Tipo=MB-EXT | Movimiento=GRAVAMEN LEY 25.413 S/CRED | Monto=92,47 | Fecha: 22/04/2026</t>
        </is>
      </c>
    </row>
    <row r="125">
      <c r="A125" s="8" t="inlineStr">
        <is>
          <t>Administración/Banco</t>
        </is>
      </c>
      <c r="B125" s="8" t="inlineStr">
        <is>
          <t>Banco egreso no Flexxus</t>
        </is>
      </c>
      <c r="C125" s="8" t="inlineStr">
        <is>
          <t>Anticipo Ganancias Ley 25.413 créditos</t>
        </is>
      </c>
      <c r="D125" s="9" t="n">
        <v>196.2</v>
      </c>
      <c r="E125" s="8" t="inlineStr">
        <is>
          <t>ABIERTO_NUEVO</t>
        </is>
      </c>
      <c r="F125" s="8" t="inlineStr">
        <is>
          <t>Banco / impuesto / gasto</t>
        </is>
      </c>
      <c r="G125" s="8" t="inlineStr">
        <is>
          <t>Copiar en Flexxus: Tipo=MB-EXT | Movimiento=GRAVAMEN LEY 25.413 S/CRED | Monto=196,20 | Fecha: 22/04/2026</t>
        </is>
      </c>
    </row>
    <row r="126">
      <c r="A126" s="8" t="inlineStr">
        <is>
          <t>Administración/Banco</t>
        </is>
      </c>
      <c r="B126" s="8" t="inlineStr">
        <is>
          <t>Banco egreso no Flexxus</t>
        </is>
      </c>
      <c r="C126" s="8" t="inlineStr">
        <is>
          <t>Anticipo Ganancias Ley 25.413 créditos</t>
        </is>
      </c>
      <c r="D126" s="9" t="n">
        <v>74.27</v>
      </c>
      <c r="E126" s="8" t="inlineStr">
        <is>
          <t>ABIERTO_NUEVO</t>
        </is>
      </c>
      <c r="F126" s="8" t="inlineStr">
        <is>
          <t>Banco / impuesto / gasto</t>
        </is>
      </c>
      <c r="G126" s="8" t="inlineStr">
        <is>
          <t>Copiar en Flexxus: Tipo=MB-EXT | Movimiento=GRAVAMEN LEY 25.413 S/CRED | Monto=74,27 | Fecha: 22/04/2026</t>
        </is>
      </c>
    </row>
    <row r="127">
      <c r="A127" s="8" t="inlineStr">
        <is>
          <t>Administración/Banco</t>
        </is>
      </c>
      <c r="B127" s="8" t="inlineStr">
        <is>
          <t>Banco egreso no Flexxus</t>
        </is>
      </c>
      <c r="C127" s="8" t="inlineStr">
        <is>
          <t>Anticipo Ganancias Ley 25.413 créditos</t>
        </is>
      </c>
      <c r="D127" s="9" t="n">
        <v>227.02</v>
      </c>
      <c r="E127" s="8" t="inlineStr">
        <is>
          <t>ABIERTO_NUEVO</t>
        </is>
      </c>
      <c r="F127" s="8" t="inlineStr">
        <is>
          <t>Banco / impuesto / gasto</t>
        </is>
      </c>
      <c r="G127" s="8" t="inlineStr">
        <is>
          <t>Copiar en Flexxus: Tipo=MB-EXT | Movimiento=GRAVAMEN LEY 25.413 S/CRED | Monto=227,02 | Fecha: 22/04/2026</t>
        </is>
      </c>
    </row>
    <row r="128">
      <c r="A128" s="8" t="inlineStr">
        <is>
          <t>Administración/Banco</t>
        </is>
      </c>
      <c r="B128" s="8" t="inlineStr">
        <is>
          <t>Banco egreso no Flexxus</t>
        </is>
      </c>
      <c r="C128" s="8" t="inlineStr">
        <is>
          <t>Anticipo Ganancias Ley 25.413 créditos</t>
        </is>
      </c>
      <c r="D128" s="9" t="n">
        <v>178.41</v>
      </c>
      <c r="E128" s="8" t="inlineStr">
        <is>
          <t>ABIERTO_NUEVO</t>
        </is>
      </c>
      <c r="F128" s="8" t="inlineStr">
        <is>
          <t>Banco / impuesto / gasto</t>
        </is>
      </c>
      <c r="G128" s="8" t="inlineStr">
        <is>
          <t>Copiar en Flexxus: Tipo=MB-EXT | Movimiento=GRAVAMEN LEY 25.413 S/CRED | Monto=178,41 | Fecha: 22/04/2026</t>
        </is>
      </c>
    </row>
    <row r="129">
      <c r="A129" s="8" t="inlineStr">
        <is>
          <t>Administración/Banco</t>
        </is>
      </c>
      <c r="B129" s="8" t="inlineStr">
        <is>
          <t>Banco egreso no Flexxus</t>
        </is>
      </c>
      <c r="C129" s="8" t="inlineStr">
        <is>
          <t>Anticipo Ganancias Ley 25.413 créditos</t>
        </is>
      </c>
      <c r="D129" s="9" t="n">
        <v>746.26</v>
      </c>
      <c r="E129" s="8" t="inlineStr">
        <is>
          <t>ABIERTO_NUEVO</t>
        </is>
      </c>
      <c r="F129" s="8" t="inlineStr">
        <is>
          <t>Banco / impuesto / gasto</t>
        </is>
      </c>
      <c r="G129" s="8" t="inlineStr">
        <is>
          <t>Copiar en Flexxus: Tipo=MB-EXT | Movimiento=GRAVAMEN LEY 25.413 S/CRED | Monto=746,26 | Fecha: 22/04/2026</t>
        </is>
      </c>
    </row>
    <row r="130">
      <c r="A130" s="8" t="inlineStr">
        <is>
          <t>Administración/Banco</t>
        </is>
      </c>
      <c r="B130" s="8" t="inlineStr">
        <is>
          <t>Banco egreso no Flexxus</t>
        </is>
      </c>
      <c r="C130" s="8" t="inlineStr">
        <is>
          <t>Anticipo Ganancias Ley 25.413 créditos</t>
        </is>
      </c>
      <c r="D130" s="9" t="n">
        <v>1170.28</v>
      </c>
      <c r="E130" s="8" t="inlineStr">
        <is>
          <t>ABIERTO_NUEVO</t>
        </is>
      </c>
      <c r="F130" s="8" t="inlineStr">
        <is>
          <t>Banco / impuesto / gasto</t>
        </is>
      </c>
      <c r="G130" s="8" t="inlineStr">
        <is>
          <t>Copiar en Flexxus: Tipo=MB-EXT | Movimiento=GRAVAMEN LEY 25.413 S/CRED | Monto=1.170,28 | Fecha: 22/04/2026</t>
        </is>
      </c>
    </row>
    <row r="131">
      <c r="A131" s="8" t="inlineStr">
        <is>
          <t>Administración/Banco</t>
        </is>
      </c>
      <c r="B131" s="8" t="inlineStr">
        <is>
          <t>Banco egreso no Flexxus</t>
        </is>
      </c>
      <c r="C131" s="8" t="inlineStr">
        <is>
          <t>Anticipo Ganancias Ley 25.413 créditos</t>
        </is>
      </c>
      <c r="D131" s="9" t="n">
        <v>1763.34</v>
      </c>
      <c r="E131" s="8" t="inlineStr">
        <is>
          <t>ABIERTO_NUEVO</t>
        </is>
      </c>
      <c r="F131" s="8" t="inlineStr">
        <is>
          <t>Banco / impuesto / gasto</t>
        </is>
      </c>
      <c r="G131" s="8" t="inlineStr">
        <is>
          <t>Copiar en Flexxus: Tipo=MB-EXT | Movimiento=GRAVAMEN LEY 25.413 S/CRED | Monto=1.763,34 | Fecha: 22/04/2026</t>
        </is>
      </c>
    </row>
    <row r="132">
      <c r="A132" s="8" t="inlineStr">
        <is>
          <t>Administración/Banco</t>
        </is>
      </c>
      <c r="B132" s="8" t="inlineStr">
        <is>
          <t>Banco egreso no Flexxus</t>
        </is>
      </c>
      <c r="C132" s="8" t="inlineStr">
        <is>
          <t>Anticipo Ganancias Ley 25.413 créditos</t>
        </is>
      </c>
      <c r="D132" s="9" t="n">
        <v>143.79</v>
      </c>
      <c r="E132" s="8" t="inlineStr">
        <is>
          <t>ABIERTO_NUEVO</t>
        </is>
      </c>
      <c r="F132" s="8" t="inlineStr">
        <is>
          <t>Banco / impuesto / gasto</t>
        </is>
      </c>
      <c r="G132" s="8" t="inlineStr">
        <is>
          <t>Copiar en Flexxus: Tipo=MB-EXT | Movimiento=GRAVAMEN LEY 25.413 S/CRED | Monto=143,79 | Fecha: 22/04/2026</t>
        </is>
      </c>
    </row>
    <row r="133">
      <c r="A133" s="8" t="inlineStr">
        <is>
          <t>Administración/Banco</t>
        </is>
      </c>
      <c r="B133" s="8" t="inlineStr">
        <is>
          <t>Banco egreso no Flexxus</t>
        </is>
      </c>
      <c r="C133" s="8" t="inlineStr">
        <is>
          <t>Anticipo Ganancias Ley 25.413 créditos</t>
        </is>
      </c>
      <c r="D133" s="9" t="n">
        <v>226.56</v>
      </c>
      <c r="E133" s="8" t="inlineStr">
        <is>
          <t>ABIERTO_NUEVO</t>
        </is>
      </c>
      <c r="F133" s="8" t="inlineStr">
        <is>
          <t>Banco / impuesto / gasto</t>
        </is>
      </c>
      <c r="G133" s="8" t="inlineStr">
        <is>
          <t>Copiar en Flexxus: Tipo=MB-EXT | Movimiento=GRAVAMEN LEY 25.413 S/CRED | Monto=226,56 | Fecha: 22/04/2026</t>
        </is>
      </c>
    </row>
    <row r="134">
      <c r="A134" s="8" t="inlineStr">
        <is>
          <t>Administración/Banco</t>
        </is>
      </c>
      <c r="B134" s="8" t="inlineStr">
        <is>
          <t>Banco egreso no Flexxus</t>
        </is>
      </c>
      <c r="C134" s="8" t="inlineStr">
        <is>
          <t>Anticipo Ganancias Ley 25.413 créditos</t>
        </is>
      </c>
      <c r="D134" s="9" t="n">
        <v>226.56</v>
      </c>
      <c r="E134" s="8" t="inlineStr">
        <is>
          <t>ABIERTO_NUEVO</t>
        </is>
      </c>
      <c r="F134" s="8" t="inlineStr">
        <is>
          <t>Banco / impuesto / gasto</t>
        </is>
      </c>
      <c r="G134" s="8" t="inlineStr">
        <is>
          <t>Copiar en Flexxus: Tipo=MB-EXT | Movimiento=GRAVAMEN LEY 25.413 S/CRED | Monto=226,56 | Fecha: 22/04/2026</t>
        </is>
      </c>
    </row>
    <row r="135">
      <c r="A135" s="8" t="inlineStr">
        <is>
          <t>Administración/Banco</t>
        </is>
      </c>
      <c r="B135" s="8" t="inlineStr">
        <is>
          <t>Banco egreso no Flexxus</t>
        </is>
      </c>
      <c r="C135" s="8" t="inlineStr">
        <is>
          <t>Anticipo Ganancias Ley 25.413 créditos</t>
        </is>
      </c>
      <c r="D135" s="9" t="n">
        <v>252.5</v>
      </c>
      <c r="E135" s="8" t="inlineStr">
        <is>
          <t>ABIERTO_NUEVO</t>
        </is>
      </c>
      <c r="F135" s="8" t="inlineStr">
        <is>
          <t>Banco / impuesto / gasto</t>
        </is>
      </c>
      <c r="G135" s="8" t="inlineStr">
        <is>
          <t>Copiar en Flexxus: Tipo=MB-EXT | Movimiento=GRAVAMEN LEY 25.413 S/CRED | Monto=252,50 | Fecha: 22/04/2026</t>
        </is>
      </c>
    </row>
    <row r="136">
      <c r="A136" s="8" t="inlineStr">
        <is>
          <t>Administración/Banco</t>
        </is>
      </c>
      <c r="B136" s="8" t="inlineStr">
        <is>
          <t>Banco egreso no Flexxus</t>
        </is>
      </c>
      <c r="C136" s="8" t="inlineStr">
        <is>
          <t>Anticipo Ganancias Ley 25.413 créditos</t>
        </is>
      </c>
      <c r="D136" s="9" t="n">
        <v>685.74</v>
      </c>
      <c r="E136" s="8" t="inlineStr">
        <is>
          <t>ABIERTO_NUEVO</t>
        </is>
      </c>
      <c r="F136" s="8" t="inlineStr">
        <is>
          <t>Banco / impuesto / gasto</t>
        </is>
      </c>
      <c r="G136" s="8" t="inlineStr">
        <is>
          <t>Copiar en Flexxus: Tipo=MB-EXT | Movimiento=GRAVAMEN LEY 25.413 S/CRED | Monto=685,74 | Fecha: 22/04/2026</t>
        </is>
      </c>
    </row>
    <row r="137">
      <c r="A137" s="8" t="inlineStr">
        <is>
          <t>Administración/Banco</t>
        </is>
      </c>
      <c r="B137" s="8" t="inlineStr">
        <is>
          <t>Banco egreso no Flexxus</t>
        </is>
      </c>
      <c r="C137" s="8" t="inlineStr">
        <is>
          <t>Anticipo Ganancias Ley 25.413 créditos</t>
        </is>
      </c>
      <c r="D137" s="9" t="n">
        <v>668.73</v>
      </c>
      <c r="E137" s="8" t="inlineStr">
        <is>
          <t>ABIERTO_NUEVO</t>
        </is>
      </c>
      <c r="F137" s="8" t="inlineStr">
        <is>
          <t>Banco / impuesto / gasto</t>
        </is>
      </c>
      <c r="G137" s="8" t="inlineStr">
        <is>
          <t>Copiar en Flexxus: Tipo=MB-EXT | Movimiento=GRAVAMEN LEY 25.413 S/CRED | Monto=668,73 | Fecha: 22/04/2026</t>
        </is>
      </c>
    </row>
    <row r="138">
      <c r="A138" s="8" t="inlineStr">
        <is>
          <t>Administración/Banco</t>
        </is>
      </c>
      <c r="B138" s="8" t="inlineStr">
        <is>
          <t>Banco egreso no Flexxus</t>
        </is>
      </c>
      <c r="C138" s="8" t="inlineStr">
        <is>
          <t>Anticipo Ganancias Ley 25.413 créditos</t>
        </is>
      </c>
      <c r="D138" s="9" t="n">
        <v>4713.4</v>
      </c>
      <c r="E138" s="8" t="inlineStr">
        <is>
          <t>ABIERTO_NUEVO</t>
        </is>
      </c>
      <c r="F138" s="8" t="inlineStr">
        <is>
          <t>Banco / impuesto / gasto</t>
        </is>
      </c>
      <c r="G138" s="8" t="inlineStr">
        <is>
          <t>Copiar en Flexxus: Tipo=MB-EXT | Movimiento=GRAVAMEN LEY 25.413 S/CRED | Monto=4.713,40 | Fecha: 22/04/2026</t>
        </is>
      </c>
    </row>
    <row r="139">
      <c r="A139" s="8" t="inlineStr">
        <is>
          <t>Administración/Banco</t>
        </is>
      </c>
      <c r="B139" s="8" t="inlineStr">
        <is>
          <t>Banco egreso no Flexxus</t>
        </is>
      </c>
      <c r="C139" s="8" t="inlineStr">
        <is>
          <t>Anticipo Ganancias Ley 25.413 créditos</t>
        </is>
      </c>
      <c r="D139" s="9" t="n">
        <v>10525.51</v>
      </c>
      <c r="E139" s="8" t="inlineStr">
        <is>
          <t>ABIERTO_NUEVO</t>
        </is>
      </c>
      <c r="F139" s="8" t="inlineStr">
        <is>
          <t>Banco / impuesto / gasto</t>
        </is>
      </c>
      <c r="G139" s="8" t="inlineStr">
        <is>
          <t>Copiar en Flexxus: Tipo=MB-EXT | Movimiento=GRAVAMEN LEY 25.413 S/CRED | Monto=10.525,51 | Fecha: 22/04/2026</t>
        </is>
      </c>
    </row>
    <row r="140">
      <c r="A140" s="8" t="inlineStr">
        <is>
          <t>Administración/Banco</t>
        </is>
      </c>
      <c r="B140" s="8" t="inlineStr">
        <is>
          <t>Banco egreso no Flexxus</t>
        </is>
      </c>
      <c r="C140" s="8" t="inlineStr">
        <is>
          <t>Anticipo Ganancias Ley 25.413 créditos</t>
        </is>
      </c>
      <c r="D140" s="9" t="n">
        <v>784.29</v>
      </c>
      <c r="E140" s="8" t="inlineStr">
        <is>
          <t>ABIERTO_NUEVO</t>
        </is>
      </c>
      <c r="F140" s="8" t="inlineStr">
        <is>
          <t>Banco / impuesto / gasto</t>
        </is>
      </c>
      <c r="G140" s="8" t="inlineStr">
        <is>
          <t>Copiar en Flexxus: Tipo=MB-EXT | Movimiento=GRAVAMEN LEY 25.413 S/CRED | Monto=784,29 | Fecha: 22/04/2026</t>
        </is>
      </c>
    </row>
    <row r="141">
      <c r="A141" s="8" t="inlineStr">
        <is>
          <t>Administración/Banco</t>
        </is>
      </c>
      <c r="B141" s="8" t="inlineStr">
        <is>
          <t>Banco egreso no Flexxus</t>
        </is>
      </c>
      <c r="C141" s="8" t="inlineStr">
        <is>
          <t>Anticipo Ganancias Ley 25.413 créditos</t>
        </is>
      </c>
      <c r="D141" s="9" t="n">
        <v>257.08</v>
      </c>
      <c r="E141" s="8" t="inlineStr">
        <is>
          <t>ABIERTO_NUEVO</t>
        </is>
      </c>
      <c r="F141" s="8" t="inlineStr">
        <is>
          <t>Banco / impuesto / gasto</t>
        </is>
      </c>
      <c r="G141" s="8" t="inlineStr">
        <is>
          <t>Copiar en Flexxus: Tipo=MB-EXT | Movimiento=GRAVAMEN LEY 25.413 S/CRED | Monto=257,08 | Fecha: 22/04/2026</t>
        </is>
      </c>
    </row>
    <row r="142">
      <c r="A142" s="8" t="inlineStr">
        <is>
          <t>Administración/Banco</t>
        </is>
      </c>
      <c r="B142" s="8" t="inlineStr">
        <is>
          <t>Banco egreso no Flexxus</t>
        </is>
      </c>
      <c r="C142" s="8" t="inlineStr">
        <is>
          <t>Anticipo Ganancias Ley 25.413 créditos</t>
        </is>
      </c>
      <c r="D142" s="9" t="n">
        <v>750.39</v>
      </c>
      <c r="E142" s="8" t="inlineStr">
        <is>
          <t>ABIERTO_NUEVO</t>
        </is>
      </c>
      <c r="F142" s="8" t="inlineStr">
        <is>
          <t>Banco / impuesto / gasto</t>
        </is>
      </c>
      <c r="G142" s="8" t="inlineStr">
        <is>
          <t>Copiar en Flexxus: Tipo=MB-EXT | Movimiento=GRAVAMEN LEY 25.413 S/CRED | Monto=750,39 | Fecha: 22/04/2026</t>
        </is>
      </c>
    </row>
    <row r="143">
      <c r="A143" s="8" t="inlineStr">
        <is>
          <t>Administración/Banco</t>
        </is>
      </c>
      <c r="B143" s="8" t="inlineStr">
        <is>
          <t>Banco egreso no Flexxus</t>
        </is>
      </c>
      <c r="C143" s="8" t="inlineStr">
        <is>
          <t>Anticipo Ganancias Ley 25.413 créditos</t>
        </is>
      </c>
      <c r="D143" s="9" t="n">
        <v>399.7</v>
      </c>
      <c r="E143" s="8" t="inlineStr">
        <is>
          <t>ABIERTO_NUEVO</t>
        </is>
      </c>
      <c r="F143" s="8" t="inlineStr">
        <is>
          <t>Banco / impuesto / gasto</t>
        </is>
      </c>
      <c r="G143" s="8" t="inlineStr">
        <is>
          <t>Copiar en Flexxus: Tipo=MB-EXT | Movimiento=GRAVAMEN LEY 25.413 S/CRED | Monto=399,70 | Fecha: 22/04/2026</t>
        </is>
      </c>
    </row>
    <row r="144">
      <c r="A144" s="8" t="inlineStr">
        <is>
          <t>Administración/Banco</t>
        </is>
      </c>
      <c r="B144" s="8" t="inlineStr">
        <is>
          <t>Banco egreso no Flexxus</t>
        </is>
      </c>
      <c r="C144" s="8" t="inlineStr">
        <is>
          <t>Anticipo Ganancias Ley 25.413 créditos</t>
        </is>
      </c>
      <c r="D144" s="9" t="n">
        <v>79.23999999999999</v>
      </c>
      <c r="E144" s="8" t="inlineStr">
        <is>
          <t>ABIERTO_NUEVO</t>
        </is>
      </c>
      <c r="F144" s="8" t="inlineStr">
        <is>
          <t>Banco / impuesto / gasto</t>
        </is>
      </c>
      <c r="G144" s="8" t="inlineStr">
        <is>
          <t>Copiar en Flexxus: Tipo=MB-EXT | Movimiento=GRAVAMEN LEY 25.413 S/CRED | Monto=79,24 | Fecha: 22/04/2026</t>
        </is>
      </c>
    </row>
    <row r="145">
      <c r="A145" s="8" t="inlineStr">
        <is>
          <t>Administración/Banco</t>
        </is>
      </c>
      <c r="B145" s="8" t="inlineStr">
        <is>
          <t>Banco egreso no Flexxus</t>
        </is>
      </c>
      <c r="C145" s="8" t="inlineStr">
        <is>
          <t>Anticipo Ganancias Ley 25.413 créditos</t>
        </is>
      </c>
      <c r="D145" s="9" t="n">
        <v>1176.15</v>
      </c>
      <c r="E145" s="8" t="inlineStr">
        <is>
          <t>ABIERTO_NUEVO</t>
        </is>
      </c>
      <c r="F145" s="8" t="inlineStr">
        <is>
          <t>Banco / impuesto / gasto</t>
        </is>
      </c>
      <c r="G145" s="8" t="inlineStr">
        <is>
          <t>Copiar en Flexxus: Tipo=MB-EXT | Movimiento=GRAVAMEN LEY 25.413 S/CRED | Monto=1.176,15 | Fecha: 22/04/2026</t>
        </is>
      </c>
    </row>
    <row r="146">
      <c r="A146" s="8" t="inlineStr">
        <is>
          <t>Administración/Banco</t>
        </is>
      </c>
      <c r="B146" s="8" t="inlineStr">
        <is>
          <t>Banco egreso no Flexxus</t>
        </is>
      </c>
      <c r="C146" s="8" t="inlineStr">
        <is>
          <t>Anticipo Ganancias Ley 25.413 créditos</t>
        </is>
      </c>
      <c r="D146" s="9" t="n">
        <v>1016.01</v>
      </c>
      <c r="E146" s="8" t="inlineStr">
        <is>
          <t>ABIERTO_NUEVO</t>
        </is>
      </c>
      <c r="F146" s="8" t="inlineStr">
        <is>
          <t>Banco / impuesto / gasto</t>
        </is>
      </c>
      <c r="G146" s="8" t="inlineStr">
        <is>
          <t>Copiar en Flexxus: Tipo=MB-EXT | Movimiento=GRAVAMEN LEY 25.413 S/CRED | Monto=1.016,01 | Fecha: 22/04/2026</t>
        </is>
      </c>
    </row>
    <row r="147">
      <c r="A147" s="8" t="inlineStr">
        <is>
          <t>Administración/Banco</t>
        </is>
      </c>
      <c r="B147" s="8" t="inlineStr">
        <is>
          <t>Banco egreso no Flexxus</t>
        </is>
      </c>
      <c r="C147" s="8" t="inlineStr">
        <is>
          <t>Anticipo Ganancias Ley 25.413 créditos</t>
        </is>
      </c>
      <c r="D147" s="9" t="n">
        <v>201.9</v>
      </c>
      <c r="E147" s="8" t="inlineStr">
        <is>
          <t>ABIERTO_NUEVO</t>
        </is>
      </c>
      <c r="F147" s="8" t="inlineStr">
        <is>
          <t>Banco / impuesto / gasto</t>
        </is>
      </c>
      <c r="G147" s="8" t="inlineStr">
        <is>
          <t>Copiar en Flexxus: Tipo=MB-EXT | Movimiento=GRAVAMEN LEY 25.413 S/CRED | Monto=201,90 | Fecha: 22/04/2026</t>
        </is>
      </c>
    </row>
    <row r="148">
      <c r="A148" s="8" t="inlineStr">
        <is>
          <t>Administración/Banco</t>
        </is>
      </c>
      <c r="B148" s="8" t="inlineStr">
        <is>
          <t>Banco egreso no Flexxus</t>
        </is>
      </c>
      <c r="C148" s="8" t="inlineStr">
        <is>
          <t>Anticipo Ganancias Ley 25.413 créditos</t>
        </is>
      </c>
      <c r="D148" s="9" t="n">
        <v>3993.92</v>
      </c>
      <c r="E148" s="8" t="inlineStr">
        <is>
          <t>ABIERTO_NUEVO</t>
        </is>
      </c>
      <c r="F148" s="8" t="inlineStr">
        <is>
          <t>Banco / impuesto / gasto</t>
        </is>
      </c>
      <c r="G148" s="8" t="inlineStr">
        <is>
          <t>Copiar en Flexxus: Tipo=MB-EXT | Movimiento=GRAVAMEN LEY 25.413 S/CRED | Monto=3.993,92 | Fecha: 22/04/2026</t>
        </is>
      </c>
    </row>
    <row r="149">
      <c r="A149" s="8" t="inlineStr">
        <is>
          <t>Administración/Banco</t>
        </is>
      </c>
      <c r="B149" s="8" t="inlineStr">
        <is>
          <t>Banco egreso no Flexxus</t>
        </is>
      </c>
      <c r="C149" s="8" t="inlineStr">
        <is>
          <t>Anticipo Ganancias Ley 25.413 créditos</t>
        </is>
      </c>
      <c r="D149" s="9" t="n">
        <v>67.5</v>
      </c>
      <c r="E149" s="8" t="inlineStr">
        <is>
          <t>ABIERTO_NUEVO</t>
        </is>
      </c>
      <c r="F149" s="8" t="inlineStr">
        <is>
          <t>Banco / impuesto / gasto</t>
        </is>
      </c>
      <c r="G149" s="8" t="inlineStr">
        <is>
          <t>Copiar en Flexxus: Tipo=MB-EXT | Movimiento=GRAVAMEN LEY 25.413 S/CRED | Monto=67,50 | Fecha: 22/04/2026</t>
        </is>
      </c>
    </row>
    <row r="150">
      <c r="A150" s="8" t="inlineStr">
        <is>
          <t>Administración/Banco</t>
        </is>
      </c>
      <c r="B150" s="8" t="inlineStr">
        <is>
          <t>Banco egreso no Flexxus</t>
        </is>
      </c>
      <c r="C150" s="8" t="inlineStr">
        <is>
          <t>Anticipo Ganancias Ley 25.413 créditos</t>
        </is>
      </c>
      <c r="D150" s="9" t="n">
        <v>67.5</v>
      </c>
      <c r="E150" s="8" t="inlineStr">
        <is>
          <t>ABIERTO_NUEVO</t>
        </is>
      </c>
      <c r="F150" s="8" t="inlineStr">
        <is>
          <t>Banco / impuesto / gasto</t>
        </is>
      </c>
      <c r="G150" s="8" t="inlineStr">
        <is>
          <t>Copiar en Flexxus: Tipo=MB-EXT | Movimiento=GRAVAMEN LEY 25.413 S/CRED | Monto=67,50 | Fecha: 22/04/2026</t>
        </is>
      </c>
    </row>
    <row r="151">
      <c r="A151" s="8" t="inlineStr">
        <is>
          <t>Administración/Banco</t>
        </is>
      </c>
      <c r="B151" s="8" t="inlineStr">
        <is>
          <t>Banco egreso no Flexxus</t>
        </is>
      </c>
      <c r="C151" s="8" t="inlineStr">
        <is>
          <t>Anticipo Ganancias Ley 25.413 créditos</t>
        </is>
      </c>
      <c r="D151" s="9" t="n">
        <v>68.33</v>
      </c>
      <c r="E151" s="8" t="inlineStr">
        <is>
          <t>ABIERTO_NUEVO</t>
        </is>
      </c>
      <c r="F151" s="8" t="inlineStr">
        <is>
          <t>Banco / impuesto / gasto</t>
        </is>
      </c>
      <c r="G151" s="8" t="inlineStr">
        <is>
          <t>Copiar en Flexxus: Tipo=MB-EXT | Movimiento=GRAVAMEN LEY 25.413 S/CRED | Monto=68,33 | Fecha: 22/04/2026</t>
        </is>
      </c>
    </row>
    <row r="152">
      <c r="A152" s="8" t="inlineStr">
        <is>
          <t>Administración/Banco</t>
        </is>
      </c>
      <c r="B152" s="8" t="inlineStr">
        <is>
          <t>Banco egreso no Flexxus</t>
        </is>
      </c>
      <c r="C152" s="8" t="inlineStr">
        <is>
          <t>Anticipo Ganancias Ley 25.413 créditos</t>
        </is>
      </c>
      <c r="D152" s="9" t="n">
        <v>124.78</v>
      </c>
      <c r="E152" s="8" t="inlineStr">
        <is>
          <t>ABIERTO_NUEVO</t>
        </is>
      </c>
      <c r="F152" s="8" t="inlineStr">
        <is>
          <t>Banco / impuesto / gasto</t>
        </is>
      </c>
      <c r="G152" s="8" t="inlineStr">
        <is>
          <t>Copiar en Flexxus: Tipo=MB-EXT | Movimiento=GRAVAMEN LEY 25.413 S/CRED | Monto=124,78 | Fecha: 22/04/2026</t>
        </is>
      </c>
    </row>
    <row r="153">
      <c r="A153" s="8" t="inlineStr">
        <is>
          <t>Administración/Banco</t>
        </is>
      </c>
      <c r="B153" s="8" t="inlineStr">
        <is>
          <t>Banco egreso no Flexxus</t>
        </is>
      </c>
      <c r="C153" s="8" t="inlineStr">
        <is>
          <t>Anticipo Ganancias Ley 25.413 créditos</t>
        </is>
      </c>
      <c r="D153" s="9" t="n">
        <v>89.13</v>
      </c>
      <c r="E153" s="8" t="inlineStr">
        <is>
          <t>ABIERTO_NUEVO</t>
        </is>
      </c>
      <c r="F153" s="8" t="inlineStr">
        <is>
          <t>Banco / impuesto / gasto</t>
        </is>
      </c>
      <c r="G153" s="8" t="inlineStr">
        <is>
          <t>Copiar en Flexxus: Tipo=MB-EXT | Movimiento=GRAVAMEN LEY 25.413 S/CRED | Monto=89,13 | Fecha: 22/04/2026</t>
        </is>
      </c>
    </row>
    <row r="154">
      <c r="A154" s="8" t="inlineStr">
        <is>
          <t>Administración/Banco</t>
        </is>
      </c>
      <c r="B154" s="8" t="inlineStr">
        <is>
          <t>Banco egreso no Flexxus</t>
        </is>
      </c>
      <c r="C154" s="8" t="inlineStr">
        <is>
          <t>Anticipo Ganancias Ley 25.413 créditos</t>
        </is>
      </c>
      <c r="D154" s="9" t="n">
        <v>248.37</v>
      </c>
      <c r="E154" s="8" t="inlineStr">
        <is>
          <t>ABIERTO_NUEVO</t>
        </is>
      </c>
      <c r="F154" s="8" t="inlineStr">
        <is>
          <t>Banco / impuesto / gasto</t>
        </is>
      </c>
      <c r="G154" s="8" t="inlineStr">
        <is>
          <t>Copiar en Flexxus: Tipo=MB-EXT | Movimiento=GRAVAMEN LEY 25.413 S/CRED | Monto=248,37 | Fecha: 22/04/2026</t>
        </is>
      </c>
    </row>
    <row r="155">
      <c r="A155" s="8" t="inlineStr">
        <is>
          <t>Administración/Banco</t>
        </is>
      </c>
      <c r="B155" s="8" t="inlineStr">
        <is>
          <t>Banco egreso no Flexxus</t>
        </is>
      </c>
      <c r="C155" s="8" t="inlineStr">
        <is>
          <t>Anticipo Ganancias Ley 25.413 créditos</t>
        </is>
      </c>
      <c r="D155" s="9" t="n">
        <v>409.4</v>
      </c>
      <c r="E155" s="8" t="inlineStr">
        <is>
          <t>ABIERTO_NUEVO</t>
        </is>
      </c>
      <c r="F155" s="8" t="inlineStr">
        <is>
          <t>Banco / impuesto / gasto</t>
        </is>
      </c>
      <c r="G155" s="8" t="inlineStr">
        <is>
          <t>Copiar en Flexxus: Tipo=MB-EXT | Movimiento=GRAVAMEN LEY 25.413 S/CRED | Monto=409,40 | Fecha: 22/04/2026</t>
        </is>
      </c>
    </row>
    <row r="156">
      <c r="A156" s="8" t="inlineStr">
        <is>
          <t>Administración/Banco</t>
        </is>
      </c>
      <c r="B156" s="8" t="inlineStr">
        <is>
          <t>Banco egreso no Flexxus</t>
        </is>
      </c>
      <c r="C156" s="8" t="inlineStr">
        <is>
          <t>Anticipo Ganancias Ley 25.413 créditos</t>
        </is>
      </c>
      <c r="D156" s="9" t="n">
        <v>240.65</v>
      </c>
      <c r="E156" s="8" t="inlineStr">
        <is>
          <t>ABIERTO_NUEVO</t>
        </is>
      </c>
      <c r="F156" s="8" t="inlineStr">
        <is>
          <t>Banco / impuesto / gasto</t>
        </is>
      </c>
      <c r="G156" s="8" t="inlineStr">
        <is>
          <t>Copiar en Flexxus: Tipo=MB-EXT | Movimiento=GRAVAMEN LEY 25.413 S/CRED | Monto=240,65 | Fecha: 22/04/2026</t>
        </is>
      </c>
    </row>
    <row r="157">
      <c r="A157" s="8" t="inlineStr">
        <is>
          <t>Administración/Banco</t>
        </is>
      </c>
      <c r="B157" s="8" t="inlineStr">
        <is>
          <t>Banco egreso no Flexxus</t>
        </is>
      </c>
      <c r="C157" s="8" t="inlineStr">
        <is>
          <t>Anticipo Ganancias Ley 25.413 créditos</t>
        </is>
      </c>
      <c r="D157" s="9" t="n">
        <v>26.74</v>
      </c>
      <c r="E157" s="8" t="inlineStr">
        <is>
          <t>ABIERTO_NUEVO</t>
        </is>
      </c>
      <c r="F157" s="8" t="inlineStr">
        <is>
          <t>Banco / impuesto / gasto</t>
        </is>
      </c>
      <c r="G157" s="8" t="inlineStr">
        <is>
          <t>Copiar en Flexxus: Tipo=MB-EXT | Movimiento=GRAVAMEN LEY 25.413 S/CRED | Monto=26,74 | Fecha: 21/04/2026</t>
        </is>
      </c>
    </row>
    <row r="158">
      <c r="A158" s="8" t="inlineStr">
        <is>
          <t>Administración/Banco</t>
        </is>
      </c>
      <c r="B158" s="8" t="inlineStr">
        <is>
          <t>Banco egreso no Flexxus</t>
        </is>
      </c>
      <c r="C158" s="8" t="inlineStr">
        <is>
          <t>Anticipo Ganancias Ley 25.413 créditos</t>
        </is>
      </c>
      <c r="D158" s="9" t="n">
        <v>139.64</v>
      </c>
      <c r="E158" s="8" t="inlineStr">
        <is>
          <t>ABIERTO_NUEVO</t>
        </is>
      </c>
      <c r="F158" s="8" t="inlineStr">
        <is>
          <t>Banco / impuesto / gasto</t>
        </is>
      </c>
      <c r="G158" s="8" t="inlineStr">
        <is>
          <t>Copiar en Flexxus: Tipo=MB-EXT | Movimiento=GRAVAMEN LEY 25.413 S/CRED | Monto=139,64 | Fecha: 21/04/2026</t>
        </is>
      </c>
    </row>
    <row r="159">
      <c r="A159" s="8" t="inlineStr">
        <is>
          <t>Administración/Banco</t>
        </is>
      </c>
      <c r="B159" s="8" t="inlineStr">
        <is>
          <t>Banco egreso no Flexxus</t>
        </is>
      </c>
      <c r="C159" s="8" t="inlineStr">
        <is>
          <t>Anticipo Ganancias Ley 25.413 créditos</t>
        </is>
      </c>
      <c r="D159" s="9" t="n">
        <v>87.94</v>
      </c>
      <c r="E159" s="8" t="inlineStr">
        <is>
          <t>ABIERTO_NUEVO</t>
        </is>
      </c>
      <c r="F159" s="8" t="inlineStr">
        <is>
          <t>Banco / impuesto / gasto</t>
        </is>
      </c>
      <c r="G159" s="8" t="inlineStr">
        <is>
          <t>Copiar en Flexxus: Tipo=MB-EXT | Movimiento=GRAVAMEN LEY 25.413 S/CRED | Monto=87,94 | Fecha: 21/04/2026</t>
        </is>
      </c>
    </row>
    <row r="160">
      <c r="A160" s="8" t="inlineStr">
        <is>
          <t>Administración/Banco</t>
        </is>
      </c>
      <c r="B160" s="8" t="inlineStr">
        <is>
          <t>Banco egreso no Flexxus</t>
        </is>
      </c>
      <c r="C160" s="8" t="inlineStr">
        <is>
          <t>Anticipo Ganancias Ley 25.413 créditos</t>
        </is>
      </c>
      <c r="D160" s="9" t="n">
        <v>327.99</v>
      </c>
      <c r="E160" s="8" t="inlineStr">
        <is>
          <t>ABIERTO_NUEVO</t>
        </is>
      </c>
      <c r="F160" s="8" t="inlineStr">
        <is>
          <t>Banco / impuesto / gasto</t>
        </is>
      </c>
      <c r="G160" s="8" t="inlineStr">
        <is>
          <t>Copiar en Flexxus: Tipo=MB-EXT | Movimiento=GRAVAMEN LEY 25.413 S/CRED | Monto=327,99 | Fecha: 21/04/2026</t>
        </is>
      </c>
    </row>
    <row r="161">
      <c r="A161" s="8" t="inlineStr">
        <is>
          <t>Administración/Banco</t>
        </is>
      </c>
      <c r="B161" s="8" t="inlineStr">
        <is>
          <t>Banco egreso no Flexxus</t>
        </is>
      </c>
      <c r="C161" s="8" t="inlineStr">
        <is>
          <t>Anticipo Ganancias Ley 25.413 créditos</t>
        </is>
      </c>
      <c r="D161" s="9" t="n">
        <v>73.37</v>
      </c>
      <c r="E161" s="8" t="inlineStr">
        <is>
          <t>ABIERTO_NUEVO</t>
        </is>
      </c>
      <c r="F161" s="8" t="inlineStr">
        <is>
          <t>Banco / impuesto / gasto</t>
        </is>
      </c>
      <c r="G161" s="8" t="inlineStr">
        <is>
          <t>Copiar en Flexxus: Tipo=MB-EXT | Movimiento=GRAVAMEN LEY 25.413 S/CRED | Monto=73,37 | Fecha: 21/04/2026</t>
        </is>
      </c>
    </row>
    <row r="162">
      <c r="A162" s="8" t="inlineStr">
        <is>
          <t>Administración/Banco</t>
        </is>
      </c>
      <c r="B162" s="8" t="inlineStr">
        <is>
          <t>Banco egreso no Flexxus</t>
        </is>
      </c>
      <c r="C162" s="8" t="inlineStr">
        <is>
          <t>Anticipo Ganancias Ley 25.413 créditos</t>
        </is>
      </c>
      <c r="D162" s="9" t="n">
        <v>193.1</v>
      </c>
      <c r="E162" s="8" t="inlineStr">
        <is>
          <t>ABIERTO_NUEVO</t>
        </is>
      </c>
      <c r="F162" s="8" t="inlineStr">
        <is>
          <t>Banco / impuesto / gasto</t>
        </is>
      </c>
      <c r="G162" s="8" t="inlineStr">
        <is>
          <t>Copiar en Flexxus: Tipo=MB-EXT | Movimiento=GRAVAMEN LEY 25.413 S/CRED | Monto=193,10 | Fecha: 21/04/2026</t>
        </is>
      </c>
    </row>
    <row r="163">
      <c r="A163" s="8" t="inlineStr">
        <is>
          <t>Administración/Banco</t>
        </is>
      </c>
      <c r="B163" s="8" t="inlineStr">
        <is>
          <t>Banco egreso no Flexxus</t>
        </is>
      </c>
      <c r="C163" s="8" t="inlineStr">
        <is>
          <t>Anticipo Ganancias Ley 25.413 créditos</t>
        </is>
      </c>
      <c r="D163" s="9" t="n">
        <v>11540.4</v>
      </c>
      <c r="E163" s="8" t="inlineStr">
        <is>
          <t>ABIERTO_NUEVO</t>
        </is>
      </c>
      <c r="F163" s="8" t="inlineStr">
        <is>
          <t>Banco / impuesto / gasto</t>
        </is>
      </c>
      <c r="G163" s="8" t="inlineStr">
        <is>
          <t>Copiar en Flexxus: Tipo=MB-EXT | Movimiento=GRAVAMEN LEY 25.413 S/CRED | Monto=11.540,40 | Fecha: 21/04/2026</t>
        </is>
      </c>
    </row>
    <row r="164">
      <c r="A164" s="8" t="inlineStr">
        <is>
          <t>Administración/Banco</t>
        </is>
      </c>
      <c r="B164" s="8" t="inlineStr">
        <is>
          <t>Banco egreso no Flexxus</t>
        </is>
      </c>
      <c r="C164" s="8" t="inlineStr">
        <is>
          <t>Anticipo Ganancias Ley 25.413 créditos</t>
        </is>
      </c>
      <c r="D164" s="9" t="n">
        <v>12425.39</v>
      </c>
      <c r="E164" s="8" t="inlineStr">
        <is>
          <t>ABIERTO_NUEVO</t>
        </is>
      </c>
      <c r="F164" s="8" t="inlineStr">
        <is>
          <t>Banco / impuesto / gasto</t>
        </is>
      </c>
      <c r="G164" s="8" t="inlineStr">
        <is>
          <t>Copiar en Flexxus: Tipo=MB-EXT | Movimiento=GRAVAMEN LEY 25.413 S/CRED | Monto=12.425,39 | Fecha: 21/04/2026</t>
        </is>
      </c>
    </row>
    <row r="165">
      <c r="A165" s="8" t="inlineStr">
        <is>
          <t>Administración/Banco</t>
        </is>
      </c>
      <c r="B165" s="8" t="inlineStr">
        <is>
          <t>Banco egreso no Flexxus</t>
        </is>
      </c>
      <c r="C165" s="8" t="inlineStr">
        <is>
          <t>Anticipo Ganancias Ley 25.413 créditos</t>
        </is>
      </c>
      <c r="D165" s="9" t="n">
        <v>3708.77</v>
      </c>
      <c r="E165" s="8" t="inlineStr">
        <is>
          <t>ABIERTO_NUEVO</t>
        </is>
      </c>
      <c r="F165" s="8" t="inlineStr">
        <is>
          <t>Banco / impuesto / gasto</t>
        </is>
      </c>
      <c r="G165" s="8" t="inlineStr">
        <is>
          <t>Copiar en Flexxus: Tipo=MB-EXT | Movimiento=GRAVAMEN LEY 25.413 S/CRED | Monto=3.708,77 | Fecha: 21/04/2026</t>
        </is>
      </c>
    </row>
    <row r="166">
      <c r="A166" s="8" t="inlineStr">
        <is>
          <t>Administración/Banco</t>
        </is>
      </c>
      <c r="B166" s="8" t="inlineStr">
        <is>
          <t>Banco egreso no Flexxus</t>
        </is>
      </c>
      <c r="C166" s="8" t="inlineStr">
        <is>
          <t>Anticipo Ganancias Ley 25.413 créditos</t>
        </is>
      </c>
      <c r="D166" s="9" t="n">
        <v>1244.49</v>
      </c>
      <c r="E166" s="8" t="inlineStr">
        <is>
          <t>ABIERTO_NUEVO</t>
        </is>
      </c>
      <c r="F166" s="8" t="inlineStr">
        <is>
          <t>Banco / impuesto / gasto</t>
        </is>
      </c>
      <c r="G166" s="8" t="inlineStr">
        <is>
          <t>Copiar en Flexxus: Tipo=MB-EXT | Movimiento=GRAVAMEN LEY 25.413 S/CRED | Monto=1.244,49 | Fecha: 21/04/2026</t>
        </is>
      </c>
    </row>
    <row r="167">
      <c r="A167" s="8" t="inlineStr">
        <is>
          <t>Administración/Banco</t>
        </is>
      </c>
      <c r="B167" s="8" t="inlineStr">
        <is>
          <t>Banco egreso no Flexxus</t>
        </is>
      </c>
      <c r="C167" s="8" t="inlineStr">
        <is>
          <t>Anticipo Ganancias Ley 25.413 créditos</t>
        </is>
      </c>
      <c r="D167" s="9" t="n">
        <v>1646.13</v>
      </c>
      <c r="E167" s="8" t="inlineStr">
        <is>
          <t>ABIERTO_NUEVO</t>
        </is>
      </c>
      <c r="F167" s="8" t="inlineStr">
        <is>
          <t>Banco / impuesto / gasto</t>
        </is>
      </c>
      <c r="G167" s="8" t="inlineStr">
        <is>
          <t>Copiar en Flexxus: Tipo=MB-EXT | Movimiento=GRAVAMEN LEY 25.413 S/CRED | Monto=1.646,13 | Fecha: 21/04/2026</t>
        </is>
      </c>
    </row>
    <row r="168">
      <c r="A168" s="8" t="inlineStr">
        <is>
          <t>Administración/Banco</t>
        </is>
      </c>
      <c r="B168" s="8" t="inlineStr">
        <is>
          <t>Banco egreso no Flexxus</t>
        </is>
      </c>
      <c r="C168" s="8" t="inlineStr">
        <is>
          <t>Anticipo Ganancias Ley 25.413 créditos</t>
        </is>
      </c>
      <c r="D168" s="9" t="n">
        <v>2930.8</v>
      </c>
      <c r="E168" s="8" t="inlineStr">
        <is>
          <t>ABIERTO_NUEVO</t>
        </is>
      </c>
      <c r="F168" s="8" t="inlineStr">
        <is>
          <t>Banco / impuesto / gasto</t>
        </is>
      </c>
      <c r="G168" s="8" t="inlineStr">
        <is>
          <t>Copiar en Flexxus: Tipo=MB-EXT | Movimiento=GRAVAMEN LEY 25.413 S/CRED | Monto=2.930,80 | Fecha: 21/04/2026</t>
        </is>
      </c>
    </row>
    <row r="169">
      <c r="A169" s="8" t="inlineStr">
        <is>
          <t>Administración/Banco</t>
        </is>
      </c>
      <c r="B169" s="8" t="inlineStr">
        <is>
          <t>Banco egreso no Flexxus</t>
        </is>
      </c>
      <c r="C169" s="8" t="inlineStr">
        <is>
          <t>Anticipo Ganancias Ley 25.413 créditos</t>
        </is>
      </c>
      <c r="D169" s="9" t="n">
        <v>866.59</v>
      </c>
      <c r="E169" s="8" t="inlineStr">
        <is>
          <t>ABIERTO_NUEVO</t>
        </is>
      </c>
      <c r="F169" s="8" t="inlineStr">
        <is>
          <t>Banco / impuesto / gasto</t>
        </is>
      </c>
      <c r="G169" s="8" t="inlineStr">
        <is>
          <t>Copiar en Flexxus: Tipo=MB-EXT | Movimiento=GRAVAMEN LEY 25.413 S/CRED | Monto=866,59 | Fecha: 21/04/2026</t>
        </is>
      </c>
    </row>
    <row r="170">
      <c r="A170" s="8" t="inlineStr">
        <is>
          <t>Administración/Banco</t>
        </is>
      </c>
      <c r="B170" s="8" t="inlineStr">
        <is>
          <t>Banco egreso no Flexxus</t>
        </is>
      </c>
      <c r="C170" s="8" t="inlineStr">
        <is>
          <t>Anticipo Ganancias Ley 25.413 créditos</t>
        </is>
      </c>
      <c r="D170" s="9" t="n">
        <v>1742.72</v>
      </c>
      <c r="E170" s="8" t="inlineStr">
        <is>
          <t>ABIERTO_NUEVO</t>
        </is>
      </c>
      <c r="F170" s="8" t="inlineStr">
        <is>
          <t>Banco / impuesto / gasto</t>
        </is>
      </c>
      <c r="G170" s="8" t="inlineStr">
        <is>
          <t>Copiar en Flexxus: Tipo=MB-EXT | Movimiento=GRAVAMEN LEY 25.413 S/CRED | Monto=1.742,72 | Fecha: 21/04/2026</t>
        </is>
      </c>
    </row>
    <row r="171">
      <c r="A171" s="8" t="inlineStr">
        <is>
          <t>Administración/Banco</t>
        </is>
      </c>
      <c r="B171" s="8" t="inlineStr">
        <is>
          <t>Banco egreso no Flexxus</t>
        </is>
      </c>
      <c r="C171" s="8" t="inlineStr">
        <is>
          <t>Anticipo Ganancias Ley 25.413 créditos</t>
        </is>
      </c>
      <c r="D171" s="9" t="n">
        <v>1943.89</v>
      </c>
      <c r="E171" s="8" t="inlineStr">
        <is>
          <t>ABIERTO_NUEVO</t>
        </is>
      </c>
      <c r="F171" s="8" t="inlineStr">
        <is>
          <t>Banco / impuesto / gasto</t>
        </is>
      </c>
      <c r="G171" s="8" t="inlineStr">
        <is>
          <t>Copiar en Flexxus: Tipo=MB-EXT | Movimiento=GRAVAMEN LEY 25.413 S/CRED | Monto=1.943,89 | Fecha: 21/04/2026</t>
        </is>
      </c>
    </row>
    <row r="172">
      <c r="A172" s="8" t="inlineStr">
        <is>
          <t>Administración/Banco</t>
        </is>
      </c>
      <c r="B172" s="8" t="inlineStr">
        <is>
          <t>Banco egreso no Flexxus</t>
        </is>
      </c>
      <c r="C172" s="8" t="inlineStr">
        <is>
          <t>Anticipo Ganancias Ley 25.413 créditos</t>
        </is>
      </c>
      <c r="D172" s="9" t="n">
        <v>951.9400000000001</v>
      </c>
      <c r="E172" s="8" t="inlineStr">
        <is>
          <t>ABIERTO_NUEVO</t>
        </is>
      </c>
      <c r="F172" s="8" t="inlineStr">
        <is>
          <t>Banco / impuesto / gasto</t>
        </is>
      </c>
      <c r="G172" s="8" t="inlineStr">
        <is>
          <t>Copiar en Flexxus: Tipo=MB-EXT | Movimiento=GRAVAMEN LEY 25.413 S/CRED | Monto=951,94 | Fecha: 21/04/2026</t>
        </is>
      </c>
    </row>
    <row r="173">
      <c r="A173" s="8" t="inlineStr">
        <is>
          <t>Administración/Banco</t>
        </is>
      </c>
      <c r="B173" s="8" t="inlineStr">
        <is>
          <t>Banco egreso no Flexxus</t>
        </is>
      </c>
      <c r="C173" s="8" t="inlineStr">
        <is>
          <t>Anticipo Ganancias Ley 25.413 créditos</t>
        </is>
      </c>
      <c r="D173" s="9" t="n">
        <v>1545.4</v>
      </c>
      <c r="E173" s="8" t="inlineStr">
        <is>
          <t>ABIERTO_NUEVO</t>
        </is>
      </c>
      <c r="F173" s="8" t="inlineStr">
        <is>
          <t>Banco / impuesto / gasto</t>
        </is>
      </c>
      <c r="G173" s="8" t="inlineStr">
        <is>
          <t>Copiar en Flexxus: Tipo=MB-EXT | Movimiento=GRAVAMEN LEY 25.413 S/CRED | Monto=1.545,40 | Fecha: 21/04/2026</t>
        </is>
      </c>
    </row>
    <row r="174">
      <c r="A174" s="8" t="inlineStr">
        <is>
          <t>Administración/Banco</t>
        </is>
      </c>
      <c r="B174" s="8" t="inlineStr">
        <is>
          <t>Banco egreso no Flexxus</t>
        </is>
      </c>
      <c r="C174" s="8" t="inlineStr">
        <is>
          <t>Anticipo Ganancias Ley 25.413 créditos</t>
        </is>
      </c>
      <c r="D174" s="9" t="n">
        <v>537.62</v>
      </c>
      <c r="E174" s="8" t="inlineStr">
        <is>
          <t>ABIERTO_NUEVO</t>
        </is>
      </c>
      <c r="F174" s="8" t="inlineStr">
        <is>
          <t>Banco / impuesto / gasto</t>
        </is>
      </c>
      <c r="G174" s="8" t="inlineStr">
        <is>
          <t>Copiar en Flexxus: Tipo=MB-EXT | Movimiento=GRAVAMEN LEY 25.413 S/CRED | Monto=537,62 | Fecha: 21/04/2026</t>
        </is>
      </c>
    </row>
    <row r="175">
      <c r="A175" s="8" t="inlineStr">
        <is>
          <t>Administración/Banco</t>
        </is>
      </c>
      <c r="B175" s="8" t="inlineStr">
        <is>
          <t>Banco egreso no Flexxus</t>
        </is>
      </c>
      <c r="C175" s="8" t="inlineStr">
        <is>
          <t>Anticipo Ganancias Ley 25.413 créditos</t>
        </is>
      </c>
      <c r="D175" s="9" t="n">
        <v>1046.19</v>
      </c>
      <c r="E175" s="8" t="inlineStr">
        <is>
          <t>ABIERTO_NUEVO</t>
        </is>
      </c>
      <c r="F175" s="8" t="inlineStr">
        <is>
          <t>Banco / impuesto / gasto</t>
        </is>
      </c>
      <c r="G175" s="8" t="inlineStr">
        <is>
          <t>Copiar en Flexxus: Tipo=MB-EXT | Movimiento=GRAVAMEN LEY 25.413 S/CRED | Monto=1.046,19 | Fecha: 21/04/2026</t>
        </is>
      </c>
    </row>
    <row r="176">
      <c r="A176" s="8" t="inlineStr">
        <is>
          <t>Administración/Banco</t>
        </is>
      </c>
      <c r="B176" s="8" t="inlineStr">
        <is>
          <t>Banco egreso no Flexxus</t>
        </is>
      </c>
      <c r="C176" s="8" t="inlineStr">
        <is>
          <t>Anticipo Ganancias Ley 25.413 créditos</t>
        </is>
      </c>
      <c r="D176" s="9" t="n">
        <v>627.12</v>
      </c>
      <c r="E176" s="8" t="inlineStr">
        <is>
          <t>ABIERTO_NUEVO</t>
        </is>
      </c>
      <c r="F176" s="8" t="inlineStr">
        <is>
          <t>Banco / impuesto / gasto</t>
        </is>
      </c>
      <c r="G176" s="8" t="inlineStr">
        <is>
          <t>Copiar en Flexxus: Tipo=MB-EXT | Movimiento=GRAVAMEN LEY 25.413 S/CRED | Monto=627,12 | Fecha: 21/04/2026</t>
        </is>
      </c>
    </row>
    <row r="177">
      <c r="A177" s="8" t="inlineStr">
        <is>
          <t>Administración/Banco</t>
        </is>
      </c>
      <c r="B177" s="8" t="inlineStr">
        <is>
          <t>Banco egreso no Flexxus</t>
        </is>
      </c>
      <c r="C177" s="8" t="inlineStr">
        <is>
          <t>Anticipo Ganancias Ley 25.413 créditos</t>
        </is>
      </c>
      <c r="D177" s="9" t="n">
        <v>3759.33</v>
      </c>
      <c r="E177" s="8" t="inlineStr">
        <is>
          <t>ABIERTO_NUEVO</t>
        </is>
      </c>
      <c r="F177" s="8" t="inlineStr">
        <is>
          <t>Banco / impuesto / gasto</t>
        </is>
      </c>
      <c r="G177" s="8" t="inlineStr">
        <is>
          <t>Copiar en Flexxus: Tipo=MB-EXT | Movimiento=GRAVAMEN LEY 25.413 S/CRED | Monto=3.759,33 | Fecha: 21/04/2026</t>
        </is>
      </c>
    </row>
    <row r="178">
      <c r="A178" s="8" t="inlineStr">
        <is>
          <t>Administración/Banco</t>
        </is>
      </c>
      <c r="B178" s="8" t="inlineStr">
        <is>
          <t>Banco egreso no Flexxus</t>
        </is>
      </c>
      <c r="C178" s="8" t="inlineStr">
        <is>
          <t>Anticipo Ganancias Ley 25.413 créditos</t>
        </is>
      </c>
      <c r="D178" s="9" t="n">
        <v>2724.5</v>
      </c>
      <c r="E178" s="8" t="inlineStr">
        <is>
          <t>ABIERTO_NUEVO</t>
        </is>
      </c>
      <c r="F178" s="8" t="inlineStr">
        <is>
          <t>Banco / impuesto / gasto</t>
        </is>
      </c>
      <c r="G178" s="8" t="inlineStr">
        <is>
          <t>Copiar en Flexxus: Tipo=MB-EXT | Movimiento=GRAVAMEN LEY 25.413 S/CRED | Monto=2.724,50 | Fecha: 21/04/2026</t>
        </is>
      </c>
    </row>
    <row r="179">
      <c r="A179" s="8" t="inlineStr">
        <is>
          <t>Administración/Banco</t>
        </is>
      </c>
      <c r="B179" s="8" t="inlineStr">
        <is>
          <t>Banco egreso no Flexxus</t>
        </is>
      </c>
      <c r="C179" s="8" t="inlineStr">
        <is>
          <t>Anticipo Ganancias Ley 25.413 créditos</t>
        </is>
      </c>
      <c r="D179" s="9" t="n">
        <v>1318.69</v>
      </c>
      <c r="E179" s="8" t="inlineStr">
        <is>
          <t>ABIERTO_NUEVO</t>
        </is>
      </c>
      <c r="F179" s="8" t="inlineStr">
        <is>
          <t>Banco / impuesto / gasto</t>
        </is>
      </c>
      <c r="G179" s="8" t="inlineStr">
        <is>
          <t>Copiar en Flexxus: Tipo=MB-EXT | Movimiento=GRAVAMEN LEY 25.413 S/CRED | Monto=1.318,69 | Fecha: 21/04/2026</t>
        </is>
      </c>
    </row>
    <row r="180">
      <c r="A180" s="8" t="inlineStr">
        <is>
          <t>Administración/Banco</t>
        </is>
      </c>
      <c r="B180" s="8" t="inlineStr">
        <is>
          <t>Banco egreso no Flexxus</t>
        </is>
      </c>
      <c r="C180" s="8" t="inlineStr">
        <is>
          <t>Anticipo Ganancias Ley 25.413 créditos</t>
        </is>
      </c>
      <c r="D180" s="9" t="n">
        <v>1647.2</v>
      </c>
      <c r="E180" s="8" t="inlineStr">
        <is>
          <t>ABIERTO_NUEVO</t>
        </is>
      </c>
      <c r="F180" s="8" t="inlineStr">
        <is>
          <t>Banco / impuesto / gasto</t>
        </is>
      </c>
      <c r="G180" s="8" t="inlineStr">
        <is>
          <t>Copiar en Flexxus: Tipo=MB-EXT | Movimiento=GRAVAMEN LEY 25.413 S/CRED | Monto=1.647,20 | Fecha: 21/04/2026</t>
        </is>
      </c>
    </row>
    <row r="181">
      <c r="A181" s="8" t="inlineStr">
        <is>
          <t>Administración/Banco</t>
        </is>
      </c>
      <c r="B181" s="8" t="inlineStr">
        <is>
          <t>Banco egreso no Flexxus</t>
        </is>
      </c>
      <c r="C181" s="8" t="inlineStr">
        <is>
          <t>Anticipo Ganancias Ley 25.413 créditos</t>
        </is>
      </c>
      <c r="D181" s="9" t="n">
        <v>553.48</v>
      </c>
      <c r="E181" s="8" t="inlineStr">
        <is>
          <t>ABIERTO_NUEVO</t>
        </is>
      </c>
      <c r="F181" s="8" t="inlineStr">
        <is>
          <t>Banco / impuesto / gasto</t>
        </is>
      </c>
      <c r="G181" s="8" t="inlineStr">
        <is>
          <t>Copiar en Flexxus: Tipo=MB-EXT | Movimiento=GRAVAMEN LEY 25.413 S/CRED | Monto=553,48 | Fecha: 21/04/2026</t>
        </is>
      </c>
    </row>
    <row r="182">
      <c r="A182" s="8" t="inlineStr">
        <is>
          <t>Administración/Banco</t>
        </is>
      </c>
      <c r="B182" s="8" t="inlineStr">
        <is>
          <t>Banco egreso no Flexxus</t>
        </is>
      </c>
      <c r="C182" s="8" t="inlineStr">
        <is>
          <t>Anticipo Ganancias Ley 25.413 créditos</t>
        </is>
      </c>
      <c r="D182" s="9" t="n">
        <v>159.65</v>
      </c>
      <c r="E182" s="8" t="inlineStr">
        <is>
          <t>ABIERTO_NUEVO</t>
        </is>
      </c>
      <c r="F182" s="8" t="inlineStr">
        <is>
          <t>Banco / impuesto / gasto</t>
        </is>
      </c>
      <c r="G182" s="8" t="inlineStr">
        <is>
          <t>Copiar en Flexxus: Tipo=MB-EXT | Movimiento=GRAVAMEN LEY 25.413 S/CRED | Monto=159,65 | Fecha: 21/04/2026</t>
        </is>
      </c>
    </row>
    <row r="183">
      <c r="A183" s="8" t="inlineStr">
        <is>
          <t>Administración/Banco</t>
        </is>
      </c>
      <c r="B183" s="8" t="inlineStr">
        <is>
          <t>Banco egreso no Flexxus</t>
        </is>
      </c>
      <c r="C183" s="8" t="inlineStr">
        <is>
          <t>Anticipo Ganancias Ley 25.413 créditos</t>
        </is>
      </c>
      <c r="D183" s="9" t="n">
        <v>299.34</v>
      </c>
      <c r="E183" s="8" t="inlineStr">
        <is>
          <t>ABIERTO_NUEVO</t>
        </is>
      </c>
      <c r="F183" s="8" t="inlineStr">
        <is>
          <t>Banco / impuesto / gasto</t>
        </is>
      </c>
      <c r="G183" s="8" t="inlineStr">
        <is>
          <t>Copiar en Flexxus: Tipo=MB-EXT | Movimiento=GRAVAMEN LEY 25.413 S/CRED | Monto=299,34 | Fecha: 21/04/2026</t>
        </is>
      </c>
    </row>
    <row r="184">
      <c r="A184" s="8" t="inlineStr">
        <is>
          <t>Administración/Banco</t>
        </is>
      </c>
      <c r="B184" s="8" t="inlineStr">
        <is>
          <t>Banco egreso no Flexxus</t>
        </is>
      </c>
      <c r="C184" s="8" t="inlineStr">
        <is>
          <t>Anticipo Ganancias Ley 25.413 créditos</t>
        </is>
      </c>
      <c r="D184" s="9" t="n">
        <v>414.37</v>
      </c>
      <c r="E184" s="8" t="inlineStr">
        <is>
          <t>ABIERTO_NUEVO</t>
        </is>
      </c>
      <c r="F184" s="8" t="inlineStr">
        <is>
          <t>Banco / impuesto / gasto</t>
        </is>
      </c>
      <c r="G184" s="8" t="inlineStr">
        <is>
          <t>Copiar en Flexxus: Tipo=MB-EXT | Movimiento=GRAVAMEN LEY 25.413 S/CRED | Monto=414,37 | Fecha: 21/04/2026</t>
        </is>
      </c>
    </row>
    <row r="185">
      <c r="A185" s="8" t="inlineStr">
        <is>
          <t>Administración/Banco</t>
        </is>
      </c>
      <c r="B185" s="8" t="inlineStr">
        <is>
          <t>Banco egreso no Flexxus</t>
        </is>
      </c>
      <c r="C185" s="8" t="inlineStr">
        <is>
          <t>Anticipo Ganancias Ley 25.413 créditos</t>
        </is>
      </c>
      <c r="D185" s="9" t="n">
        <v>393.24</v>
      </c>
      <c r="E185" s="8" t="inlineStr">
        <is>
          <t>ABIERTO_NUEVO</t>
        </is>
      </c>
      <c r="F185" s="8" t="inlineStr">
        <is>
          <t>Banco / impuesto / gasto</t>
        </is>
      </c>
      <c r="G185" s="8" t="inlineStr">
        <is>
          <t>Copiar en Flexxus: Tipo=MB-EXT | Movimiento=GRAVAMEN LEY 25.413 S/CRED | Monto=393,24 | Fecha: 21/04/2026</t>
        </is>
      </c>
    </row>
    <row r="186">
      <c r="A186" s="8" t="inlineStr">
        <is>
          <t>Administración/Banco</t>
        </is>
      </c>
      <c r="B186" s="8" t="inlineStr">
        <is>
          <t>Banco egreso no Flexxus</t>
        </is>
      </c>
      <c r="C186" s="8" t="inlineStr">
        <is>
          <t>Anticipo Ganancias Ley 25.413 créditos</t>
        </is>
      </c>
      <c r="D186" s="9" t="n">
        <v>1287.02</v>
      </c>
      <c r="E186" s="8" t="inlineStr">
        <is>
          <t>ABIERTO_NUEVO</t>
        </is>
      </c>
      <c r="F186" s="8" t="inlineStr">
        <is>
          <t>Banco / impuesto / gasto</t>
        </is>
      </c>
      <c r="G186" s="8" t="inlineStr">
        <is>
          <t>Copiar en Flexxus: Tipo=MB-EXT | Movimiento=GRAVAMEN LEY 25.413 S/CRED | Monto=1.287,02 | Fecha: 21/04/2026</t>
        </is>
      </c>
    </row>
    <row r="187">
      <c r="A187" s="8" t="inlineStr">
        <is>
          <t>Administración/Banco</t>
        </is>
      </c>
      <c r="B187" s="8" t="inlineStr">
        <is>
          <t>Banco egreso no Flexxus</t>
        </is>
      </c>
      <c r="C187" s="8" t="inlineStr">
        <is>
          <t>Anticipo Ganancias Ley 25.413 créditos</t>
        </is>
      </c>
      <c r="D187" s="9" t="n">
        <v>1271.77</v>
      </c>
      <c r="E187" s="8" t="inlineStr">
        <is>
          <t>ABIERTO_NUEVO</t>
        </is>
      </c>
      <c r="F187" s="8" t="inlineStr">
        <is>
          <t>Banco / impuesto / gasto</t>
        </is>
      </c>
      <c r="G187" s="8" t="inlineStr">
        <is>
          <t>Copiar en Flexxus: Tipo=MB-EXT | Movimiento=GRAVAMEN LEY 25.413 S/CRED | Monto=1.271,77 | Fecha: 21/04/2026</t>
        </is>
      </c>
    </row>
    <row r="188">
      <c r="A188" s="8" t="inlineStr">
        <is>
          <t>Administración/Banco</t>
        </is>
      </c>
      <c r="B188" s="8" t="inlineStr">
        <is>
          <t>Banco egreso no Flexxus</t>
        </is>
      </c>
      <c r="C188" s="8" t="inlineStr">
        <is>
          <t>Anticipo Ganancias Ley 25.413 créditos</t>
        </is>
      </c>
      <c r="D188" s="9" t="n">
        <v>208.36</v>
      </c>
      <c r="E188" s="8" t="inlineStr">
        <is>
          <t>ABIERTO_NUEVO</t>
        </is>
      </c>
      <c r="F188" s="8" t="inlineStr">
        <is>
          <t>Banco / impuesto / gasto</t>
        </is>
      </c>
      <c r="G188" s="8" t="inlineStr">
        <is>
          <t>Copiar en Flexxus: Tipo=MB-EXT | Movimiento=GRAVAMEN LEY 25.413 S/CRED | Monto=208,36 | Fecha: 21/04/2026</t>
        </is>
      </c>
    </row>
    <row r="189">
      <c r="A189" s="8" t="inlineStr">
        <is>
          <t>Administración/Banco</t>
        </is>
      </c>
      <c r="B189" s="8" t="inlineStr">
        <is>
          <t>Banco egreso no Flexxus</t>
        </is>
      </c>
      <c r="C189" s="8" t="inlineStr">
        <is>
          <t>Anticipo Ganancias Ley 25.413 créditos</t>
        </is>
      </c>
      <c r="D189" s="9" t="n">
        <v>184.3</v>
      </c>
      <c r="E189" s="8" t="inlineStr">
        <is>
          <t>ABIERTO_NUEVO</t>
        </is>
      </c>
      <c r="F189" s="8" t="inlineStr">
        <is>
          <t>Banco / impuesto / gasto</t>
        </is>
      </c>
      <c r="G189" s="8" t="inlineStr">
        <is>
          <t>Copiar en Flexxus: Tipo=MB-EXT | Movimiento=GRAVAMEN LEY 25.413 S/CRED | Monto=184,30 | Fecha: 21/04/2026</t>
        </is>
      </c>
    </row>
    <row r="190">
      <c r="A190" s="8" t="inlineStr">
        <is>
          <t>Administración/Banco</t>
        </is>
      </c>
      <c r="B190" s="8" t="inlineStr">
        <is>
          <t>Banco egreso no Flexxus</t>
        </is>
      </c>
      <c r="C190" s="8" t="inlineStr">
        <is>
          <t>Anticipo Ganancias Ley 25.413 créditos</t>
        </is>
      </c>
      <c r="D190" s="9" t="n">
        <v>71.90000000000001</v>
      </c>
      <c r="E190" s="8" t="inlineStr">
        <is>
          <t>ABIERTO_NUEVO</t>
        </is>
      </c>
      <c r="F190" s="8" t="inlineStr">
        <is>
          <t>Banco / impuesto / gasto</t>
        </is>
      </c>
      <c r="G190" s="8" t="inlineStr">
        <is>
          <t>Copiar en Flexxus: Tipo=MB-EXT | Movimiento=GRAVAMEN LEY 25.413 S/CRED | Monto=71,90 | Fecha: 21/04/2026</t>
        </is>
      </c>
    </row>
    <row r="191">
      <c r="A191" s="8" t="inlineStr">
        <is>
          <t>Administración/Banco</t>
        </is>
      </c>
      <c r="B191" s="8" t="inlineStr">
        <is>
          <t>Banco egreso no Flexxus</t>
        </is>
      </c>
      <c r="C191" s="8" t="inlineStr">
        <is>
          <t>Anticipo Ganancias Ley 25.413 créditos</t>
        </is>
      </c>
      <c r="D191" s="9" t="n">
        <v>385.04</v>
      </c>
      <c r="E191" s="8" t="inlineStr">
        <is>
          <t>ABIERTO_NUEVO</t>
        </is>
      </c>
      <c r="F191" s="8" t="inlineStr">
        <is>
          <t>Banco / impuesto / gasto</t>
        </is>
      </c>
      <c r="G191" s="8" t="inlineStr">
        <is>
          <t>Copiar en Flexxus: Tipo=MB-EXT | Movimiento=GRAVAMEN LEY 25.413 S/CRED | Monto=385,04 | Fecha: 21/04/2026</t>
        </is>
      </c>
    </row>
    <row r="192">
      <c r="A192" s="8" t="inlineStr">
        <is>
          <t>Administración/Banco</t>
        </is>
      </c>
      <c r="B192" s="8" t="inlineStr">
        <is>
          <t>Banco egreso no Flexxus</t>
        </is>
      </c>
      <c r="C192" s="8" t="inlineStr">
        <is>
          <t>Anticipo Ganancias Ley 25.413 créditos</t>
        </is>
      </c>
      <c r="D192" s="9" t="n">
        <v>49.91</v>
      </c>
      <c r="E192" s="8" t="inlineStr">
        <is>
          <t>ABIERTO_NUEVO</t>
        </is>
      </c>
      <c r="F192" s="8" t="inlineStr">
        <is>
          <t>Banco / impuesto / gasto</t>
        </is>
      </c>
      <c r="G192" s="8" t="inlineStr">
        <is>
          <t>Copiar en Flexxus: Tipo=MB-EXT | Movimiento=GRAVAMEN LEY 25.413 S/CRED | Monto=49,91 | Fecha: 21/04/2026</t>
        </is>
      </c>
    </row>
    <row r="193">
      <c r="A193" s="8" t="inlineStr">
        <is>
          <t>Administración/Banco</t>
        </is>
      </c>
      <c r="B193" s="8" t="inlineStr">
        <is>
          <t>Banco egreso no Flexxus</t>
        </is>
      </c>
      <c r="C193" s="8" t="inlineStr">
        <is>
          <t>Anticipo Ganancias Ley 25.413 créditos</t>
        </is>
      </c>
      <c r="D193" s="9" t="n">
        <v>101.01</v>
      </c>
      <c r="E193" s="8" t="inlineStr">
        <is>
          <t>ABIERTO_NUEVO</t>
        </is>
      </c>
      <c r="F193" s="8" t="inlineStr">
        <is>
          <t>Banco / impuesto / gasto</t>
        </is>
      </c>
      <c r="G193" s="8" t="inlineStr">
        <is>
          <t>Copiar en Flexxus: Tipo=MB-EXT | Movimiento=GRAVAMEN LEY 25.413 S/CRED | Monto=101,01 | Fecha: 21/04/2026</t>
        </is>
      </c>
    </row>
    <row r="194">
      <c r="A194" s="8" t="inlineStr">
        <is>
          <t>Administración/Banco</t>
        </is>
      </c>
      <c r="B194" s="8" t="inlineStr">
        <is>
          <t>Banco egreso no Flexxus</t>
        </is>
      </c>
      <c r="C194" s="8" t="inlineStr">
        <is>
          <t>Anticipo Ganancias Ley 25.413 créditos</t>
        </is>
      </c>
      <c r="D194" s="9" t="n">
        <v>132.5</v>
      </c>
      <c r="E194" s="8" t="inlineStr">
        <is>
          <t>ABIERTO_NUEVO</t>
        </is>
      </c>
      <c r="F194" s="8" t="inlineStr">
        <is>
          <t>Banco / impuesto / gasto</t>
        </is>
      </c>
      <c r="G194" s="8" t="inlineStr">
        <is>
          <t>Copiar en Flexxus: Tipo=MB-EXT | Movimiento=GRAVAMEN LEY 25.413 S/CRED | Monto=132,50 | Fecha: 21/04/2026</t>
        </is>
      </c>
    </row>
    <row r="195">
      <c r="A195" s="8" t="inlineStr">
        <is>
          <t>Administración/Banco</t>
        </is>
      </c>
      <c r="B195" s="8" t="inlineStr">
        <is>
          <t>Banco egreso no Flexxus</t>
        </is>
      </c>
      <c r="C195" s="8" t="inlineStr">
        <is>
          <t>Anticipo Ganancias Ley 25.413 créditos</t>
        </is>
      </c>
      <c r="D195" s="9" t="n">
        <v>90.91</v>
      </c>
      <c r="E195" s="8" t="inlineStr">
        <is>
          <t>ABIERTO_NUEVO</t>
        </is>
      </c>
      <c r="F195" s="8" t="inlineStr">
        <is>
          <t>Banco / impuesto / gasto</t>
        </is>
      </c>
      <c r="G195" s="8" t="inlineStr">
        <is>
          <t>Copiar en Flexxus: Tipo=MB-EXT | Movimiento=GRAVAMEN LEY 25.413 S/CRED | Monto=90,91 | Fecha: 21/04/2026</t>
        </is>
      </c>
    </row>
    <row r="196">
      <c r="A196" s="8" t="inlineStr">
        <is>
          <t>Administración/Banco</t>
        </is>
      </c>
      <c r="B196" s="8" t="inlineStr">
        <is>
          <t>Banco egreso no Flexxus</t>
        </is>
      </c>
      <c r="C196" s="8" t="inlineStr">
        <is>
          <t>Anticipo Ganancias Ley 25.413 créditos</t>
        </is>
      </c>
      <c r="D196" s="9" t="n">
        <v>68.33</v>
      </c>
      <c r="E196" s="8" t="inlineStr">
        <is>
          <t>ABIERTO_NUEVO</t>
        </is>
      </c>
      <c r="F196" s="8" t="inlineStr">
        <is>
          <t>Banco / impuesto / gasto</t>
        </is>
      </c>
      <c r="G196" s="8" t="inlineStr">
        <is>
          <t>Copiar en Flexxus: Tipo=MB-EXT | Movimiento=GRAVAMEN LEY 25.413 S/CRED | Monto=68,33 | Fecha: 20/04/2026</t>
        </is>
      </c>
    </row>
    <row r="197">
      <c r="A197" s="8" t="inlineStr">
        <is>
          <t>Administración/Banco</t>
        </is>
      </c>
      <c r="B197" s="8" t="inlineStr">
        <is>
          <t>Banco egreso no Flexxus</t>
        </is>
      </c>
      <c r="C197" s="8" t="inlineStr">
        <is>
          <t>Anticipo Ganancias Ley 25.413 créditos</t>
        </is>
      </c>
      <c r="D197" s="9" t="n">
        <v>216.88</v>
      </c>
      <c r="E197" s="8" t="inlineStr">
        <is>
          <t>ABIERTO_NUEVO</t>
        </is>
      </c>
      <c r="F197" s="8" t="inlineStr">
        <is>
          <t>Banco / impuesto / gasto</t>
        </is>
      </c>
      <c r="G197" s="8" t="inlineStr">
        <is>
          <t>Copiar en Flexxus: Tipo=MB-EXT | Movimiento=GRAVAMEN LEY 25.413 S/CRED | Monto=216,88 | Fecha: 20/04/2026</t>
        </is>
      </c>
    </row>
    <row r="198">
      <c r="A198" s="8" t="inlineStr">
        <is>
          <t>Administración/Banco</t>
        </is>
      </c>
      <c r="B198" s="8" t="inlineStr">
        <is>
          <t>Banco egreso no Flexxus</t>
        </is>
      </c>
      <c r="C198" s="8" t="inlineStr">
        <is>
          <t>Anticipo Ganancias Ley 25.413 créditos</t>
        </is>
      </c>
      <c r="D198" s="9" t="n">
        <v>126.56</v>
      </c>
      <c r="E198" s="8" t="inlineStr">
        <is>
          <t>ABIERTO_NUEVO</t>
        </is>
      </c>
      <c r="F198" s="8" t="inlineStr">
        <is>
          <t>Banco / impuesto / gasto</t>
        </is>
      </c>
      <c r="G198" s="8" t="inlineStr">
        <is>
          <t>Copiar en Flexxus: Tipo=MB-EXT | Movimiento=GRAVAMEN LEY 25.413 S/CRED | Monto=126,56 | Fecha: 20/04/2026</t>
        </is>
      </c>
    </row>
    <row r="199">
      <c r="A199" s="8" t="inlineStr">
        <is>
          <t>Administración/Banco</t>
        </is>
      </c>
      <c r="B199" s="8" t="inlineStr">
        <is>
          <t>Banco egreso no Flexxus</t>
        </is>
      </c>
      <c r="C199" s="8" t="inlineStr">
        <is>
          <t>Anticipo Ganancias Ley 25.413 créditos</t>
        </is>
      </c>
      <c r="D199" s="9" t="n">
        <v>932.38</v>
      </c>
      <c r="E199" s="8" t="inlineStr">
        <is>
          <t>ABIERTO_NUEVO</t>
        </is>
      </c>
      <c r="F199" s="8" t="inlineStr">
        <is>
          <t>Banco / impuesto / gasto</t>
        </is>
      </c>
      <c r="G199" s="8" t="inlineStr">
        <is>
          <t>Copiar en Flexxus: Tipo=MB-EXT | Movimiento=GRAVAMEN LEY 25.413 S/CRED | Monto=932,38 | Fecha: 20/04/2026</t>
        </is>
      </c>
    </row>
    <row r="200">
      <c r="A200" s="8" t="inlineStr">
        <is>
          <t>Administración/Banco</t>
        </is>
      </c>
      <c r="B200" s="8" t="inlineStr">
        <is>
          <t>Banco egreso no Flexxus</t>
        </is>
      </c>
      <c r="C200" s="8" t="inlineStr">
        <is>
          <t>Anticipo Ganancias Ley 25.413 créditos</t>
        </is>
      </c>
      <c r="D200" s="9" t="n">
        <v>3560.69</v>
      </c>
      <c r="E200" s="8" t="inlineStr">
        <is>
          <t>ABIERTO_NUEVO</t>
        </is>
      </c>
      <c r="F200" s="8" t="inlineStr">
        <is>
          <t>Banco / impuesto / gasto</t>
        </is>
      </c>
      <c r="G200" s="8" t="inlineStr">
        <is>
          <t>Copiar en Flexxus: Tipo=MB-EXT | Movimiento=GRAVAMEN LEY 25.413 S/CRED | Monto=3.560,69 | Fecha: 20/04/2026</t>
        </is>
      </c>
    </row>
    <row r="201">
      <c r="A201" s="8" t="inlineStr">
        <is>
          <t>Administración/Banco</t>
        </is>
      </c>
      <c r="B201" s="8" t="inlineStr">
        <is>
          <t>Banco egreso no Flexxus</t>
        </is>
      </c>
      <c r="C201" s="8" t="inlineStr">
        <is>
          <t>Anticipo Ganancias Ley 25.413 créditos</t>
        </is>
      </c>
      <c r="D201" s="9" t="n">
        <v>622.38</v>
      </c>
      <c r="E201" s="8" t="inlineStr">
        <is>
          <t>ABIERTO_NUEVO</t>
        </is>
      </c>
      <c r="F201" s="8" t="inlineStr">
        <is>
          <t>Banco / impuesto / gasto</t>
        </is>
      </c>
      <c r="G201" s="8" t="inlineStr">
        <is>
          <t>Copiar en Flexxus: Tipo=MB-EXT | Movimiento=GRAVAMEN LEY 25.413 S/CRED | Monto=622,38 | Fecha: 20/04/2026</t>
        </is>
      </c>
    </row>
    <row r="202">
      <c r="A202" s="8" t="inlineStr">
        <is>
          <t>Administración/Banco</t>
        </is>
      </c>
      <c r="B202" s="8" t="inlineStr">
        <is>
          <t>Banco egreso no Flexxus</t>
        </is>
      </c>
      <c r="C202" s="8" t="inlineStr">
        <is>
          <t>Anticipo Ganancias Ley 25.413 créditos</t>
        </is>
      </c>
      <c r="D202" s="9" t="n">
        <v>1807.31</v>
      </c>
      <c r="E202" s="8" t="inlineStr">
        <is>
          <t>ABIERTO_NUEVO</t>
        </is>
      </c>
      <c r="F202" s="8" t="inlineStr">
        <is>
          <t>Banco / impuesto / gasto</t>
        </is>
      </c>
      <c r="G202" s="8" t="inlineStr">
        <is>
          <t>Copiar en Flexxus: Tipo=MB-EXT | Movimiento=GRAVAMEN LEY 25.413 S/CRED | Monto=1.807,31 | Fecha: 20/04/2026</t>
        </is>
      </c>
    </row>
    <row r="203">
      <c r="A203" s="8" t="inlineStr">
        <is>
          <t>Administración/Banco</t>
        </is>
      </c>
      <c r="B203" s="8" t="inlineStr">
        <is>
          <t>Banco egreso no Flexxus</t>
        </is>
      </c>
      <c r="C203" s="8" t="inlineStr">
        <is>
          <t>Anticipo Ganancias Ley 25.413 créditos</t>
        </is>
      </c>
      <c r="D203" s="9" t="n">
        <v>592.74</v>
      </c>
      <c r="E203" s="8" t="inlineStr">
        <is>
          <t>ABIERTO_NUEVO</t>
        </is>
      </c>
      <c r="F203" s="8" t="inlineStr">
        <is>
          <t>Banco / impuesto / gasto</t>
        </is>
      </c>
      <c r="G203" s="8" t="inlineStr">
        <is>
          <t>Copiar en Flexxus: Tipo=MB-EXT | Movimiento=GRAVAMEN LEY 25.413 S/CRED | Monto=592,74 | Fecha: 20/04/2026</t>
        </is>
      </c>
    </row>
    <row r="204">
      <c r="A204" s="8" t="inlineStr">
        <is>
          <t>Administración/Banco</t>
        </is>
      </c>
      <c r="B204" s="8" t="inlineStr">
        <is>
          <t>Banco egreso no Flexxus</t>
        </is>
      </c>
      <c r="C204" s="8" t="inlineStr">
        <is>
          <t>Anticipo Ganancias Ley 25.413 créditos</t>
        </is>
      </c>
      <c r="D204" s="9" t="n">
        <v>298.09</v>
      </c>
      <c r="E204" s="8" t="inlineStr">
        <is>
          <t>ABIERTO_NUEVO</t>
        </is>
      </c>
      <c r="F204" s="8" t="inlineStr">
        <is>
          <t>Banco / impuesto / gasto</t>
        </is>
      </c>
      <c r="G204" s="8" t="inlineStr">
        <is>
          <t>Copiar en Flexxus: Tipo=MB-EXT | Movimiento=GRAVAMEN LEY 25.413 S/CRED | Monto=298,09 | Fecha: 20/04/2026</t>
        </is>
      </c>
    </row>
    <row r="205">
      <c r="A205" s="8" t="inlineStr">
        <is>
          <t>Administración/Banco</t>
        </is>
      </c>
      <c r="B205" s="8" t="inlineStr">
        <is>
          <t>Banco egreso no Flexxus</t>
        </is>
      </c>
      <c r="C205" s="8" t="inlineStr">
        <is>
          <t>Anticipo Ganancias Ley 25.413 créditos</t>
        </is>
      </c>
      <c r="D205" s="9" t="n">
        <v>68.17</v>
      </c>
      <c r="E205" s="8" t="inlineStr">
        <is>
          <t>ABIERTO_NUEVO</t>
        </is>
      </c>
      <c r="F205" s="8" t="inlineStr">
        <is>
          <t>Banco / impuesto / gasto</t>
        </is>
      </c>
      <c r="G205" s="8" t="inlineStr">
        <is>
          <t>Copiar en Flexxus: Tipo=MB-EXT | Movimiento=GRAVAMEN LEY 25.413 S/CRED | Monto=68,17 | Fecha: 20/04/2026</t>
        </is>
      </c>
    </row>
    <row r="206">
      <c r="A206" s="8" t="inlineStr">
        <is>
          <t>Administración/Banco</t>
        </is>
      </c>
      <c r="B206" s="8" t="inlineStr">
        <is>
          <t>Banco egreso no Flexxus</t>
        </is>
      </c>
      <c r="C206" s="8" t="inlineStr">
        <is>
          <t>Anticipo Ganancias Ley 25.413 créditos</t>
        </is>
      </c>
      <c r="D206" s="9" t="n">
        <v>204.73</v>
      </c>
      <c r="E206" s="8" t="inlineStr">
        <is>
          <t>ABIERTO_NUEVO</t>
        </is>
      </c>
      <c r="F206" s="8" t="inlineStr">
        <is>
          <t>Banco / impuesto / gasto</t>
        </is>
      </c>
      <c r="G206" s="8" t="inlineStr">
        <is>
          <t>Copiar en Flexxus: Tipo=MB-EXT | Movimiento=GRAVAMEN LEY 25.413 S/CRED | Monto=204,73 | Fecha: 20/04/2026</t>
        </is>
      </c>
    </row>
    <row r="207">
      <c r="A207" s="8" t="inlineStr">
        <is>
          <t>Administración/Banco</t>
        </is>
      </c>
      <c r="B207" s="8" t="inlineStr">
        <is>
          <t>Banco egreso no Flexxus</t>
        </is>
      </c>
      <c r="C207" s="8" t="inlineStr">
        <is>
          <t>Anticipo Ganancias Ley 25.413 créditos</t>
        </is>
      </c>
      <c r="D207" s="9" t="n">
        <v>2430.68</v>
      </c>
      <c r="E207" s="8" t="inlineStr">
        <is>
          <t>ABIERTO_NUEVO</t>
        </is>
      </c>
      <c r="F207" s="8" t="inlineStr">
        <is>
          <t>Banco / impuesto / gasto</t>
        </is>
      </c>
      <c r="G207" s="8" t="inlineStr">
        <is>
          <t>Copiar en Flexxus: Tipo=MB-EXT | Movimiento=GRAVAMEN LEY 25.413 S/CRED | Monto=2.430,68 | Fecha: 20/04/2026</t>
        </is>
      </c>
    </row>
    <row r="208">
      <c r="A208" s="8" t="inlineStr">
        <is>
          <t>Administración/Banco</t>
        </is>
      </c>
      <c r="B208" s="8" t="inlineStr">
        <is>
          <t>Banco egreso no Flexxus</t>
        </is>
      </c>
      <c r="C208" s="8" t="inlineStr">
        <is>
          <t>Anticipo Ganancias Ley 25.413 créditos</t>
        </is>
      </c>
      <c r="D208" s="9" t="n">
        <v>74.09</v>
      </c>
      <c r="E208" s="8" t="inlineStr">
        <is>
          <t>ABIERTO_NUEVO</t>
        </is>
      </c>
      <c r="F208" s="8" t="inlineStr">
        <is>
          <t>Banco / impuesto / gasto</t>
        </is>
      </c>
      <c r="G208" s="8" t="inlineStr">
        <is>
          <t>Copiar en Flexxus: Tipo=MB-EXT | Movimiento=GRAVAMEN LEY 25.413 S/CRED | Monto=74,09 | Fecha: 20/04/2026</t>
        </is>
      </c>
    </row>
    <row r="209">
      <c r="A209" s="8" t="inlineStr">
        <is>
          <t>Administración/Banco</t>
        </is>
      </c>
      <c r="B209" s="8" t="inlineStr">
        <is>
          <t>Banco egreso no Flexxus</t>
        </is>
      </c>
      <c r="C209" s="8" t="inlineStr">
        <is>
          <t>Anticipo Ganancias Ley 25.413 créditos</t>
        </is>
      </c>
      <c r="D209" s="9" t="n">
        <v>214.82</v>
      </c>
      <c r="E209" s="8" t="inlineStr">
        <is>
          <t>ABIERTO_NUEVO</t>
        </is>
      </c>
      <c r="F209" s="8" t="inlineStr">
        <is>
          <t>Banco / impuesto / gasto</t>
        </is>
      </c>
      <c r="G209" s="8" t="inlineStr">
        <is>
          <t>Copiar en Flexxus: Tipo=MB-EXT | Movimiento=GRAVAMEN LEY 25.413 S/CRED | Monto=214,82 | Fecha: 20/04/2026</t>
        </is>
      </c>
    </row>
    <row r="210">
      <c r="A210" s="8" t="inlineStr">
        <is>
          <t>Administración/Banco</t>
        </is>
      </c>
      <c r="B210" s="8" t="inlineStr">
        <is>
          <t>Banco egreso no Flexxus</t>
        </is>
      </c>
      <c r="C210" s="8" t="inlineStr">
        <is>
          <t>Anticipo Ganancias Ley 25.413 créditos</t>
        </is>
      </c>
      <c r="D210" s="9" t="n">
        <v>148.55</v>
      </c>
      <c r="E210" s="8" t="inlineStr">
        <is>
          <t>ABIERTO_NUEVO</t>
        </is>
      </c>
      <c r="F210" s="8" t="inlineStr">
        <is>
          <t>Banco / impuesto / gasto</t>
        </is>
      </c>
      <c r="G210" s="8" t="inlineStr">
        <is>
          <t>Copiar en Flexxus: Tipo=MB-EXT | Movimiento=GRAVAMEN LEY 25.413 S/CRED | Monto=148,55 | Fecha: 20/04/2026</t>
        </is>
      </c>
    </row>
    <row r="211">
      <c r="A211" s="8" t="inlineStr">
        <is>
          <t>Administración/Banco</t>
        </is>
      </c>
      <c r="B211" s="8" t="inlineStr">
        <is>
          <t>Banco egreso no Flexxus</t>
        </is>
      </c>
      <c r="C211" s="8" t="inlineStr">
        <is>
          <t>Anticipo Ganancias Ley 25.413 créditos</t>
        </is>
      </c>
      <c r="D211" s="9" t="n">
        <v>3783.17</v>
      </c>
      <c r="E211" s="8" t="inlineStr">
        <is>
          <t>ABIERTO_NUEVO</t>
        </is>
      </c>
      <c r="F211" s="8" t="inlineStr">
        <is>
          <t>Banco / impuesto / gasto</t>
        </is>
      </c>
      <c r="G211" s="8" t="inlineStr">
        <is>
          <t>Copiar en Flexxus: Tipo=MB-EXT | Movimiento=GRAVAMEN LEY 25.413 S/CRED | Monto=3.783,17 | Fecha: 20/04/2026</t>
        </is>
      </c>
    </row>
    <row r="212">
      <c r="A212" s="8" t="inlineStr">
        <is>
          <t>Administración/Banco</t>
        </is>
      </c>
      <c r="B212" s="8" t="inlineStr">
        <is>
          <t>Banco egreso no Flexxus</t>
        </is>
      </c>
      <c r="C212" s="8" t="inlineStr">
        <is>
          <t>Anticipo Ganancias Ley 25.413 créditos</t>
        </is>
      </c>
      <c r="D212" s="9" t="n">
        <v>731.5</v>
      </c>
      <c r="E212" s="8" t="inlineStr">
        <is>
          <t>ABIERTO_NUEVO</t>
        </is>
      </c>
      <c r="F212" s="8" t="inlineStr">
        <is>
          <t>Banco / impuesto / gasto</t>
        </is>
      </c>
      <c r="G212" s="8" t="inlineStr">
        <is>
          <t>Copiar en Flexxus: Tipo=MB-EXT | Movimiento=GRAVAMEN LEY 25.413 S/CRED | Monto=731,50 | Fecha: 20/04/2026</t>
        </is>
      </c>
    </row>
    <row r="213">
      <c r="A213" s="8" t="inlineStr">
        <is>
          <t>Administración/Banco</t>
        </is>
      </c>
      <c r="B213" s="8" t="inlineStr">
        <is>
          <t>Banco egreso no Flexxus</t>
        </is>
      </c>
      <c r="C213" s="8" t="inlineStr">
        <is>
          <t>Anticipo Ganancias Ley 25.413 créditos</t>
        </is>
      </c>
      <c r="D213" s="9" t="n">
        <v>187.82</v>
      </c>
      <c r="E213" s="8" t="inlineStr">
        <is>
          <t>ABIERTO_NUEVO</t>
        </is>
      </c>
      <c r="F213" s="8" t="inlineStr">
        <is>
          <t>Banco / impuesto / gasto</t>
        </is>
      </c>
      <c r="G213" s="8" t="inlineStr">
        <is>
          <t>Copiar en Flexxus: Tipo=MB-EXT | Movimiento=GRAVAMEN LEY 25.413 S/CRED | Monto=187,82 | Fecha: 20/04/2026</t>
        </is>
      </c>
    </row>
    <row r="214">
      <c r="A214" s="8" t="inlineStr">
        <is>
          <t>Administración/Banco</t>
        </is>
      </c>
      <c r="B214" s="8" t="inlineStr">
        <is>
          <t>Banco egreso no Flexxus</t>
        </is>
      </c>
      <c r="C214" s="8" t="inlineStr">
        <is>
          <t>Anticipo Ganancias Ley 25.413 créditos</t>
        </is>
      </c>
      <c r="D214" s="9" t="n">
        <v>313.11</v>
      </c>
      <c r="E214" s="8" t="inlineStr">
        <is>
          <t>ABIERTO_NUEVO</t>
        </is>
      </c>
      <c r="F214" s="8" t="inlineStr">
        <is>
          <t>Banco / impuesto / gasto</t>
        </is>
      </c>
      <c r="G214" s="8" t="inlineStr">
        <is>
          <t>Copiar en Flexxus: Tipo=MB-EXT | Movimiento=GRAVAMEN LEY 25.413 S/CRED | Monto=313,11 | Fecha: 20/04/2026</t>
        </is>
      </c>
    </row>
    <row r="215">
      <c r="A215" s="8" t="inlineStr">
        <is>
          <t>Administración/Banco</t>
        </is>
      </c>
      <c r="B215" s="8" t="inlineStr">
        <is>
          <t>Banco egreso no Flexxus</t>
        </is>
      </c>
      <c r="C215" s="8" t="inlineStr">
        <is>
          <t>Anticipo Ganancias Ley 25.413 créditos</t>
        </is>
      </c>
      <c r="D215" s="9" t="n">
        <v>549.96</v>
      </c>
      <c r="E215" s="8" t="inlineStr">
        <is>
          <t>ABIERTO_NUEVO</t>
        </is>
      </c>
      <c r="F215" s="8" t="inlineStr">
        <is>
          <t>Banco / impuesto / gasto</t>
        </is>
      </c>
      <c r="G215" s="8" t="inlineStr">
        <is>
          <t>Copiar en Flexxus: Tipo=MB-EXT | Movimiento=GRAVAMEN LEY 25.413 S/CRED | Monto=549,96 | Fecha: 20/04/2026</t>
        </is>
      </c>
    </row>
    <row r="216">
      <c r="A216" s="8" t="inlineStr">
        <is>
          <t>Administración/Banco</t>
        </is>
      </c>
      <c r="B216" s="8" t="inlineStr">
        <is>
          <t>Banco egreso no Flexxus</t>
        </is>
      </c>
      <c r="C216" s="8" t="inlineStr">
        <is>
          <t>Anticipo Ganancias Ley 25.413 créditos</t>
        </is>
      </c>
      <c r="D216" s="9" t="n">
        <v>13519.26</v>
      </c>
      <c r="E216" s="8" t="inlineStr">
        <is>
          <t>ABIERTO_NUEVO</t>
        </is>
      </c>
      <c r="F216" s="8" t="inlineStr">
        <is>
          <t>Banco / impuesto / gasto</t>
        </is>
      </c>
      <c r="G216" s="8" t="inlineStr">
        <is>
          <t>Copiar en Flexxus: Tipo=MB-EXT | Movimiento=GRAVAMEN LEY 25.413 S/CRED | Monto=13.519,26 | Fecha: 20/04/2026</t>
        </is>
      </c>
    </row>
    <row r="217">
      <c r="A217" s="8" t="inlineStr">
        <is>
          <t>Administración/Banco</t>
        </is>
      </c>
      <c r="B217" s="8" t="inlineStr">
        <is>
          <t>Banco egreso no Flexxus</t>
        </is>
      </c>
      <c r="C217" s="8" t="inlineStr">
        <is>
          <t>Anticipo Ganancias Ley 25.413 créditos</t>
        </is>
      </c>
      <c r="D217" s="9" t="n">
        <v>190.17</v>
      </c>
      <c r="E217" s="8" t="inlineStr">
        <is>
          <t>ABIERTO_NUEVO</t>
        </is>
      </c>
      <c r="F217" s="8" t="inlineStr">
        <is>
          <t>Banco / impuesto / gasto</t>
        </is>
      </c>
      <c r="G217" s="8" t="inlineStr">
        <is>
          <t>Copiar en Flexxus: Tipo=MB-EXT | Movimiento=GRAVAMEN LEY 25.413 S/CRED | Monto=190,17 | Fecha: 20/04/2026</t>
        </is>
      </c>
    </row>
    <row r="218">
      <c r="A218" s="8" t="inlineStr">
        <is>
          <t>Administración/Banco</t>
        </is>
      </c>
      <c r="B218" s="8" t="inlineStr">
        <is>
          <t>Banco egreso no Flexxus</t>
        </is>
      </c>
      <c r="C218" s="8" t="inlineStr">
        <is>
          <t>Anticipo Ganancias Ley 25.413 créditos</t>
        </is>
      </c>
      <c r="D218" s="9" t="n">
        <v>49.3</v>
      </c>
      <c r="E218" s="8" t="inlineStr">
        <is>
          <t>ABIERTO_NUEVO</t>
        </is>
      </c>
      <c r="F218" s="8" t="inlineStr">
        <is>
          <t>Banco / impuesto / gasto</t>
        </is>
      </c>
      <c r="G218" s="8" t="inlineStr">
        <is>
          <t>Copiar en Flexxus: Tipo=MB-EXT | Movimiento=GRAVAMEN LEY 25.413 S/CRED | Monto=49,30 | Fecha: 20/04/2026</t>
        </is>
      </c>
    </row>
    <row r="219">
      <c r="A219" s="8" t="inlineStr">
        <is>
          <t>Administración/Banco</t>
        </is>
      </c>
      <c r="B219" s="8" t="inlineStr">
        <is>
          <t>Banco egreso no Flexxus</t>
        </is>
      </c>
      <c r="C219" s="8" t="inlineStr">
        <is>
          <t>Anticipo Ganancias Ley 25.413 créditos</t>
        </is>
      </c>
      <c r="D219" s="9" t="n">
        <v>85.11</v>
      </c>
      <c r="E219" s="8" t="inlineStr">
        <is>
          <t>ABIERTO_NUEVO</t>
        </is>
      </c>
      <c r="F219" s="8" t="inlineStr">
        <is>
          <t>Banco / impuesto / gasto</t>
        </is>
      </c>
      <c r="G219" s="8" t="inlineStr">
        <is>
          <t>Copiar en Flexxus: Tipo=MB-EXT | Movimiento=GRAVAMEN LEY 25.413 S/CRED | Monto=85,11 | Fecha: 20/04/2026</t>
        </is>
      </c>
    </row>
    <row r="220">
      <c r="A220" s="8" t="inlineStr">
        <is>
          <t>Administración/Banco</t>
        </is>
      </c>
      <c r="B220" s="8" t="inlineStr">
        <is>
          <t>Banco egreso no Flexxus</t>
        </is>
      </c>
      <c r="C220" s="8" t="inlineStr">
        <is>
          <t>Anticipo Ganancias Ley 25.413 créditos</t>
        </is>
      </c>
      <c r="D220" s="9" t="n">
        <v>572.85</v>
      </c>
      <c r="E220" s="8" t="inlineStr">
        <is>
          <t>ABIERTO_NUEVO</t>
        </is>
      </c>
      <c r="F220" s="8" t="inlineStr">
        <is>
          <t>Banco / impuesto / gasto</t>
        </is>
      </c>
      <c r="G220" s="8" t="inlineStr">
        <is>
          <t>Copiar en Flexxus: Tipo=MB-EXT | Movimiento=GRAVAMEN LEY 25.413 S/CRED | Monto=572,85 | Fecha: 20/04/2026</t>
        </is>
      </c>
    </row>
    <row r="221">
      <c r="A221" s="8" t="inlineStr">
        <is>
          <t>Administración/Banco</t>
        </is>
      </c>
      <c r="B221" s="8" t="inlineStr">
        <is>
          <t>Banco egreso no Flexxus</t>
        </is>
      </c>
      <c r="C221" s="8" t="inlineStr">
        <is>
          <t>Anticipo Ganancias Ley 25.413 créditos</t>
        </is>
      </c>
      <c r="D221" s="9" t="n">
        <v>313.11</v>
      </c>
      <c r="E221" s="8" t="inlineStr">
        <is>
          <t>ABIERTO_NUEVO</t>
        </is>
      </c>
      <c r="F221" s="8" t="inlineStr">
        <is>
          <t>Banco / impuesto / gasto</t>
        </is>
      </c>
      <c r="G221" s="8" t="inlineStr">
        <is>
          <t>Copiar en Flexxus: Tipo=MB-EXT | Movimiento=GRAVAMEN LEY 25.413 S/CRED | Monto=313,11 | Fecha: 20/04/2026</t>
        </is>
      </c>
    </row>
    <row r="222">
      <c r="A222" s="8" t="inlineStr">
        <is>
          <t>Administración/Banco</t>
        </is>
      </c>
      <c r="B222" s="8" t="inlineStr">
        <is>
          <t>Banco egreso no Flexxus</t>
        </is>
      </c>
      <c r="C222" s="8" t="inlineStr">
        <is>
          <t>Anticipo Ganancias Ley 25.413 créditos</t>
        </is>
      </c>
      <c r="D222" s="9" t="n">
        <v>1897.09</v>
      </c>
      <c r="E222" s="8" t="inlineStr">
        <is>
          <t>ABIERTO_NUEVO</t>
        </is>
      </c>
      <c r="F222" s="8" t="inlineStr">
        <is>
          <t>Banco / impuesto / gasto</t>
        </is>
      </c>
      <c r="G222" s="8" t="inlineStr">
        <is>
          <t>Copiar en Flexxus: Tipo=MB-EXT | Movimiento=GRAVAMEN LEY 25.413 S/CRED | Monto=1.897,09 | Fecha: 20/04/2026</t>
        </is>
      </c>
    </row>
    <row r="223">
      <c r="A223" s="8" t="inlineStr">
        <is>
          <t>Administración/Banco</t>
        </is>
      </c>
      <c r="B223" s="8" t="inlineStr">
        <is>
          <t>Banco egreso no Flexxus</t>
        </is>
      </c>
      <c r="C223" s="8" t="inlineStr">
        <is>
          <t>Anticipo Ganancias Ley 25.413 créditos</t>
        </is>
      </c>
      <c r="D223" s="9" t="n">
        <v>211.3</v>
      </c>
      <c r="E223" s="8" t="inlineStr">
        <is>
          <t>ABIERTO_NUEVO</t>
        </is>
      </c>
      <c r="F223" s="8" t="inlineStr">
        <is>
          <t>Banco / impuesto / gasto</t>
        </is>
      </c>
      <c r="G223" s="8" t="inlineStr">
        <is>
          <t>Copiar en Flexxus: Tipo=MB-EXT | Movimiento=GRAVAMEN LEY 25.413 S/CRED | Monto=211,30 | Fecha: 20/04/2026</t>
        </is>
      </c>
    </row>
    <row r="224">
      <c r="A224" s="8" t="inlineStr">
        <is>
          <t>Administración/Banco</t>
        </is>
      </c>
      <c r="B224" s="8" t="inlineStr">
        <is>
          <t>Banco egreso no Flexxus</t>
        </is>
      </c>
      <c r="C224" s="8" t="inlineStr">
        <is>
          <t>Anticipo Ganancias Ley 25.413 créditos</t>
        </is>
      </c>
      <c r="D224" s="9" t="n">
        <v>197.21</v>
      </c>
      <c r="E224" s="8" t="inlineStr">
        <is>
          <t>ABIERTO_NUEVO</t>
        </is>
      </c>
      <c r="F224" s="8" t="inlineStr">
        <is>
          <t>Banco / impuesto / gasto</t>
        </is>
      </c>
      <c r="G224" s="8" t="inlineStr">
        <is>
          <t>Copiar en Flexxus: Tipo=MB-EXT | Movimiento=GRAVAMEN LEY 25.413 S/CRED | Monto=197,21 | Fecha: 20/04/2026</t>
        </is>
      </c>
    </row>
    <row r="225">
      <c r="A225" s="8" t="inlineStr">
        <is>
          <t>Administración/Banco</t>
        </is>
      </c>
      <c r="B225" s="8" t="inlineStr">
        <is>
          <t>Banco egreso no Flexxus</t>
        </is>
      </c>
      <c r="C225" s="8" t="inlineStr">
        <is>
          <t>Anticipo Ganancias Ley 25.413 créditos</t>
        </is>
      </c>
      <c r="D225" s="9" t="n">
        <v>149.74</v>
      </c>
      <c r="E225" s="8" t="inlineStr">
        <is>
          <t>ABIERTO_NUEVO</t>
        </is>
      </c>
      <c r="F225" s="8" t="inlineStr">
        <is>
          <t>Banco / impuesto / gasto</t>
        </is>
      </c>
      <c r="G225" s="8" t="inlineStr">
        <is>
          <t>Copiar en Flexxus: Tipo=MB-EXT | Movimiento=GRAVAMEN LEY 25.413 S/CRED | Monto=149,74 | Fecha: 20/04/2026</t>
        </is>
      </c>
    </row>
    <row r="226">
      <c r="A226" s="8" t="inlineStr">
        <is>
          <t>Administración/Banco</t>
        </is>
      </c>
      <c r="B226" s="8" t="inlineStr">
        <is>
          <t>Banco egreso no Flexxus</t>
        </is>
      </c>
      <c r="C226" s="8" t="inlineStr">
        <is>
          <t>Anticipo Ganancias Ley 25.413 créditos</t>
        </is>
      </c>
      <c r="D226" s="9" t="n">
        <v>159.24</v>
      </c>
      <c r="E226" s="8" t="inlineStr">
        <is>
          <t>ABIERTO_NUEVO</t>
        </is>
      </c>
      <c r="F226" s="8" t="inlineStr">
        <is>
          <t>Banco / impuesto / gasto</t>
        </is>
      </c>
      <c r="G226" s="8" t="inlineStr">
        <is>
          <t>Copiar en Flexxus: Tipo=MB-EXT | Movimiento=GRAVAMEN LEY 25.413 S/CRED | Monto=159,24 | Fecha: 20/04/2026</t>
        </is>
      </c>
    </row>
    <row r="227">
      <c r="A227" s="8" t="inlineStr">
        <is>
          <t>Administración/Banco</t>
        </is>
      </c>
      <c r="B227" s="8" t="inlineStr">
        <is>
          <t>Banco egreso no Flexxus</t>
        </is>
      </c>
      <c r="C227" s="8" t="inlineStr">
        <is>
          <t>Anticipo Ganancias Ley 25.413 créditos</t>
        </is>
      </c>
      <c r="D227" s="9" t="n">
        <v>136.66</v>
      </c>
      <c r="E227" s="8" t="inlineStr">
        <is>
          <t>ABIERTO_NUEVO</t>
        </is>
      </c>
      <c r="F227" s="8" t="inlineStr">
        <is>
          <t>Banco / impuesto / gasto</t>
        </is>
      </c>
      <c r="G227" s="8" t="inlineStr">
        <is>
          <t>Copiar en Flexxus: Tipo=MB-EXT | Movimiento=GRAVAMEN LEY 25.413 S/CRED | Monto=136,66 | Fecha: 20/04/2026</t>
        </is>
      </c>
    </row>
    <row r="228">
      <c r="A228" s="8" t="inlineStr">
        <is>
          <t>Administración/Banco</t>
        </is>
      </c>
      <c r="B228" s="8" t="inlineStr">
        <is>
          <t>Banco egreso no Flexxus</t>
        </is>
      </c>
      <c r="C228" s="8" t="inlineStr">
        <is>
          <t>Anticipo Ganancias Ley 25.413 créditos</t>
        </is>
      </c>
      <c r="D228" s="9" t="n">
        <v>68.33</v>
      </c>
      <c r="E228" s="8" t="inlineStr">
        <is>
          <t>ABIERTO_NUEVO</t>
        </is>
      </c>
      <c r="F228" s="8" t="inlineStr">
        <is>
          <t>Banco / impuesto / gasto</t>
        </is>
      </c>
      <c r="G228" s="8" t="inlineStr">
        <is>
          <t>Copiar en Flexxus: Tipo=MB-EXT | Movimiento=GRAVAMEN LEY 25.413 S/CRED | Monto=68,33 | Fecha: 20/04/2026</t>
        </is>
      </c>
    </row>
    <row r="229">
      <c r="A229" s="8" t="inlineStr">
        <is>
          <t>Administración/Banco</t>
        </is>
      </c>
      <c r="B229" s="8" t="inlineStr">
        <is>
          <t>Banco egreso no Flexxus</t>
        </is>
      </c>
      <c r="C229" s="8" t="inlineStr">
        <is>
          <t>Anticipo Ganancias Ley 25.413 créditos</t>
        </is>
      </c>
      <c r="D229" s="9" t="n">
        <v>107.55</v>
      </c>
      <c r="E229" s="8" t="inlineStr">
        <is>
          <t>ABIERTO_NUEVO</t>
        </is>
      </c>
      <c r="F229" s="8" t="inlineStr">
        <is>
          <t>Banco / impuesto / gasto</t>
        </is>
      </c>
      <c r="G229" s="8" t="inlineStr">
        <is>
          <t>Copiar en Flexxus: Tipo=MB-EXT | Movimiento=GRAVAMEN LEY 25.413 S/CRED | Monto=107,55 | Fecha: 20/04/2026</t>
        </is>
      </c>
    </row>
    <row r="230">
      <c r="A230" s="8" t="inlineStr">
        <is>
          <t>Administración/Banco</t>
        </is>
      </c>
      <c r="B230" s="8" t="inlineStr">
        <is>
          <t>Banco egreso no Flexxus</t>
        </is>
      </c>
      <c r="C230" s="8" t="inlineStr">
        <is>
          <t>Anticipo Ganancias Ley 25.413 créditos</t>
        </is>
      </c>
      <c r="D230" s="9" t="n">
        <v>101.01</v>
      </c>
      <c r="E230" s="8" t="inlineStr">
        <is>
          <t>ABIERTO_NUEVO</t>
        </is>
      </c>
      <c r="F230" s="8" t="inlineStr">
        <is>
          <t>Banco / impuesto / gasto</t>
        </is>
      </c>
      <c r="G230" s="8" t="inlineStr">
        <is>
          <t>Copiar en Flexxus: Tipo=MB-EXT | Movimiento=GRAVAMEN LEY 25.413 S/CRED | Monto=101,01 | Fecha: 20/04/2026</t>
        </is>
      </c>
    </row>
    <row r="231">
      <c r="A231" s="8" t="inlineStr">
        <is>
          <t>Administración/Banco</t>
        </is>
      </c>
      <c r="B231" s="8" t="inlineStr">
        <is>
          <t>Banco egreso no Flexxus</t>
        </is>
      </c>
      <c r="C231" s="8" t="inlineStr">
        <is>
          <t>Anticipo Ganancias Ley 25.413 créditos</t>
        </is>
      </c>
      <c r="D231" s="9" t="n">
        <v>137.85</v>
      </c>
      <c r="E231" s="8" t="inlineStr">
        <is>
          <t>ABIERTO_NUEVO</t>
        </is>
      </c>
      <c r="F231" s="8" t="inlineStr">
        <is>
          <t>Banco / impuesto / gasto</t>
        </is>
      </c>
      <c r="G231" s="8" t="inlineStr">
        <is>
          <t>Copiar en Flexxus: Tipo=MB-EXT | Movimiento=GRAVAMEN LEY 25.413 S/CRED | Monto=137,85 | Fecha: 20/04/2026</t>
        </is>
      </c>
    </row>
    <row r="232">
      <c r="A232" s="8" t="inlineStr">
        <is>
          <t>Administración/Banco</t>
        </is>
      </c>
      <c r="B232" s="8" t="inlineStr">
        <is>
          <t>Banco egreso no Flexxus</t>
        </is>
      </c>
      <c r="C232" s="8" t="inlineStr">
        <is>
          <t>Anticipo Ganancias Ley 25.413 créditos</t>
        </is>
      </c>
      <c r="D232" s="9" t="n">
        <v>315.81</v>
      </c>
      <c r="E232" s="8" t="inlineStr">
        <is>
          <t>ABIERTO_NUEVO</t>
        </is>
      </c>
      <c r="F232" s="8" t="inlineStr">
        <is>
          <t>Banco / impuesto / gasto</t>
        </is>
      </c>
      <c r="G232" s="8" t="inlineStr">
        <is>
          <t>Copiar en Flexxus: Tipo=MB-EXT | Movimiento=GRAVAMEN LEY 25.413 S/CRED | Monto=315,81 | Fecha: 20/04/2026</t>
        </is>
      </c>
    </row>
    <row r="233">
      <c r="A233" s="8" t="inlineStr">
        <is>
          <t>Administración/Banco</t>
        </is>
      </c>
      <c r="B233" s="8" t="inlineStr">
        <is>
          <t>Banco egreso no Flexxus</t>
        </is>
      </c>
      <c r="C233" s="8" t="inlineStr">
        <is>
          <t>Anticipo Ganancias Ley 25.413 créditos</t>
        </is>
      </c>
      <c r="D233" s="9" t="n">
        <v>315.81</v>
      </c>
      <c r="E233" s="8" t="inlineStr">
        <is>
          <t>ABIERTO_NUEVO</t>
        </is>
      </c>
      <c r="F233" s="8" t="inlineStr">
        <is>
          <t>Banco / impuesto / gasto</t>
        </is>
      </c>
      <c r="G233" s="8" t="inlineStr">
        <is>
          <t>Copiar en Flexxus: Tipo=MB-EXT | Movimiento=GRAVAMEN LEY 25.413 S/CRED | Monto=315,81 | Fecha: 20/04/2026</t>
        </is>
      </c>
    </row>
    <row r="234">
      <c r="A234" s="8" t="inlineStr">
        <is>
          <t>Administración/Banco</t>
        </is>
      </c>
      <c r="B234" s="8" t="inlineStr">
        <is>
          <t>Banco egreso no Flexxus</t>
        </is>
      </c>
      <c r="C234" s="8" t="inlineStr">
        <is>
          <t>Anticipo Ganancias Ley 25.413 créditos</t>
        </is>
      </c>
      <c r="D234" s="9" t="n">
        <v>139.64</v>
      </c>
      <c r="E234" s="8" t="inlineStr">
        <is>
          <t>ABIERTO_NUEVO</t>
        </is>
      </c>
      <c r="F234" s="8" t="inlineStr">
        <is>
          <t>Banco / impuesto / gasto</t>
        </is>
      </c>
      <c r="G234" s="8" t="inlineStr">
        <is>
          <t>Copiar en Flexxus: Tipo=MB-EXT | Movimiento=GRAVAMEN LEY 25.413 S/CRED | Monto=139,64 | Fecha: 20/04/2026</t>
        </is>
      </c>
    </row>
    <row r="235">
      <c r="A235" s="8" t="inlineStr">
        <is>
          <t>Administración/Banco</t>
        </is>
      </c>
      <c r="B235" s="8" t="inlineStr">
        <is>
          <t>Banco egreso no Flexxus</t>
        </is>
      </c>
      <c r="C235" s="8" t="inlineStr">
        <is>
          <t>Anticipo Ganancias Ley 25.413 créditos</t>
        </is>
      </c>
      <c r="D235" s="9" t="n">
        <v>1783.76</v>
      </c>
      <c r="E235" s="8" t="inlineStr">
        <is>
          <t>ABIERTO_NUEVO</t>
        </is>
      </c>
      <c r="F235" s="8" t="inlineStr">
        <is>
          <t>Banco / impuesto / gasto</t>
        </is>
      </c>
      <c r="G235" s="8" t="inlineStr">
        <is>
          <t>Copiar en Flexxus: Tipo=MB-EXT | Movimiento=GRAVAMEN LEY 25.413 S/CRED | Monto=1.783,76 | Fecha: 20/04/2026</t>
        </is>
      </c>
    </row>
    <row r="236">
      <c r="A236" s="8" t="inlineStr">
        <is>
          <t>Administración/Banco</t>
        </is>
      </c>
      <c r="B236" s="8" t="inlineStr">
        <is>
          <t>Banco egreso no Flexxus</t>
        </is>
      </c>
      <c r="C236" s="8" t="inlineStr">
        <is>
          <t>Anticipo Ganancias Ley 25.413 créditos</t>
        </is>
      </c>
      <c r="D236" s="9" t="n">
        <v>955.46</v>
      </c>
      <c r="E236" s="8" t="inlineStr">
        <is>
          <t>ABIERTO_NUEVO</t>
        </is>
      </c>
      <c r="F236" s="8" t="inlineStr">
        <is>
          <t>Banco / impuesto / gasto</t>
        </is>
      </c>
      <c r="G236" s="8" t="inlineStr">
        <is>
          <t>Copiar en Flexxus: Tipo=MB-EXT | Movimiento=GRAVAMEN LEY 25.413 S/CRED | Monto=955,46 | Fecha: 20/04/2026</t>
        </is>
      </c>
    </row>
    <row r="237">
      <c r="A237" s="8" t="inlineStr">
        <is>
          <t>Administración/Banco</t>
        </is>
      </c>
      <c r="B237" s="8" t="inlineStr">
        <is>
          <t>Banco egreso no Flexxus</t>
        </is>
      </c>
      <c r="C237" s="8" t="inlineStr">
        <is>
          <t>Anticipo Ganancias Ley 25.413 créditos</t>
        </is>
      </c>
      <c r="D237" s="9" t="n">
        <v>865.74</v>
      </c>
      <c r="E237" s="8" t="inlineStr">
        <is>
          <t>ABIERTO_NUEVO</t>
        </is>
      </c>
      <c r="F237" s="8" t="inlineStr">
        <is>
          <t>Banco / impuesto / gasto</t>
        </is>
      </c>
      <c r="G237" s="8" t="inlineStr">
        <is>
          <t>Copiar en Flexxus: Tipo=MB-EXT | Movimiento=GRAVAMEN LEY 25.413 S/CRED | Monto=865,74 | Fecha: 20/04/2026</t>
        </is>
      </c>
    </row>
    <row r="238">
      <c r="A238" s="8" t="inlineStr">
        <is>
          <t>Administración/Banco</t>
        </is>
      </c>
      <c r="B238" s="8" t="inlineStr">
        <is>
          <t>Banco egreso no Flexxus</t>
        </is>
      </c>
      <c r="C238" s="8" t="inlineStr">
        <is>
          <t>Anticipo Ganancias Ley 25.413 créditos</t>
        </is>
      </c>
      <c r="D238" s="9" t="n">
        <v>205.59</v>
      </c>
      <c r="E238" s="8" t="inlineStr">
        <is>
          <t>ABIERTO_NUEVO</t>
        </is>
      </c>
      <c r="F238" s="8" t="inlineStr">
        <is>
          <t>Banco / impuesto / gasto</t>
        </is>
      </c>
      <c r="G238" s="8" t="inlineStr">
        <is>
          <t>Copiar en Flexxus: Tipo=MB-EXT | Movimiento=GRAVAMEN LEY 25.413 S/CRED | Monto=205,59 | Fecha: 20/04/2026</t>
        </is>
      </c>
    </row>
    <row r="239">
      <c r="A239" s="8" t="inlineStr">
        <is>
          <t>Administración/Banco</t>
        </is>
      </c>
      <c r="B239" s="8" t="inlineStr">
        <is>
          <t>Banco egreso no Flexxus</t>
        </is>
      </c>
      <c r="C239" s="8" t="inlineStr">
        <is>
          <t>Anticipo Ganancias Ley 25.413 créditos</t>
        </is>
      </c>
      <c r="D239" s="9" t="n">
        <v>210.34</v>
      </c>
      <c r="E239" s="8" t="inlineStr">
        <is>
          <t>ABIERTO_NUEVO</t>
        </is>
      </c>
      <c r="F239" s="8" t="inlineStr">
        <is>
          <t>Banco / impuesto / gasto</t>
        </is>
      </c>
      <c r="G239" s="8" t="inlineStr">
        <is>
          <t>Copiar en Flexxus: Tipo=MB-EXT | Movimiento=GRAVAMEN LEY 25.413 S/CRED | Monto=210,34 | Fecha: 20/04/2026</t>
        </is>
      </c>
    </row>
    <row r="240">
      <c r="A240" s="8" t="inlineStr">
        <is>
          <t>Administración/Banco</t>
        </is>
      </c>
      <c r="B240" s="8" t="inlineStr">
        <is>
          <t>Banco egreso no Flexxus</t>
        </is>
      </c>
      <c r="C240" s="8" t="inlineStr">
        <is>
          <t>Anticipo Ganancias Ley 25.413 créditos</t>
        </is>
      </c>
      <c r="D240" s="9" t="n">
        <v>243.62</v>
      </c>
      <c r="E240" s="8" t="inlineStr">
        <is>
          <t>ABIERTO_NUEVO</t>
        </is>
      </c>
      <c r="F240" s="8" t="inlineStr">
        <is>
          <t>Banco / impuesto / gasto</t>
        </is>
      </c>
      <c r="G240" s="8" t="inlineStr">
        <is>
          <t>Copiar en Flexxus: Tipo=MB-EXT | Movimiento=GRAVAMEN LEY 25.413 S/CRED | Monto=243,62 | Fecha: 20/04/2026</t>
        </is>
      </c>
    </row>
    <row r="241">
      <c r="A241" s="8" t="inlineStr">
        <is>
          <t>Administración/Banco</t>
        </is>
      </c>
      <c r="B241" s="8" t="inlineStr">
        <is>
          <t>Banco egreso no Flexxus</t>
        </is>
      </c>
      <c r="C241" s="8" t="inlineStr">
        <is>
          <t>Anticipo Ganancias Ley 25.413 créditos</t>
        </is>
      </c>
      <c r="D241" s="9" t="n">
        <v>188.95</v>
      </c>
      <c r="E241" s="8" t="inlineStr">
        <is>
          <t>ABIERTO_NUEVO</t>
        </is>
      </c>
      <c r="F241" s="8" t="inlineStr">
        <is>
          <t>Banco / impuesto / gasto</t>
        </is>
      </c>
      <c r="G241" s="8" t="inlineStr">
        <is>
          <t>Copiar en Flexxus: Tipo=MB-EXT | Movimiento=GRAVAMEN LEY 25.413 S/CRED | Monto=188,95 | Fecha: 20/04/2026</t>
        </is>
      </c>
    </row>
    <row r="242">
      <c r="A242" s="8" t="inlineStr">
        <is>
          <t>Administración/Banco</t>
        </is>
      </c>
      <c r="B242" s="8" t="inlineStr">
        <is>
          <t>Banco egreso no Flexxus</t>
        </is>
      </c>
      <c r="C242" s="8" t="inlineStr">
        <is>
          <t>Anticipo Ganancias Ley 25.413 créditos</t>
        </is>
      </c>
      <c r="D242" s="9" t="n">
        <v>226.39</v>
      </c>
      <c r="E242" s="8" t="inlineStr">
        <is>
          <t>ABIERTO_NUEVO</t>
        </is>
      </c>
      <c r="F242" s="8" t="inlineStr">
        <is>
          <t>Banco / impuesto / gasto</t>
        </is>
      </c>
      <c r="G242" s="8" t="inlineStr">
        <is>
          <t>Copiar en Flexxus: Tipo=MB-EXT | Movimiento=GRAVAMEN LEY 25.413 S/CRED | Monto=226,39 | Fecha: 20/04/2026</t>
        </is>
      </c>
    </row>
    <row r="243">
      <c r="A243" s="8" t="inlineStr">
        <is>
          <t>Administración/Banco</t>
        </is>
      </c>
      <c r="B243" s="8" t="inlineStr">
        <is>
          <t>Banco egreso no Flexxus</t>
        </is>
      </c>
      <c r="C243" s="8" t="inlineStr">
        <is>
          <t>Anticipo Ganancias Ley 25.413 créditos</t>
        </is>
      </c>
      <c r="D243" s="9" t="n">
        <v>19.61</v>
      </c>
      <c r="E243" s="8" t="inlineStr">
        <is>
          <t>ABIERTO_NUEVO</t>
        </is>
      </c>
      <c r="F243" s="8" t="inlineStr">
        <is>
          <t>Banco / impuesto / gasto</t>
        </is>
      </c>
      <c r="G243" s="8" t="inlineStr">
        <is>
          <t>Copiar en Flexxus: Tipo=MB-EXT | Movimiento=GRAVAMEN LEY 25.413 S/CRED | Monto=19,61 | Fecha: 20/04/2026</t>
        </is>
      </c>
    </row>
    <row r="244">
      <c r="A244" s="8" t="inlineStr">
        <is>
          <t>Administración/Banco</t>
        </is>
      </c>
      <c r="B244" s="8" t="inlineStr">
        <is>
          <t>Banco egreso no Flexxus</t>
        </is>
      </c>
      <c r="C244" s="8" t="inlineStr">
        <is>
          <t>Anticipo Ganancias Ley 25.413 créditos</t>
        </is>
      </c>
      <c r="D244" s="9" t="n">
        <v>165.78</v>
      </c>
      <c r="E244" s="8" t="inlineStr">
        <is>
          <t>ABIERTO_NUEVO</t>
        </is>
      </c>
      <c r="F244" s="8" t="inlineStr">
        <is>
          <t>Banco / impuesto / gasto</t>
        </is>
      </c>
      <c r="G244" s="8" t="inlineStr">
        <is>
          <t>Copiar en Flexxus: Tipo=MB-EXT | Movimiento=GRAVAMEN LEY 25.413 S/CRED | Monto=165,78 | Fecha: 20/04/2026</t>
        </is>
      </c>
    </row>
    <row r="245">
      <c r="A245" s="8" t="inlineStr">
        <is>
          <t>Administración/Banco</t>
        </is>
      </c>
      <c r="B245" s="8" t="inlineStr">
        <is>
          <t>Banco egreso no Flexxus</t>
        </is>
      </c>
      <c r="C245" s="8" t="inlineStr">
        <is>
          <t>Anticipo Ganancias Ley 25.413 créditos</t>
        </is>
      </c>
      <c r="D245" s="9" t="n">
        <v>80.22</v>
      </c>
      <c r="E245" s="8" t="inlineStr">
        <is>
          <t>ABIERTO_NUEVO</t>
        </is>
      </c>
      <c r="F245" s="8" t="inlineStr">
        <is>
          <t>Banco / impuesto / gasto</t>
        </is>
      </c>
      <c r="G245" s="8" t="inlineStr">
        <is>
          <t>Copiar en Flexxus: Tipo=MB-EXT | Movimiento=GRAVAMEN LEY 25.413 S/CRED | Monto=80,22 | Fecha: 20/04/2026</t>
        </is>
      </c>
    </row>
    <row r="246">
      <c r="A246" s="8" t="inlineStr">
        <is>
          <t>Administración/Banco</t>
        </is>
      </c>
      <c r="B246" s="8" t="inlineStr">
        <is>
          <t>Banco egreso no Flexxus</t>
        </is>
      </c>
      <c r="C246" s="8" t="inlineStr">
        <is>
          <t>Anticipo Ganancias Ley 25.413 créditos</t>
        </is>
      </c>
      <c r="D246" s="9" t="n">
        <v>262.04</v>
      </c>
      <c r="E246" s="8" t="inlineStr">
        <is>
          <t>ABIERTO_NUEVO</t>
        </is>
      </c>
      <c r="F246" s="8" t="inlineStr">
        <is>
          <t>Banco / impuesto / gasto</t>
        </is>
      </c>
      <c r="G246" s="8" t="inlineStr">
        <is>
          <t>Copiar en Flexxus: Tipo=MB-EXT | Movimiento=GRAVAMEN LEY 25.413 S/CRED | Monto=262,04 | Fecha: 20/04/2026</t>
        </is>
      </c>
    </row>
    <row r="247">
      <c r="A247" s="8" t="inlineStr">
        <is>
          <t>Administración/Banco</t>
        </is>
      </c>
      <c r="B247" s="8" t="inlineStr">
        <is>
          <t>Banco egreso no Flexxus</t>
        </is>
      </c>
      <c r="C247" s="8" t="inlineStr">
        <is>
          <t>Anticipo Ganancias Ley 25.413 créditos</t>
        </is>
      </c>
      <c r="D247" s="9" t="n">
        <v>272.73</v>
      </c>
      <c r="E247" s="8" t="inlineStr">
        <is>
          <t>ABIERTO_NUEVO</t>
        </is>
      </c>
      <c r="F247" s="8" t="inlineStr">
        <is>
          <t>Banco / impuesto / gasto</t>
        </is>
      </c>
      <c r="G247" s="8" t="inlineStr">
        <is>
          <t>Copiar en Flexxus: Tipo=MB-EXT | Movimiento=GRAVAMEN LEY 25.413 S/CRED | Monto=272,73 | Fecha: 20/04/2026</t>
        </is>
      </c>
    </row>
    <row r="248">
      <c r="A248" s="8" t="inlineStr">
        <is>
          <t>Administración/Banco</t>
        </is>
      </c>
      <c r="B248" s="8" t="inlineStr">
        <is>
          <t>Banco egreso no Flexxus</t>
        </is>
      </c>
      <c r="C248" s="8" t="inlineStr">
        <is>
          <t>Anticipo Ganancias Ley 25.413 créditos</t>
        </is>
      </c>
      <c r="D248" s="9" t="n">
        <v>110.52</v>
      </c>
      <c r="E248" s="8" t="inlineStr">
        <is>
          <t>ABIERTO_NUEVO</t>
        </is>
      </c>
      <c r="F248" s="8" t="inlineStr">
        <is>
          <t>Banco / impuesto / gasto</t>
        </is>
      </c>
      <c r="G248" s="8" t="inlineStr">
        <is>
          <t>Copiar en Flexxus: Tipo=MB-EXT | Movimiento=GRAVAMEN LEY 25.413 S/CRED | Monto=110,52 | Fecha: 20/04/2026</t>
        </is>
      </c>
    </row>
    <row r="249">
      <c r="A249" s="8" t="inlineStr">
        <is>
          <t>Administración/Banco</t>
        </is>
      </c>
      <c r="B249" s="8" t="inlineStr">
        <is>
          <t>Banco egreso no Flexxus</t>
        </is>
      </c>
      <c r="C249" s="8" t="inlineStr">
        <is>
          <t>Anticipo Ganancias Ley 25.413 créditos</t>
        </is>
      </c>
      <c r="D249" s="9" t="n">
        <v>158.65</v>
      </c>
      <c r="E249" s="8" t="inlineStr">
        <is>
          <t>ABIERTO_NUEVO</t>
        </is>
      </c>
      <c r="F249" s="8" t="inlineStr">
        <is>
          <t>Banco / impuesto / gasto</t>
        </is>
      </c>
      <c r="G249" s="8" t="inlineStr">
        <is>
          <t>Copiar en Flexxus: Tipo=MB-EXT | Movimiento=GRAVAMEN LEY 25.413 S/CRED | Monto=158,65 | Fecha: 20/04/2026</t>
        </is>
      </c>
    </row>
    <row r="250">
      <c r="A250" s="8" t="inlineStr">
        <is>
          <t>Administración/Banco</t>
        </is>
      </c>
      <c r="B250" s="8" t="inlineStr">
        <is>
          <t>Banco egreso no Flexxus</t>
        </is>
      </c>
      <c r="C250" s="8" t="inlineStr">
        <is>
          <t>Anticipo Ganancias Ley 25.413 créditos</t>
        </is>
      </c>
      <c r="D250" s="9" t="n">
        <v>91.51000000000001</v>
      </c>
      <c r="E250" s="8" t="inlineStr">
        <is>
          <t>ABIERTO_NUEVO</t>
        </is>
      </c>
      <c r="F250" s="8" t="inlineStr">
        <is>
          <t>Banco / impuesto / gasto</t>
        </is>
      </c>
      <c r="G250" s="8" t="inlineStr">
        <is>
          <t>Copiar en Flexxus: Tipo=MB-EXT | Movimiento=GRAVAMEN LEY 25.413 S/CRED | Monto=91,51 | Fecha: 20/04/2026</t>
        </is>
      </c>
    </row>
    <row r="251">
      <c r="A251" s="8" t="inlineStr">
        <is>
          <t>Administración/Banco</t>
        </is>
      </c>
      <c r="B251" s="8" t="inlineStr">
        <is>
          <t>Banco egreso no Flexxus</t>
        </is>
      </c>
      <c r="C251" s="8" t="inlineStr">
        <is>
          <t>Anticipo Ganancias Ley 25.413 créditos</t>
        </is>
      </c>
      <c r="D251" s="9" t="n">
        <v>148.55</v>
      </c>
      <c r="E251" s="8" t="inlineStr">
        <is>
          <t>ABIERTO_NUEVO</t>
        </is>
      </c>
      <c r="F251" s="8" t="inlineStr">
        <is>
          <t>Banco / impuesto / gasto</t>
        </is>
      </c>
      <c r="G251" s="8" t="inlineStr">
        <is>
          <t>Copiar en Flexxus: Tipo=MB-EXT | Movimiento=GRAVAMEN LEY 25.413 S/CRED | Monto=148,55 | Fecha: 20/04/2026</t>
        </is>
      </c>
    </row>
    <row r="252">
      <c r="A252" s="8" t="inlineStr">
        <is>
          <t>Administración/Banco</t>
        </is>
      </c>
      <c r="B252" s="8" t="inlineStr">
        <is>
          <t>Banco egreso no Flexxus</t>
        </is>
      </c>
      <c r="C252" s="8" t="inlineStr">
        <is>
          <t>Anticipo Ganancias Ley 25.413 créditos</t>
        </is>
      </c>
      <c r="D252" s="9" t="n">
        <v>102.2</v>
      </c>
      <c r="E252" s="8" t="inlineStr">
        <is>
          <t>ABIERTO_NUEVO</t>
        </is>
      </c>
      <c r="F252" s="8" t="inlineStr">
        <is>
          <t>Banco / impuesto / gasto</t>
        </is>
      </c>
      <c r="G252" s="8" t="inlineStr">
        <is>
          <t>Copiar en Flexxus: Tipo=MB-EXT | Movimiento=GRAVAMEN LEY 25.413 S/CRED | Monto=102,20 | Fecha: 20/04/2026</t>
        </is>
      </c>
    </row>
    <row r="253">
      <c r="A253" s="8" t="inlineStr">
        <is>
          <t>Administración/Banco</t>
        </is>
      </c>
      <c r="B253" s="8" t="inlineStr">
        <is>
          <t>Banco egreso no Flexxus</t>
        </is>
      </c>
      <c r="C253" s="8" t="inlineStr">
        <is>
          <t>Anticipo Ganancias Ley 25.413 créditos</t>
        </is>
      </c>
      <c r="D253" s="9" t="n">
        <v>108.14</v>
      </c>
      <c r="E253" s="8" t="inlineStr">
        <is>
          <t>ABIERTO_NUEVO</t>
        </is>
      </c>
      <c r="F253" s="8" t="inlineStr">
        <is>
          <t>Banco / impuesto / gasto</t>
        </is>
      </c>
      <c r="G253" s="8" t="inlineStr">
        <is>
          <t>Copiar en Flexxus: Tipo=MB-EXT | Movimiento=GRAVAMEN LEY 25.413 S/CRED | Monto=108,14 | Fecha: 20/04/2026</t>
        </is>
      </c>
    </row>
    <row r="254">
      <c r="A254" s="8" t="inlineStr">
        <is>
          <t>Administración/Banco</t>
        </is>
      </c>
      <c r="B254" s="8" t="inlineStr">
        <is>
          <t>Banco egreso no Flexxus</t>
        </is>
      </c>
      <c r="C254" s="8" t="inlineStr">
        <is>
          <t>Anticipo Ganancias Ley 25.413 créditos</t>
        </is>
      </c>
      <c r="D254" s="9" t="n">
        <v>33.27</v>
      </c>
      <c r="E254" s="8" t="inlineStr">
        <is>
          <t>ABIERTO_NUEVO</t>
        </is>
      </c>
      <c r="F254" s="8" t="inlineStr">
        <is>
          <t>Banco / impuesto / gasto</t>
        </is>
      </c>
      <c r="G254" s="8" t="inlineStr">
        <is>
          <t>Copiar en Flexxus: Tipo=MB-EXT | Movimiento=GRAVAMEN LEY 25.413 S/CRED | Monto=33,27 | Fecha: 20/04/2026</t>
        </is>
      </c>
    </row>
    <row r="255">
      <c r="A255" s="8" t="inlineStr">
        <is>
          <t>Administración/Banco</t>
        </is>
      </c>
      <c r="B255" s="8" t="inlineStr">
        <is>
          <t>Banco egreso no Flexxus</t>
        </is>
      </c>
      <c r="C255" s="8" t="inlineStr">
        <is>
          <t>Anticipo Ganancias Ley 25.413 créditos</t>
        </is>
      </c>
      <c r="D255" s="9" t="n">
        <v>114.68</v>
      </c>
      <c r="E255" s="8" t="inlineStr">
        <is>
          <t>ABIERTO_NUEVO</t>
        </is>
      </c>
      <c r="F255" s="8" t="inlineStr">
        <is>
          <t>Banco / impuesto / gasto</t>
        </is>
      </c>
      <c r="G255" s="8" t="inlineStr">
        <is>
          <t>Copiar en Flexxus: Tipo=MB-EXT | Movimiento=GRAVAMEN LEY 25.413 S/CRED | Monto=114,68 | Fecha: 20/04/2026</t>
        </is>
      </c>
    </row>
    <row r="256">
      <c r="A256" s="8" t="inlineStr">
        <is>
          <t>Administración/Banco</t>
        </is>
      </c>
      <c r="B256" s="8" t="inlineStr">
        <is>
          <t>Banco egreso no Flexxus</t>
        </is>
      </c>
      <c r="C256" s="8" t="inlineStr">
        <is>
          <t>Anticipo Ganancias Ley 25.413 créditos</t>
        </is>
      </c>
      <c r="D256" s="9" t="n">
        <v>228.76</v>
      </c>
      <c r="E256" s="8" t="inlineStr">
        <is>
          <t>ABIERTO_NUEVO</t>
        </is>
      </c>
      <c r="F256" s="8" t="inlineStr">
        <is>
          <t>Banco / impuesto / gasto</t>
        </is>
      </c>
      <c r="G256" s="8" t="inlineStr">
        <is>
          <t>Copiar en Flexxus: Tipo=MB-EXT | Movimiento=GRAVAMEN LEY 25.413 S/CRED | Monto=228,76 | Fecha: 20/04/2026</t>
        </is>
      </c>
    </row>
    <row r="257">
      <c r="A257" s="8" t="inlineStr">
        <is>
          <t>Administración/Banco</t>
        </is>
      </c>
      <c r="B257" s="8" t="inlineStr">
        <is>
          <t>Banco egreso no Flexxus</t>
        </is>
      </c>
      <c r="C257" s="8" t="inlineStr">
        <is>
          <t>Anticipo Ganancias Ley 25.413 créditos</t>
        </is>
      </c>
      <c r="D257" s="9" t="n">
        <v>136.66</v>
      </c>
      <c r="E257" s="8" t="inlineStr">
        <is>
          <t>ABIERTO_NUEVO</t>
        </is>
      </c>
      <c r="F257" s="8" t="inlineStr">
        <is>
          <t>Banco / impuesto / gasto</t>
        </is>
      </c>
      <c r="G257" s="8" t="inlineStr">
        <is>
          <t>Copiar en Flexxus: Tipo=MB-EXT | Movimiento=GRAVAMEN LEY 25.413 S/CRED | Monto=136,66 | Fecha: 20/04/2026</t>
        </is>
      </c>
    </row>
    <row r="258">
      <c r="A258" s="8" t="inlineStr">
        <is>
          <t>Administración/Banco</t>
        </is>
      </c>
      <c r="B258" s="8" t="inlineStr">
        <is>
          <t>Banco egreso no Flexxus</t>
        </is>
      </c>
      <c r="C258" s="8" t="inlineStr">
        <is>
          <t>Anticipo Ganancias Ley 25.413 créditos</t>
        </is>
      </c>
      <c r="D258" s="9" t="n">
        <v>53.48</v>
      </c>
      <c r="E258" s="8" t="inlineStr">
        <is>
          <t>ABIERTO_NUEVO</t>
        </is>
      </c>
      <c r="F258" s="8" t="inlineStr">
        <is>
          <t>Banco / impuesto / gasto</t>
        </is>
      </c>
      <c r="G258" s="8" t="inlineStr">
        <is>
          <t>Copiar en Flexxus: Tipo=MB-EXT | Movimiento=GRAVAMEN LEY 25.413 S/CRED | Monto=53,48 | Fecha: 20/04/2026</t>
        </is>
      </c>
    </row>
    <row r="259">
      <c r="A259" s="8" t="inlineStr">
        <is>
          <t>Administración/Banco</t>
        </is>
      </c>
      <c r="B259" s="8" t="inlineStr">
        <is>
          <t>Banco egreso no Flexxus</t>
        </is>
      </c>
      <c r="C259" s="8" t="inlineStr">
        <is>
          <t>Anticipo Ganancias Ley 25.413 créditos</t>
        </is>
      </c>
      <c r="D259" s="9" t="n">
        <v>251.34</v>
      </c>
      <c r="E259" s="8" t="inlineStr">
        <is>
          <t>ABIERTO_NUEVO</t>
        </is>
      </c>
      <c r="F259" s="8" t="inlineStr">
        <is>
          <t>Banco / impuesto / gasto</t>
        </is>
      </c>
      <c r="G259" s="8" t="inlineStr">
        <is>
          <t>Copiar en Flexxus: Tipo=MB-EXT | Movimiento=GRAVAMEN LEY 25.413 S/CRED | Monto=251,34 | Fecha: 20/04/2026</t>
        </is>
      </c>
    </row>
    <row r="260">
      <c r="A260" s="8" t="inlineStr">
        <is>
          <t>Administración/Banco</t>
        </is>
      </c>
      <c r="B260" s="8" t="inlineStr">
        <is>
          <t>Banco egreso no Flexxus</t>
        </is>
      </c>
      <c r="C260" s="8" t="inlineStr">
        <is>
          <t>Anticipo Ganancias Ley 25.413 créditos</t>
        </is>
      </c>
      <c r="D260" s="9" t="n">
        <v>233.52</v>
      </c>
      <c r="E260" s="8" t="inlineStr">
        <is>
          <t>ABIERTO_NUEVO</t>
        </is>
      </c>
      <c r="F260" s="8" t="inlineStr">
        <is>
          <t>Banco / impuesto / gasto</t>
        </is>
      </c>
      <c r="G260" s="8" t="inlineStr">
        <is>
          <t>Copiar en Flexxus: Tipo=MB-EXT | Movimiento=GRAVAMEN LEY 25.413 S/CRED | Monto=233,52 | Fecha: 20/04/2026</t>
        </is>
      </c>
    </row>
    <row r="261">
      <c r="A261" s="8" t="inlineStr">
        <is>
          <t>Administración/Banco</t>
        </is>
      </c>
      <c r="B261" s="8" t="inlineStr">
        <is>
          <t>Banco egreso no Flexxus</t>
        </is>
      </c>
      <c r="C261" s="8" t="inlineStr">
        <is>
          <t>Anticipo Ganancias Ley 25.413 créditos</t>
        </is>
      </c>
      <c r="D261" s="9" t="n">
        <v>326.81</v>
      </c>
      <c r="E261" s="8" t="inlineStr">
        <is>
          <t>ABIERTO_NUEVO</t>
        </is>
      </c>
      <c r="F261" s="8" t="inlineStr">
        <is>
          <t>Banco / impuesto / gasto</t>
        </is>
      </c>
      <c r="G261" s="8" t="inlineStr">
        <is>
          <t>Copiar en Flexxus: Tipo=MB-EXT | Movimiento=GRAVAMEN LEY 25.413 S/CRED | Monto=326,81 | Fecha: 20/04/2026</t>
        </is>
      </c>
    </row>
    <row r="262">
      <c r="A262" s="8" t="inlineStr">
        <is>
          <t>Administración/Banco</t>
        </is>
      </c>
      <c r="B262" s="8" t="inlineStr">
        <is>
          <t>Banco egreso no Flexxus</t>
        </is>
      </c>
      <c r="C262" s="8" t="inlineStr">
        <is>
          <t>Anticipo Ganancias Ley 25.413 créditos</t>
        </is>
      </c>
      <c r="D262" s="9" t="n">
        <v>600</v>
      </c>
      <c r="E262" s="8" t="inlineStr">
        <is>
          <t>ABIERTO_NUEVO</t>
        </is>
      </c>
      <c r="F262" s="8" t="inlineStr">
        <is>
          <t>Banco / impuesto / gasto</t>
        </is>
      </c>
      <c r="G262" s="8" t="inlineStr">
        <is>
          <t>Copiar en Flexxus: Tipo=MB-EXT | Movimiento=GRAVAMEN LEY 25.413 S/CRED | Monto=600,00 | Fecha: 20/04/2026</t>
        </is>
      </c>
    </row>
    <row r="263">
      <c r="A263" s="8" t="inlineStr">
        <is>
          <t>Administración/Banco</t>
        </is>
      </c>
      <c r="B263" s="8" t="inlineStr">
        <is>
          <t>Banco egreso no Flexxus</t>
        </is>
      </c>
      <c r="C263" s="8" t="inlineStr">
        <is>
          <t>Anticipo Ganancias Ley 25.413 créditos</t>
        </is>
      </c>
      <c r="D263" s="9" t="n">
        <v>169.34</v>
      </c>
      <c r="E263" s="8" t="inlineStr">
        <is>
          <t>ABIERTO_NUEVO</t>
        </is>
      </c>
      <c r="F263" s="8" t="inlineStr">
        <is>
          <t>Banco / impuesto / gasto</t>
        </is>
      </c>
      <c r="G263" s="8" t="inlineStr">
        <is>
          <t>Copiar en Flexxus: Tipo=MB-EXT | Movimiento=GRAVAMEN LEY 25.413 S/CRED | Monto=169,34 | Fecha: 20/04/2026</t>
        </is>
      </c>
    </row>
    <row r="264">
      <c r="A264" s="8" t="inlineStr">
        <is>
          <t>Administración/Banco</t>
        </is>
      </c>
      <c r="B264" s="8" t="inlineStr">
        <is>
          <t>Banco egreso no Flexxus</t>
        </is>
      </c>
      <c r="C264" s="8" t="inlineStr">
        <is>
          <t>Anticipo Ganancias Ley 25.413 créditos</t>
        </is>
      </c>
      <c r="D264" s="9" t="n">
        <v>68.33</v>
      </c>
      <c r="E264" s="8" t="inlineStr">
        <is>
          <t>ABIERTO_NUEVO</t>
        </is>
      </c>
      <c r="F264" s="8" t="inlineStr">
        <is>
          <t>Banco / impuesto / gasto</t>
        </is>
      </c>
      <c r="G264" s="8" t="inlineStr">
        <is>
          <t>Copiar en Flexxus: Tipo=MB-EXT | Movimiento=GRAVAMEN LEY 25.413 S/CRED | Monto=68,33 | Fecha: 20/04/2026</t>
        </is>
      </c>
    </row>
    <row r="265">
      <c r="A265" s="8" t="inlineStr">
        <is>
          <t>Administración/Banco</t>
        </is>
      </c>
      <c r="B265" s="8" t="inlineStr">
        <is>
          <t>Banco egreso no Flexxus</t>
        </is>
      </c>
      <c r="C265" s="8" t="inlineStr">
        <is>
          <t>Anticipo Ganancias Ley 25.413 créditos</t>
        </is>
      </c>
      <c r="D265" s="9" t="n">
        <v>318.49</v>
      </c>
      <c r="E265" s="8" t="inlineStr">
        <is>
          <t>ABIERTO_NUEVO</t>
        </is>
      </c>
      <c r="F265" s="8" t="inlineStr">
        <is>
          <t>Banco / impuesto / gasto</t>
        </is>
      </c>
      <c r="G265" s="8" t="inlineStr">
        <is>
          <t>Copiar en Flexxus: Tipo=MB-EXT | Movimiento=GRAVAMEN LEY 25.413 S/CRED | Monto=318,49 | Fecha: 20/04/2026</t>
        </is>
      </c>
    </row>
    <row r="266">
      <c r="A266" s="8" t="inlineStr">
        <is>
          <t>Administración/Banco</t>
        </is>
      </c>
      <c r="B266" s="8" t="inlineStr">
        <is>
          <t>Banco egreso no Flexxus</t>
        </is>
      </c>
      <c r="C266" s="8" t="inlineStr">
        <is>
          <t>Anticipo Ganancias Ley 25.413 créditos</t>
        </is>
      </c>
      <c r="D266" s="9" t="n">
        <v>285.21</v>
      </c>
      <c r="E266" s="8" t="inlineStr">
        <is>
          <t>ABIERTO_NUEVO</t>
        </is>
      </c>
      <c r="F266" s="8" t="inlineStr">
        <is>
          <t>Banco / impuesto / gasto</t>
        </is>
      </c>
      <c r="G266" s="8" t="inlineStr">
        <is>
          <t>Copiar en Flexxus: Tipo=MB-EXT | Movimiento=GRAVAMEN LEY 25.413 S/CRED | Monto=285,21 | Fecha: 20/04/2026</t>
        </is>
      </c>
    </row>
    <row r="267">
      <c r="A267" s="8" t="inlineStr">
        <is>
          <t>Administración/Banco</t>
        </is>
      </c>
      <c r="B267" s="8" t="inlineStr">
        <is>
          <t>Banco egreso no Flexxus</t>
        </is>
      </c>
      <c r="C267" s="8" t="inlineStr">
        <is>
          <t>Anticipo Ganancias Ley 25.413 créditos</t>
        </is>
      </c>
      <c r="D267" s="9" t="n">
        <v>283.43</v>
      </c>
      <c r="E267" s="8" t="inlineStr">
        <is>
          <t>ABIERTO_NUEVO</t>
        </is>
      </c>
      <c r="F267" s="8" t="inlineStr">
        <is>
          <t>Banco / impuesto / gasto</t>
        </is>
      </c>
      <c r="G267" s="8" t="inlineStr">
        <is>
          <t>Copiar en Flexxus: Tipo=MB-EXT | Movimiento=GRAVAMEN LEY 25.413 S/CRED | Monto=283,43 | Fecha: 20/04/2026</t>
        </is>
      </c>
    </row>
    <row r="268">
      <c r="A268" s="8" t="inlineStr">
        <is>
          <t>Administración/Banco</t>
        </is>
      </c>
      <c r="B268" s="8" t="inlineStr">
        <is>
          <t>Banco egreso no Flexxus</t>
        </is>
      </c>
      <c r="C268" s="8" t="inlineStr">
        <is>
          <t>Anticipo Ganancias Ley 25.413 créditos</t>
        </is>
      </c>
      <c r="D268" s="9" t="n">
        <v>199.05</v>
      </c>
      <c r="E268" s="8" t="inlineStr">
        <is>
          <t>ABIERTO_NUEVO</t>
        </is>
      </c>
      <c r="F268" s="8" t="inlineStr">
        <is>
          <t>Banco / impuesto / gasto</t>
        </is>
      </c>
      <c r="G268" s="8" t="inlineStr">
        <is>
          <t>Copiar en Flexxus: Tipo=MB-EXT | Movimiento=GRAVAMEN LEY 25.413 S/CRED | Monto=199,05 | Fecha: 20/04/2026</t>
        </is>
      </c>
    </row>
    <row r="269">
      <c r="A269" s="8" t="inlineStr">
        <is>
          <t>Administración/Banco</t>
        </is>
      </c>
      <c r="B269" s="8" t="inlineStr">
        <is>
          <t>Banco egreso no Flexxus</t>
        </is>
      </c>
      <c r="C269" s="8" t="inlineStr">
        <is>
          <t>Anticipo Ganancias Ley 25.413 créditos</t>
        </is>
      </c>
      <c r="D269" s="9" t="n">
        <v>205</v>
      </c>
      <c r="E269" s="8" t="inlineStr">
        <is>
          <t>ABIERTO_NUEVO</t>
        </is>
      </c>
      <c r="F269" s="8" t="inlineStr">
        <is>
          <t>Banco / impuesto / gasto</t>
        </is>
      </c>
      <c r="G269" s="8" t="inlineStr">
        <is>
          <t>Copiar en Flexxus: Tipo=MB-EXT | Movimiento=GRAVAMEN LEY 25.413 S/CRED | Monto=205,00 | Fecha: 20/04/2026</t>
        </is>
      </c>
    </row>
    <row r="270">
      <c r="A270" s="8" t="inlineStr">
        <is>
          <t>Administración/Banco</t>
        </is>
      </c>
      <c r="B270" s="8" t="inlineStr">
        <is>
          <t>Banco egreso no Flexxus</t>
        </is>
      </c>
      <c r="C270" s="8" t="inlineStr">
        <is>
          <t>Anticipo Ganancias Ley 25.413 créditos</t>
        </is>
      </c>
      <c r="D270" s="9" t="n">
        <v>172.32</v>
      </c>
      <c r="E270" s="8" t="inlineStr">
        <is>
          <t>ABIERTO_NUEVO</t>
        </is>
      </c>
      <c r="F270" s="8" t="inlineStr">
        <is>
          <t>Banco / impuesto / gasto</t>
        </is>
      </c>
      <c r="G270" s="8" t="inlineStr">
        <is>
          <t>Copiar en Flexxus: Tipo=MB-EXT | Movimiento=GRAVAMEN LEY 25.413 S/CRED | Monto=172,32 | Fecha: 20/04/2026</t>
        </is>
      </c>
    </row>
    <row r="271">
      <c r="A271" s="8" t="inlineStr">
        <is>
          <t>Administración/Banco</t>
        </is>
      </c>
      <c r="B271" s="8" t="inlineStr">
        <is>
          <t>Banco egreso no Flexxus</t>
        </is>
      </c>
      <c r="C271" s="8" t="inlineStr">
        <is>
          <t>Anticipo Ganancias Ley 25.413 créditos</t>
        </is>
      </c>
      <c r="D271" s="9" t="n">
        <v>132.5</v>
      </c>
      <c r="E271" s="8" t="inlineStr">
        <is>
          <t>ABIERTO_NUEVO</t>
        </is>
      </c>
      <c r="F271" s="8" t="inlineStr">
        <is>
          <t>Banco / impuesto / gasto</t>
        </is>
      </c>
      <c r="G271" s="8" t="inlineStr">
        <is>
          <t>Copiar en Flexxus: Tipo=MB-EXT | Movimiento=GRAVAMEN LEY 25.413 S/CRED | Monto=132,50 | Fecha: 20/04/2026</t>
        </is>
      </c>
    </row>
    <row r="272">
      <c r="A272" s="8" t="inlineStr">
        <is>
          <t>Administración/Banco</t>
        </is>
      </c>
      <c r="B272" s="8" t="inlineStr">
        <is>
          <t>Banco egreso no Flexxus</t>
        </is>
      </c>
      <c r="C272" s="8" t="inlineStr">
        <is>
          <t>Anticipo Ganancias Ley 25.413 créditos</t>
        </is>
      </c>
      <c r="D272" s="9" t="n">
        <v>47.54</v>
      </c>
      <c r="E272" s="8" t="inlineStr">
        <is>
          <t>ABIERTO_NUEVO</t>
        </is>
      </c>
      <c r="F272" s="8" t="inlineStr">
        <is>
          <t>Banco / impuesto / gasto</t>
        </is>
      </c>
      <c r="G272" s="8" t="inlineStr">
        <is>
          <t>Copiar en Flexxus: Tipo=MB-EXT | Movimiento=GRAVAMEN LEY 25.413 S/CRED | Monto=47,54 | Fecha: 20/04/2026</t>
        </is>
      </c>
    </row>
    <row r="273">
      <c r="A273" s="8" t="inlineStr">
        <is>
          <t>Administración/Banco</t>
        </is>
      </c>
      <c r="B273" s="8" t="inlineStr">
        <is>
          <t>Banco egreso no Flexxus</t>
        </is>
      </c>
      <c r="C273" s="8" t="inlineStr">
        <is>
          <t>Anticipo Ganancias Ley 25.413 créditos</t>
        </is>
      </c>
      <c r="D273" s="9" t="n">
        <v>92.69</v>
      </c>
      <c r="E273" s="8" t="inlineStr">
        <is>
          <t>ABIERTO_NUEVO</t>
        </is>
      </c>
      <c r="F273" s="8" t="inlineStr">
        <is>
          <t>Banco / impuesto / gasto</t>
        </is>
      </c>
      <c r="G273" s="8" t="inlineStr">
        <is>
          <t>Copiar en Flexxus: Tipo=MB-EXT | Movimiento=GRAVAMEN LEY 25.413 S/CRED | Monto=92,69 | Fecha: 20/04/2026</t>
        </is>
      </c>
    </row>
    <row r="274">
      <c r="A274" s="8" t="inlineStr">
        <is>
          <t>Administración/Banco</t>
        </is>
      </c>
      <c r="B274" s="8" t="inlineStr">
        <is>
          <t>Banco egreso no Flexxus</t>
        </is>
      </c>
      <c r="C274" s="8" t="inlineStr">
        <is>
          <t>Anticipo Ganancias Ley 25.413 créditos</t>
        </is>
      </c>
      <c r="D274" s="9" t="n">
        <v>160.43</v>
      </c>
      <c r="E274" s="8" t="inlineStr">
        <is>
          <t>ABIERTO_NUEVO</t>
        </is>
      </c>
      <c r="F274" s="8" t="inlineStr">
        <is>
          <t>Banco / impuesto / gasto</t>
        </is>
      </c>
      <c r="G274" s="8" t="inlineStr">
        <is>
          <t>Copiar en Flexxus: Tipo=MB-EXT | Movimiento=GRAVAMEN LEY 25.413 S/CRED | Monto=160,43 | Fecha: 20/04/2026</t>
        </is>
      </c>
    </row>
    <row r="275">
      <c r="A275" s="8" t="inlineStr">
        <is>
          <t>Administración/Banco</t>
        </is>
      </c>
      <c r="B275" s="8" t="inlineStr">
        <is>
          <t>Banco egreso no Flexxus</t>
        </is>
      </c>
      <c r="C275" s="8" t="inlineStr">
        <is>
          <t>Anticipo Ganancias Ley 25.413 créditos</t>
        </is>
      </c>
      <c r="D275" s="9" t="n">
        <v>209.75</v>
      </c>
      <c r="E275" s="8" t="inlineStr">
        <is>
          <t>ABIERTO_NUEVO</t>
        </is>
      </c>
      <c r="F275" s="8" t="inlineStr">
        <is>
          <t>Banco / impuesto / gasto</t>
        </is>
      </c>
      <c r="G275" s="8" t="inlineStr">
        <is>
          <t>Copiar en Flexxus: Tipo=MB-EXT | Movimiento=GRAVAMEN LEY 25.413 S/CRED | Monto=209,75 | Fecha: 20/04/2026</t>
        </is>
      </c>
    </row>
    <row r="276">
      <c r="A276" s="8" t="inlineStr">
        <is>
          <t>Administración/Banco</t>
        </is>
      </c>
      <c r="B276" s="8" t="inlineStr">
        <is>
          <t>Banco egreso no Flexxus</t>
        </is>
      </c>
      <c r="C276" s="8" t="inlineStr">
        <is>
          <t>Anticipo Ganancias Ley 25.413 créditos</t>
        </is>
      </c>
      <c r="D276" s="9" t="n">
        <v>474.17</v>
      </c>
      <c r="E276" s="8" t="inlineStr">
        <is>
          <t>ABIERTO_NUEVO</t>
        </is>
      </c>
      <c r="F276" s="8" t="inlineStr">
        <is>
          <t>Banco / impuesto / gasto</t>
        </is>
      </c>
      <c r="G276" s="8" t="inlineStr">
        <is>
          <t>Copiar en Flexxus: Tipo=MB-EXT | Movimiento=GRAVAMEN LEY 25.413 S/CRED | Monto=474,17 | Fecha: 20/04/2026</t>
        </is>
      </c>
    </row>
    <row r="277">
      <c r="A277" s="8" t="inlineStr">
        <is>
          <t>Administración/Banco</t>
        </is>
      </c>
      <c r="B277" s="8" t="inlineStr">
        <is>
          <t>Banco egreso no Flexxus</t>
        </is>
      </c>
      <c r="C277" s="8" t="inlineStr">
        <is>
          <t>Anticipo Ganancias Ley 25.413 créditos</t>
        </is>
      </c>
      <c r="D277" s="9" t="n">
        <v>26.74</v>
      </c>
      <c r="E277" s="8" t="inlineStr">
        <is>
          <t>ABIERTO_NUEVO</t>
        </is>
      </c>
      <c r="F277" s="8" t="inlineStr">
        <is>
          <t>Banco / impuesto / gasto</t>
        </is>
      </c>
      <c r="G277" s="8" t="inlineStr">
        <is>
          <t>Copiar en Flexxus: Tipo=MB-EXT | Movimiento=GRAVAMEN LEY 25.413 S/CRED | Monto=26,74 | Fecha: 20/04/2026</t>
        </is>
      </c>
    </row>
    <row r="278">
      <c r="A278" s="8" t="inlineStr">
        <is>
          <t>Administración/Banco</t>
        </is>
      </c>
      <c r="B278" s="8" t="inlineStr">
        <is>
          <t>Banco egreso no Flexxus</t>
        </is>
      </c>
      <c r="C278" s="8" t="inlineStr">
        <is>
          <t>Anticipo Ganancias Ley 25.413 créditos</t>
        </is>
      </c>
      <c r="D278" s="9" t="n">
        <v>136.66</v>
      </c>
      <c r="E278" s="8" t="inlineStr">
        <is>
          <t>ABIERTO_NUEVO</t>
        </is>
      </c>
      <c r="F278" s="8" t="inlineStr">
        <is>
          <t>Banco / impuesto / gasto</t>
        </is>
      </c>
      <c r="G278" s="8" t="inlineStr">
        <is>
          <t>Copiar en Flexxus: Tipo=MB-EXT | Movimiento=GRAVAMEN LEY 25.413 S/CRED | Monto=136,66 | Fecha: 20/04/2026</t>
        </is>
      </c>
    </row>
    <row r="279">
      <c r="A279" s="8" t="inlineStr">
        <is>
          <t>Administración/Banco</t>
        </is>
      </c>
      <c r="B279" s="8" t="inlineStr">
        <is>
          <t>Banco egreso no Flexxus</t>
        </is>
      </c>
      <c r="C279" s="8" t="inlineStr">
        <is>
          <t>Anticipo Ganancias Ley 25.413 créditos</t>
        </is>
      </c>
      <c r="D279" s="9" t="n">
        <v>389.79</v>
      </c>
      <c r="E279" s="8" t="inlineStr">
        <is>
          <t>ABIERTO_NUEVO</t>
        </is>
      </c>
      <c r="F279" s="8" t="inlineStr">
        <is>
          <t>Banco / impuesto / gasto</t>
        </is>
      </c>
      <c r="G279" s="8" t="inlineStr">
        <is>
          <t>Copiar en Flexxus: Tipo=MB-EXT | Movimiento=GRAVAMEN LEY 25.413 S/CRED | Monto=389,79 | Fecha: 20/04/2026</t>
        </is>
      </c>
    </row>
    <row r="280">
      <c r="A280" s="8" t="inlineStr">
        <is>
          <t>Administración/Banco</t>
        </is>
      </c>
      <c r="B280" s="8" t="inlineStr">
        <is>
          <t>Banco egreso no Flexxus</t>
        </is>
      </c>
      <c r="C280" s="8" t="inlineStr">
        <is>
          <t>Anticipo Ganancias Ley 25.413 créditos</t>
        </is>
      </c>
      <c r="D280" s="9" t="n">
        <v>172.32</v>
      </c>
      <c r="E280" s="8" t="inlineStr">
        <is>
          <t>ABIERTO_NUEVO</t>
        </is>
      </c>
      <c r="F280" s="8" t="inlineStr">
        <is>
          <t>Banco / impuesto / gasto</t>
        </is>
      </c>
      <c r="G280" s="8" t="inlineStr">
        <is>
          <t>Copiar en Flexxus: Tipo=MB-EXT | Movimiento=GRAVAMEN LEY 25.413 S/CRED | Monto=172,32 | Fecha: 20/04/2026</t>
        </is>
      </c>
    </row>
    <row r="281">
      <c r="A281" s="8" t="inlineStr">
        <is>
          <t>Administración/Banco</t>
        </is>
      </c>
      <c r="B281" s="8" t="inlineStr">
        <is>
          <t>Banco egreso no Flexxus</t>
        </is>
      </c>
      <c r="C281" s="8" t="inlineStr">
        <is>
          <t>Anticipo Ganancias Ley 25.413 créditos</t>
        </is>
      </c>
      <c r="D281" s="9" t="n">
        <v>142.61</v>
      </c>
      <c r="E281" s="8" t="inlineStr">
        <is>
          <t>ABIERTO_NUEVO</t>
        </is>
      </c>
      <c r="F281" s="8" t="inlineStr">
        <is>
          <t>Banco / impuesto / gasto</t>
        </is>
      </c>
      <c r="G281" s="8" t="inlineStr">
        <is>
          <t>Copiar en Flexxus: Tipo=MB-EXT | Movimiento=GRAVAMEN LEY 25.413 S/CRED | Monto=142,61 | Fecha: 20/04/2026</t>
        </is>
      </c>
    </row>
    <row r="282">
      <c r="A282" s="8" t="inlineStr">
        <is>
          <t>Administración/Banco</t>
        </is>
      </c>
      <c r="B282" s="8" t="inlineStr">
        <is>
          <t>Banco egreso no Flexxus</t>
        </is>
      </c>
      <c r="C282" s="8" t="inlineStr">
        <is>
          <t>Anticipo Ganancias Ley 25.413 créditos</t>
        </is>
      </c>
      <c r="D282" s="9" t="n">
        <v>148.55</v>
      </c>
      <c r="E282" s="8" t="inlineStr">
        <is>
          <t>ABIERTO_NUEVO</t>
        </is>
      </c>
      <c r="F282" s="8" t="inlineStr">
        <is>
          <t>Banco / impuesto / gasto</t>
        </is>
      </c>
      <c r="G282" s="8" t="inlineStr">
        <is>
          <t>Copiar en Flexxus: Tipo=MB-EXT | Movimiento=GRAVAMEN LEY 25.413 S/CRED | Monto=148,55 | Fecha: 20/04/2026</t>
        </is>
      </c>
    </row>
    <row r="283">
      <c r="A283" s="8" t="inlineStr">
        <is>
          <t>Administración/Banco</t>
        </is>
      </c>
      <c r="B283" s="8" t="inlineStr">
        <is>
          <t>Banco egreso no Flexxus</t>
        </is>
      </c>
      <c r="C283" s="8" t="inlineStr">
        <is>
          <t>Anticipo Ganancias Ley 25.413 créditos</t>
        </is>
      </c>
      <c r="D283" s="9" t="n">
        <v>137.26</v>
      </c>
      <c r="E283" s="8" t="inlineStr">
        <is>
          <t>ABIERTO_NUEVO</t>
        </is>
      </c>
      <c r="F283" s="8" t="inlineStr">
        <is>
          <t>Banco / impuesto / gasto</t>
        </is>
      </c>
      <c r="G283" s="8" t="inlineStr">
        <is>
          <t>Copiar en Flexxus: Tipo=MB-EXT | Movimiento=GRAVAMEN LEY 25.413 S/CRED | Monto=137,26 | Fecha: 20/04/2026</t>
        </is>
      </c>
    </row>
    <row r="284">
      <c r="A284" s="8" t="inlineStr">
        <is>
          <t>Administración/Banco</t>
        </is>
      </c>
      <c r="B284" s="8" t="inlineStr">
        <is>
          <t>Banco egreso no Flexxus</t>
        </is>
      </c>
      <c r="C284" s="8" t="inlineStr">
        <is>
          <t>Anticipo Ganancias Ley 25.413 créditos</t>
        </is>
      </c>
      <c r="D284" s="9" t="n">
        <v>221.63</v>
      </c>
      <c r="E284" s="8" t="inlineStr">
        <is>
          <t>ABIERTO_NUEVO</t>
        </is>
      </c>
      <c r="F284" s="8" t="inlineStr">
        <is>
          <t>Banco / impuesto / gasto</t>
        </is>
      </c>
      <c r="G284" s="8" t="inlineStr">
        <is>
          <t>Copiar en Flexxus: Tipo=MB-EXT | Movimiento=GRAVAMEN LEY 25.413 S/CRED | Monto=221,63 | Fecha: 20/04/2026</t>
        </is>
      </c>
    </row>
    <row r="285">
      <c r="A285" s="8" t="inlineStr">
        <is>
          <t>Administración/Banco</t>
        </is>
      </c>
      <c r="B285" s="8" t="inlineStr">
        <is>
          <t>Banco egreso no Flexxus</t>
        </is>
      </c>
      <c r="C285" s="8" t="inlineStr">
        <is>
          <t>Anticipo Ganancias Ley 25.413 créditos</t>
        </is>
      </c>
      <c r="D285" s="9" t="n">
        <v>177.07</v>
      </c>
      <c r="E285" s="8" t="inlineStr">
        <is>
          <t>ABIERTO_NUEVO</t>
        </is>
      </c>
      <c r="F285" s="8" t="inlineStr">
        <is>
          <t>Banco / impuesto / gasto</t>
        </is>
      </c>
      <c r="G285" s="8" t="inlineStr">
        <is>
          <t>Copiar en Flexxus: Tipo=MB-EXT | Movimiento=GRAVAMEN LEY 25.413 S/CRED | Monto=177,07 | Fecha: 20/04/2026</t>
        </is>
      </c>
    </row>
    <row r="286">
      <c r="A286" s="8" t="inlineStr">
        <is>
          <t>Administración/Banco</t>
        </is>
      </c>
      <c r="B286" s="8" t="inlineStr">
        <is>
          <t>Banco egreso no Flexxus</t>
        </is>
      </c>
      <c r="C286" s="8" t="inlineStr">
        <is>
          <t>Anticipo Ganancias Ley 25.413 créditos</t>
        </is>
      </c>
      <c r="D286" s="9" t="n">
        <v>92.69</v>
      </c>
      <c r="E286" s="8" t="inlineStr">
        <is>
          <t>ABIERTO_NUEVO</t>
        </is>
      </c>
      <c r="F286" s="8" t="inlineStr">
        <is>
          <t>Banco / impuesto / gasto</t>
        </is>
      </c>
      <c r="G286" s="8" t="inlineStr">
        <is>
          <t>Copiar en Flexxus: Tipo=MB-EXT | Movimiento=GRAVAMEN LEY 25.413 S/CRED | Monto=92,69 | Fecha: 20/04/2026</t>
        </is>
      </c>
    </row>
    <row r="287">
      <c r="A287" s="8" t="inlineStr">
        <is>
          <t>Administración/Banco</t>
        </is>
      </c>
      <c r="B287" s="8" t="inlineStr">
        <is>
          <t>Banco egreso no Flexxus</t>
        </is>
      </c>
      <c r="C287" s="8" t="inlineStr">
        <is>
          <t>Anticipo Ganancias Ley 25.413 créditos</t>
        </is>
      </c>
      <c r="D287" s="9" t="n">
        <v>96.84999999999999</v>
      </c>
      <c r="E287" s="8" t="inlineStr">
        <is>
          <t>ABIERTO_NUEVO</t>
        </is>
      </c>
      <c r="F287" s="8" t="inlineStr">
        <is>
          <t>Banco / impuesto / gasto</t>
        </is>
      </c>
      <c r="G287" s="8" t="inlineStr">
        <is>
          <t>Copiar en Flexxus: Tipo=MB-EXT | Movimiento=GRAVAMEN LEY 25.413 S/CRED | Monto=96,85 | Fecha: 20/04/2026</t>
        </is>
      </c>
    </row>
    <row r="288">
      <c r="A288" s="8" t="inlineStr">
        <is>
          <t>Administración/Banco</t>
        </is>
      </c>
      <c r="B288" s="8" t="inlineStr">
        <is>
          <t>Banco egreso no Flexxus</t>
        </is>
      </c>
      <c r="C288" s="8" t="inlineStr">
        <is>
          <t>Anticipo Ganancias Ley 25.413 créditos</t>
        </is>
      </c>
      <c r="D288" s="9" t="n">
        <v>119.43</v>
      </c>
      <c r="E288" s="8" t="inlineStr">
        <is>
          <t>ABIERTO_NUEVO</t>
        </is>
      </c>
      <c r="F288" s="8" t="inlineStr">
        <is>
          <t>Banco / impuesto / gasto</t>
        </is>
      </c>
      <c r="G288" s="8" t="inlineStr">
        <is>
          <t>Copiar en Flexxus: Tipo=MB-EXT | Movimiento=GRAVAMEN LEY 25.413 S/CRED | Monto=119,43 | Fecha: 20/04/2026</t>
        </is>
      </c>
    </row>
    <row r="289">
      <c r="A289" s="8" t="inlineStr">
        <is>
          <t>Administración/Banco</t>
        </is>
      </c>
      <c r="B289" s="8" t="inlineStr">
        <is>
          <t>Banco egreso no Flexxus</t>
        </is>
      </c>
      <c r="C289" s="8" t="inlineStr">
        <is>
          <t>Anticipo Ganancias Ley 25.413 créditos</t>
        </is>
      </c>
      <c r="D289" s="9" t="n">
        <v>113.49</v>
      </c>
      <c r="E289" s="8" t="inlineStr">
        <is>
          <t>ABIERTO_NUEVO</t>
        </is>
      </c>
      <c r="F289" s="8" t="inlineStr">
        <is>
          <t>Banco / impuesto / gasto</t>
        </is>
      </c>
      <c r="G289" s="8" t="inlineStr">
        <is>
          <t>Copiar en Flexxus: Tipo=MB-EXT | Movimiento=GRAVAMEN LEY 25.413 S/CRED | Monto=113,49 | Fecha: 20/04/2026</t>
        </is>
      </c>
    </row>
    <row r="290">
      <c r="A290" s="8" t="inlineStr">
        <is>
          <t>Administración/Banco</t>
        </is>
      </c>
      <c r="B290" s="8" t="inlineStr">
        <is>
          <t>Banco egreso no Flexxus</t>
        </is>
      </c>
      <c r="C290" s="8" t="inlineStr">
        <is>
          <t>Anticipo Ganancias Ley 25.413 créditos</t>
        </is>
      </c>
      <c r="D290" s="9" t="n">
        <v>89.13</v>
      </c>
      <c r="E290" s="8" t="inlineStr">
        <is>
          <t>ABIERTO_NUEVO</t>
        </is>
      </c>
      <c r="F290" s="8" t="inlineStr">
        <is>
          <t>Banco / impuesto / gasto</t>
        </is>
      </c>
      <c r="G290" s="8" t="inlineStr">
        <is>
          <t>Copiar en Flexxus: Tipo=MB-EXT | Movimiento=GRAVAMEN LEY 25.413 S/CRED | Monto=89,13 | Fecha: 20/04/2026</t>
        </is>
      </c>
    </row>
    <row r="291">
      <c r="A291" s="8" t="inlineStr">
        <is>
          <t>Administración/Banco</t>
        </is>
      </c>
      <c r="B291" s="8" t="inlineStr">
        <is>
          <t>Banco egreso no Flexxus</t>
        </is>
      </c>
      <c r="C291" s="8" t="inlineStr">
        <is>
          <t>Anticipo Ganancias Ley 25.413 créditos</t>
        </is>
      </c>
      <c r="D291" s="9" t="n">
        <v>434.95</v>
      </c>
      <c r="E291" s="8" t="inlineStr">
        <is>
          <t>ABIERTO_NUEVO</t>
        </is>
      </c>
      <c r="F291" s="8" t="inlineStr">
        <is>
          <t>Banco / impuesto / gasto</t>
        </is>
      </c>
      <c r="G291" s="8" t="inlineStr">
        <is>
          <t>Copiar en Flexxus: Tipo=MB-EXT | Movimiento=GRAVAMEN LEY 25.413 S/CRED | Monto=434,95 | Fecha: 20/04/2026</t>
        </is>
      </c>
    </row>
    <row r="292">
      <c r="A292" s="8" t="inlineStr">
        <is>
          <t>Administración/Banco</t>
        </is>
      </c>
      <c r="B292" s="8" t="inlineStr">
        <is>
          <t>Banco egreso no Flexxus</t>
        </is>
      </c>
      <c r="C292" s="8" t="inlineStr">
        <is>
          <t>Anticipo Ganancias Ley 25.413 créditos</t>
        </is>
      </c>
      <c r="D292" s="9" t="n">
        <v>401.08</v>
      </c>
      <c r="E292" s="8" t="inlineStr">
        <is>
          <t>ABIERTO_NUEVO</t>
        </is>
      </c>
      <c r="F292" s="8" t="inlineStr">
        <is>
          <t>Banco / impuesto / gasto</t>
        </is>
      </c>
      <c r="G292" s="8" t="inlineStr">
        <is>
          <t>Copiar en Flexxus: Tipo=MB-EXT | Movimiento=GRAVAMEN LEY 25.413 S/CRED | Monto=401,08 | Fecha: 20/04/2026</t>
        </is>
      </c>
    </row>
    <row r="293">
      <c r="A293" s="8" t="inlineStr">
        <is>
          <t>Administración/Banco</t>
        </is>
      </c>
      <c r="B293" s="8" t="inlineStr">
        <is>
          <t>Banco egreso no Flexxus</t>
        </is>
      </c>
      <c r="C293" s="8" t="inlineStr">
        <is>
          <t>Anticipo Ganancias Ley 25.413 créditos</t>
        </is>
      </c>
      <c r="D293" s="9" t="n">
        <v>353.54</v>
      </c>
      <c r="E293" s="8" t="inlineStr">
        <is>
          <t>ABIERTO_NUEVO</t>
        </is>
      </c>
      <c r="F293" s="8" t="inlineStr">
        <is>
          <t>Banco / impuesto / gasto</t>
        </is>
      </c>
      <c r="G293" s="8" t="inlineStr">
        <is>
          <t>Copiar en Flexxus: Tipo=MB-EXT | Movimiento=GRAVAMEN LEY 25.413 S/CRED | Monto=353,54 | Fecha: 20/04/2026</t>
        </is>
      </c>
    </row>
    <row r="294">
      <c r="A294" s="8" t="inlineStr">
        <is>
          <t>Administración/Banco</t>
        </is>
      </c>
      <c r="B294" s="8" t="inlineStr">
        <is>
          <t>Banco egreso no Flexxus</t>
        </is>
      </c>
      <c r="C294" s="8" t="inlineStr">
        <is>
          <t>Anticipo Ganancias Ley 25.413 créditos</t>
        </is>
      </c>
      <c r="D294" s="9" t="n">
        <v>659.55</v>
      </c>
      <c r="E294" s="8" t="inlineStr">
        <is>
          <t>ABIERTO_NUEVO</t>
        </is>
      </c>
      <c r="F294" s="8" t="inlineStr">
        <is>
          <t>Banco / impuesto / gasto</t>
        </is>
      </c>
      <c r="G294" s="8" t="inlineStr">
        <is>
          <t>Copiar en Flexxus: Tipo=MB-EXT | Movimiento=GRAVAMEN LEY 25.413 S/CRED | Monto=659,55 | Fecha: 20/04/2026</t>
        </is>
      </c>
    </row>
    <row r="295">
      <c r="A295" s="8" t="inlineStr">
        <is>
          <t>Administración/Banco</t>
        </is>
      </c>
      <c r="B295" s="8" t="inlineStr">
        <is>
          <t>Banco egreso no Flexxus</t>
        </is>
      </c>
      <c r="C295" s="8" t="inlineStr">
        <is>
          <t>Anticipo Ganancias Ley 25.413 créditos</t>
        </is>
      </c>
      <c r="D295" s="9" t="n">
        <v>308.98</v>
      </c>
      <c r="E295" s="8" t="inlineStr">
        <is>
          <t>ABIERTO_NUEVO</t>
        </is>
      </c>
      <c r="F295" s="8" t="inlineStr">
        <is>
          <t>Banco / impuesto / gasto</t>
        </is>
      </c>
      <c r="G295" s="8" t="inlineStr">
        <is>
          <t>Copiar en Flexxus: Tipo=MB-EXT | Movimiento=GRAVAMEN LEY 25.413 S/CRED | Monto=308,98 | Fecha: 20/04/2026</t>
        </is>
      </c>
    </row>
    <row r="296">
      <c r="A296" s="8" t="inlineStr">
        <is>
          <t>Administración/Banco</t>
        </is>
      </c>
      <c r="B296" s="8" t="inlineStr">
        <is>
          <t>Banco egreso no Flexxus</t>
        </is>
      </c>
      <c r="C296" s="8" t="inlineStr">
        <is>
          <t>Anticipo Ganancias Ley 25.413 créditos</t>
        </is>
      </c>
      <c r="D296" s="9" t="n">
        <v>332.75</v>
      </c>
      <c r="E296" s="8" t="inlineStr">
        <is>
          <t>ABIERTO_NUEVO</t>
        </is>
      </c>
      <c r="F296" s="8" t="inlineStr">
        <is>
          <t>Banco / impuesto / gasto</t>
        </is>
      </c>
      <c r="G296" s="8" t="inlineStr">
        <is>
          <t>Copiar en Flexxus: Tipo=MB-EXT | Movimiento=GRAVAMEN LEY 25.413 S/CRED | Monto=332,75 | Fecha: 20/04/2026</t>
        </is>
      </c>
    </row>
    <row r="297">
      <c r="A297" s="8" t="inlineStr">
        <is>
          <t>Administración/Banco</t>
        </is>
      </c>
      <c r="B297" s="8" t="inlineStr">
        <is>
          <t>Banco egreso no Flexxus</t>
        </is>
      </c>
      <c r="C297" s="8" t="inlineStr">
        <is>
          <t>Anticipo Ganancias Ley 25.413 créditos</t>
        </is>
      </c>
      <c r="D297" s="9" t="n">
        <v>193.11</v>
      </c>
      <c r="E297" s="8" t="inlineStr">
        <is>
          <t>ABIERTO_NUEVO</t>
        </is>
      </c>
      <c r="F297" s="8" t="inlineStr">
        <is>
          <t>Banco / impuesto / gasto</t>
        </is>
      </c>
      <c r="G297" s="8" t="inlineStr">
        <is>
          <t>Copiar en Flexxus: Tipo=MB-EXT | Movimiento=GRAVAMEN LEY 25.413 S/CRED | Monto=193,11 | Fecha: 20/04/2026</t>
        </is>
      </c>
    </row>
    <row r="298">
      <c r="A298" s="8" t="inlineStr">
        <is>
          <t>Administración/Banco</t>
        </is>
      </c>
      <c r="B298" s="8" t="inlineStr">
        <is>
          <t>Banco egreso no Flexxus</t>
        </is>
      </c>
      <c r="C298" s="8" t="inlineStr">
        <is>
          <t>Anticipo Ganancias Ley 25.413 créditos</t>
        </is>
      </c>
      <c r="D298" s="9" t="n">
        <v>49.91</v>
      </c>
      <c r="E298" s="8" t="inlineStr">
        <is>
          <t>ABIERTO_NUEVO</t>
        </is>
      </c>
      <c r="F298" s="8" t="inlineStr">
        <is>
          <t>Banco / impuesto / gasto</t>
        </is>
      </c>
      <c r="G298" s="8" t="inlineStr">
        <is>
          <t>Copiar en Flexxus: Tipo=MB-EXT | Movimiento=GRAVAMEN LEY 25.413 S/CRED | Monto=49,91 | Fecha: 20/04/2026</t>
        </is>
      </c>
    </row>
    <row r="299">
      <c r="A299" s="8" t="inlineStr">
        <is>
          <t>Administración/Banco</t>
        </is>
      </c>
      <c r="B299" s="8" t="inlineStr">
        <is>
          <t>Banco egreso no Flexxus</t>
        </is>
      </c>
      <c r="C299" s="8" t="inlineStr">
        <is>
          <t>Anticipo Ganancias Ley 25.413 créditos</t>
        </is>
      </c>
      <c r="D299" s="9" t="n">
        <v>80.22</v>
      </c>
      <c r="E299" s="8" t="inlineStr">
        <is>
          <t>ABIERTO_NUEVO</t>
        </is>
      </c>
      <c r="F299" s="8" t="inlineStr">
        <is>
          <t>Banco / impuesto / gasto</t>
        </is>
      </c>
      <c r="G299" s="8" t="inlineStr">
        <is>
          <t>Copiar en Flexxus: Tipo=MB-EXT | Movimiento=GRAVAMEN LEY 25.413 S/CRED | Monto=80,22 | Fecha: 20/04/2026</t>
        </is>
      </c>
    </row>
    <row r="300">
      <c r="A300" s="8" t="inlineStr">
        <is>
          <t>Administración/Banco</t>
        </is>
      </c>
      <c r="B300" s="8" t="inlineStr">
        <is>
          <t>Banco egreso no Flexxus</t>
        </is>
      </c>
      <c r="C300" s="8" t="inlineStr">
        <is>
          <t>Anticipo Ganancias Ley 25.413 créditos</t>
        </is>
      </c>
      <c r="D300" s="9" t="n">
        <v>68.33</v>
      </c>
      <c r="E300" s="8" t="inlineStr">
        <is>
          <t>ABIERTO_NUEVO</t>
        </is>
      </c>
      <c r="F300" s="8" t="inlineStr">
        <is>
          <t>Banco / impuesto / gasto</t>
        </is>
      </c>
      <c r="G300" s="8" t="inlineStr">
        <is>
          <t>Copiar en Flexxus: Tipo=MB-EXT | Movimiento=GRAVAMEN LEY 25.413 S/CRED | Monto=68,33 | Fecha: 20/04/2026</t>
        </is>
      </c>
    </row>
    <row r="301">
      <c r="A301" s="8" t="inlineStr">
        <is>
          <t>Administración/Banco</t>
        </is>
      </c>
      <c r="B301" s="8" t="inlineStr">
        <is>
          <t>Banco egreso no Flexxus</t>
        </is>
      </c>
      <c r="C301" s="8" t="inlineStr">
        <is>
          <t>Anticipo Ganancias Ley 25.413 créditos</t>
        </is>
      </c>
      <c r="D301" s="9" t="n">
        <v>240.65</v>
      </c>
      <c r="E301" s="8" t="inlineStr">
        <is>
          <t>ABIERTO_NUEVO</t>
        </is>
      </c>
      <c r="F301" s="8" t="inlineStr">
        <is>
          <t>Banco / impuesto / gasto</t>
        </is>
      </c>
      <c r="G301" s="8" t="inlineStr">
        <is>
          <t>Copiar en Flexxus: Tipo=MB-EXT | Movimiento=GRAVAMEN LEY 25.413 S/CRED | Monto=240,65 | Fecha: 20/04/2026</t>
        </is>
      </c>
    </row>
    <row r="302">
      <c r="A302" s="8" t="inlineStr">
        <is>
          <t>Administración/Banco</t>
        </is>
      </c>
      <c r="B302" s="8" t="inlineStr">
        <is>
          <t>Banco egreso no Flexxus</t>
        </is>
      </c>
      <c r="C302" s="8" t="inlineStr">
        <is>
          <t>Anticipo Ganancias Ley 25.413 créditos</t>
        </is>
      </c>
      <c r="D302" s="9" t="n">
        <v>41</v>
      </c>
      <c r="E302" s="8" t="inlineStr">
        <is>
          <t>ABIERTO_NUEVO</t>
        </is>
      </c>
      <c r="F302" s="8" t="inlineStr">
        <is>
          <t>Banco / impuesto / gasto</t>
        </is>
      </c>
      <c r="G302" s="8" t="inlineStr">
        <is>
          <t>Copiar en Flexxus: Tipo=MB-EXT | Movimiento=GRAVAMEN LEY 25.413 S/CRED | Monto=41,00 | Fecha: 20/04/2026</t>
        </is>
      </c>
    </row>
    <row r="303">
      <c r="A303" s="8" t="inlineStr">
        <is>
          <t>Administración/Banco</t>
        </is>
      </c>
      <c r="B303" s="8" t="inlineStr">
        <is>
          <t>Banco egreso no Flexxus</t>
        </is>
      </c>
      <c r="C303" s="8" t="inlineStr">
        <is>
          <t>Anticipo Ganancias Ley 25.413 créditos</t>
        </is>
      </c>
      <c r="D303" s="9" t="n">
        <v>136.66</v>
      </c>
      <c r="E303" s="8" t="inlineStr">
        <is>
          <t>ABIERTO_NUEVO</t>
        </is>
      </c>
      <c r="F303" s="8" t="inlineStr">
        <is>
          <t>Banco / impuesto / gasto</t>
        </is>
      </c>
      <c r="G303" s="8" t="inlineStr">
        <is>
          <t>Copiar en Flexxus: Tipo=MB-EXT | Movimiento=GRAVAMEN LEY 25.413 S/CRED | Monto=136,66 | Fecha: 20/04/2026</t>
        </is>
      </c>
    </row>
    <row r="304">
      <c r="A304" s="8" t="inlineStr">
        <is>
          <t>Administración/Banco</t>
        </is>
      </c>
      <c r="B304" s="8" t="inlineStr">
        <is>
          <t>Banco egreso no Flexxus</t>
        </is>
      </c>
      <c r="C304" s="8" t="inlineStr">
        <is>
          <t>Anticipo Ganancias Ley 25.413 créditos</t>
        </is>
      </c>
      <c r="D304" s="9" t="n">
        <v>426.63</v>
      </c>
      <c r="E304" s="8" t="inlineStr">
        <is>
          <t>ABIERTO_NUEVO</t>
        </is>
      </c>
      <c r="F304" s="8" t="inlineStr">
        <is>
          <t>Banco / impuesto / gasto</t>
        </is>
      </c>
      <c r="G304" s="8" t="inlineStr">
        <is>
          <t>Copiar en Flexxus: Tipo=MB-EXT | Movimiento=GRAVAMEN LEY 25.413 S/CRED | Monto=426,63 | Fecha: 20/04/2026</t>
        </is>
      </c>
    </row>
    <row r="305">
      <c r="A305" s="8" t="inlineStr">
        <is>
          <t>Administración/Banco</t>
        </is>
      </c>
      <c r="B305" s="8" t="inlineStr">
        <is>
          <t>Banco egreso no Flexxus</t>
        </is>
      </c>
      <c r="C305" s="8" t="inlineStr">
        <is>
          <t>Anticipo Ganancias Ley 25.413 créditos</t>
        </is>
      </c>
      <c r="D305" s="9" t="n">
        <v>136.66</v>
      </c>
      <c r="E305" s="8" t="inlineStr">
        <is>
          <t>ABIERTO_NUEVO</t>
        </is>
      </c>
      <c r="F305" s="8" t="inlineStr">
        <is>
          <t>Banco / impuesto / gasto</t>
        </is>
      </c>
      <c r="G305" s="8" t="inlineStr">
        <is>
          <t>Copiar en Flexxus: Tipo=MB-EXT | Movimiento=GRAVAMEN LEY 25.413 S/CRED | Monto=136,66 | Fecha: 20/04/2026</t>
        </is>
      </c>
    </row>
    <row r="306">
      <c r="A306" s="8" t="inlineStr">
        <is>
          <t>Administración/Banco</t>
        </is>
      </c>
      <c r="B306" s="8" t="inlineStr">
        <is>
          <t>Banco egreso no Flexxus</t>
        </is>
      </c>
      <c r="C306" s="8" t="inlineStr">
        <is>
          <t>Anticipo Ganancias Ley 25.413 créditos</t>
        </is>
      </c>
      <c r="D306" s="9" t="n">
        <v>427.82</v>
      </c>
      <c r="E306" s="8" t="inlineStr">
        <is>
          <t>ABIERTO_NUEVO</t>
        </is>
      </c>
      <c r="F306" s="8" t="inlineStr">
        <is>
          <t>Banco / impuesto / gasto</t>
        </is>
      </c>
      <c r="G306" s="8" t="inlineStr">
        <is>
          <t>Copiar en Flexxus: Tipo=MB-EXT | Movimiento=GRAVAMEN LEY 25.413 S/CRED | Monto=427,82 | Fecha: 20/04/2026</t>
        </is>
      </c>
    </row>
    <row r="307">
      <c r="A307" s="8" t="inlineStr">
        <is>
          <t>Administración/Banco</t>
        </is>
      </c>
      <c r="B307" s="8" t="inlineStr">
        <is>
          <t>Banco egreso no Flexxus</t>
        </is>
      </c>
      <c r="C307" s="8" t="inlineStr">
        <is>
          <t>Anticipo Ganancias Ley 25.413 créditos</t>
        </is>
      </c>
      <c r="D307" s="9" t="n">
        <v>248.37</v>
      </c>
      <c r="E307" s="8" t="inlineStr">
        <is>
          <t>ABIERTO_NUEVO</t>
        </is>
      </c>
      <c r="F307" s="8" t="inlineStr">
        <is>
          <t>Banco / impuesto / gasto</t>
        </is>
      </c>
      <c r="G307" s="8" t="inlineStr">
        <is>
          <t>Copiar en Flexxus: Tipo=MB-EXT | Movimiento=GRAVAMEN LEY 25.413 S/CRED | Monto=248,37 | Fecha: 20/04/2026</t>
        </is>
      </c>
    </row>
    <row r="308">
      <c r="A308" s="8" t="inlineStr">
        <is>
          <t>Administración/Banco</t>
        </is>
      </c>
      <c r="B308" s="8" t="inlineStr">
        <is>
          <t>Banco egreso no Flexxus</t>
        </is>
      </c>
      <c r="C308" s="8" t="inlineStr">
        <is>
          <t>Anticipo Ganancias Ley 25.413 créditos</t>
        </is>
      </c>
      <c r="D308" s="9" t="n">
        <v>49.91</v>
      </c>
      <c r="E308" s="8" t="inlineStr">
        <is>
          <t>ABIERTO_NUEVO</t>
        </is>
      </c>
      <c r="F308" s="8" t="inlineStr">
        <is>
          <t>Banco / impuesto / gasto</t>
        </is>
      </c>
      <c r="G308" s="8" t="inlineStr">
        <is>
          <t>Copiar en Flexxus: Tipo=MB-EXT | Movimiento=GRAVAMEN LEY 25.413 S/CRED | Monto=49,91 | Fecha: 20/04/2026</t>
        </is>
      </c>
    </row>
    <row r="309">
      <c r="A309" s="8" t="inlineStr">
        <is>
          <t>Administración/Banco</t>
        </is>
      </c>
      <c r="B309" s="8" t="inlineStr">
        <is>
          <t>Banco egreso no Flexxus</t>
        </is>
      </c>
      <c r="C309" s="8" t="inlineStr">
        <is>
          <t>Anticipo Ganancias Ley 25.413 créditos</t>
        </is>
      </c>
      <c r="D309" s="9" t="n">
        <v>188.95</v>
      </c>
      <c r="E309" s="8" t="inlineStr">
        <is>
          <t>ABIERTO_NUEVO</t>
        </is>
      </c>
      <c r="F309" s="8" t="inlineStr">
        <is>
          <t>Banco / impuesto / gasto</t>
        </is>
      </c>
      <c r="G309" s="8" t="inlineStr">
        <is>
          <t>Copiar en Flexxus: Tipo=MB-EXT | Movimiento=GRAVAMEN LEY 25.413 S/CRED | Monto=188,95 | Fecha: 20/04/2026</t>
        </is>
      </c>
    </row>
    <row r="310">
      <c r="A310" s="8" t="inlineStr">
        <is>
          <t>Administración/Banco</t>
        </is>
      </c>
      <c r="B310" s="8" t="inlineStr">
        <is>
          <t>Banco egreso no Flexxus</t>
        </is>
      </c>
      <c r="C310" s="8" t="inlineStr">
        <is>
          <t>Anticipo Ganancias Ley 25.413 créditos</t>
        </is>
      </c>
      <c r="D310" s="9" t="n">
        <v>148.55</v>
      </c>
      <c r="E310" s="8" t="inlineStr">
        <is>
          <t>ABIERTO_NUEVO</t>
        </is>
      </c>
      <c r="F310" s="8" t="inlineStr">
        <is>
          <t>Banco / impuesto / gasto</t>
        </is>
      </c>
      <c r="G310" s="8" t="inlineStr">
        <is>
          <t>Copiar en Flexxus: Tipo=MB-EXT | Movimiento=GRAVAMEN LEY 25.413 S/CRED | Monto=148,55 | Fecha: 20/04/2026</t>
        </is>
      </c>
    </row>
    <row r="311">
      <c r="A311" s="8" t="inlineStr">
        <is>
          <t>Administración/Banco</t>
        </is>
      </c>
      <c r="B311" s="8" t="inlineStr">
        <is>
          <t>Banco egreso no Flexxus</t>
        </is>
      </c>
      <c r="C311" s="8" t="inlineStr">
        <is>
          <t>Anticipo Ganancias Ley 25.413 créditos</t>
        </is>
      </c>
      <c r="D311" s="9" t="n">
        <v>160.43</v>
      </c>
      <c r="E311" s="8" t="inlineStr">
        <is>
          <t>ABIERTO_NUEVO</t>
        </is>
      </c>
      <c r="F311" s="8" t="inlineStr">
        <is>
          <t>Banco / impuesto / gasto</t>
        </is>
      </c>
      <c r="G311" s="8" t="inlineStr">
        <is>
          <t>Copiar en Flexxus: Tipo=MB-EXT | Movimiento=GRAVAMEN LEY 25.413 S/CRED | Monto=160,43 | Fecha: 20/04/2026</t>
        </is>
      </c>
    </row>
    <row r="312">
      <c r="A312" s="8" t="inlineStr">
        <is>
          <t>Administración/Banco</t>
        </is>
      </c>
      <c r="B312" s="8" t="inlineStr">
        <is>
          <t>Banco egreso no Flexxus</t>
        </is>
      </c>
      <c r="C312" s="8" t="inlineStr">
        <is>
          <t>Anticipo Ganancias Ley 25.413 créditos</t>
        </is>
      </c>
      <c r="D312" s="9" t="n">
        <v>46.35</v>
      </c>
      <c r="E312" s="8" t="inlineStr">
        <is>
          <t>ABIERTO_NUEVO</t>
        </is>
      </c>
      <c r="F312" s="8" t="inlineStr">
        <is>
          <t>Banco / impuesto / gasto</t>
        </is>
      </c>
      <c r="G312" s="8" t="inlineStr">
        <is>
          <t>Copiar en Flexxus: Tipo=MB-EXT | Movimiento=GRAVAMEN LEY 25.413 S/CRED | Monto=46,35 | Fecha: 20/04/2026</t>
        </is>
      </c>
    </row>
    <row r="313">
      <c r="A313" s="8" t="inlineStr">
        <is>
          <t>Administración/Banco</t>
        </is>
      </c>
      <c r="B313" s="8" t="inlineStr">
        <is>
          <t>Banco egreso no Flexxus</t>
        </is>
      </c>
      <c r="C313" s="8" t="inlineStr">
        <is>
          <t>Anticipo Ganancias Ley 25.413 créditos</t>
        </is>
      </c>
      <c r="D313" s="9" t="n">
        <v>160.43</v>
      </c>
      <c r="E313" s="8" t="inlineStr">
        <is>
          <t>ABIERTO_NUEVO</t>
        </is>
      </c>
      <c r="F313" s="8" t="inlineStr">
        <is>
          <t>Banco / impuesto / gasto</t>
        </is>
      </c>
      <c r="G313" s="8" t="inlineStr">
        <is>
          <t>Copiar en Flexxus: Tipo=MB-EXT | Movimiento=GRAVAMEN LEY 25.413 S/CRED | Monto=160,43 | Fecha: 20/04/2026</t>
        </is>
      </c>
    </row>
    <row r="314">
      <c r="A314" s="8" t="inlineStr">
        <is>
          <t>Administración/Banco</t>
        </is>
      </c>
      <c r="B314" s="8" t="inlineStr">
        <is>
          <t>Banco egreso no Flexxus</t>
        </is>
      </c>
      <c r="C314" s="8" t="inlineStr">
        <is>
          <t>Anticipo Ganancias Ley 25.413 créditos</t>
        </is>
      </c>
      <c r="D314" s="9" t="n">
        <v>160.43</v>
      </c>
      <c r="E314" s="8" t="inlineStr">
        <is>
          <t>ABIERTO_NUEVO</t>
        </is>
      </c>
      <c r="F314" s="8" t="inlineStr">
        <is>
          <t>Banco / impuesto / gasto</t>
        </is>
      </c>
      <c r="G314" s="8" t="inlineStr">
        <is>
          <t>Copiar en Flexxus: Tipo=MB-EXT | Movimiento=GRAVAMEN LEY 25.413 S/CRED | Monto=160,43 | Fecha: 20/04/2026</t>
        </is>
      </c>
    </row>
    <row r="315">
      <c r="A315" s="8" t="inlineStr">
        <is>
          <t>Administración/Banco</t>
        </is>
      </c>
      <c r="B315" s="8" t="inlineStr">
        <is>
          <t>Banco egreso no Flexxus</t>
        </is>
      </c>
      <c r="C315" s="8" t="inlineStr">
        <is>
          <t>Anticipo Ganancias Ley 25.413 créditos</t>
        </is>
      </c>
      <c r="D315" s="9" t="n">
        <v>160.43</v>
      </c>
      <c r="E315" s="8" t="inlineStr">
        <is>
          <t>ABIERTO_NUEVO</t>
        </is>
      </c>
      <c r="F315" s="8" t="inlineStr">
        <is>
          <t>Banco / impuesto / gasto</t>
        </is>
      </c>
      <c r="G315" s="8" t="inlineStr">
        <is>
          <t>Copiar en Flexxus: Tipo=MB-EXT | Movimiento=GRAVAMEN LEY 25.413 S/CRED | Monto=160,43 | Fecha: 20/04/2026</t>
        </is>
      </c>
    </row>
    <row r="316">
      <c r="A316" s="8" t="inlineStr">
        <is>
          <t>Administración/Banco</t>
        </is>
      </c>
      <c r="B316" s="8" t="inlineStr">
        <is>
          <t>Banco egreso no Flexxus</t>
        </is>
      </c>
      <c r="C316" s="8" t="inlineStr">
        <is>
          <t>Anticipo Ganancias Ley 25.413 créditos</t>
        </is>
      </c>
      <c r="D316" s="9" t="n">
        <v>68.33</v>
      </c>
      <c r="E316" s="8" t="inlineStr">
        <is>
          <t>ABIERTO_NUEVO</t>
        </is>
      </c>
      <c r="F316" s="8" t="inlineStr">
        <is>
          <t>Banco / impuesto / gasto</t>
        </is>
      </c>
      <c r="G316" s="8" t="inlineStr">
        <is>
          <t>Copiar en Flexxus: Tipo=MB-EXT | Movimiento=GRAVAMEN LEY 25.413 S/CRED | Monto=68,33 | Fecha: 20/04/2026</t>
        </is>
      </c>
    </row>
    <row r="317">
      <c r="A317" s="8" t="inlineStr">
        <is>
          <t>Administración/Banco</t>
        </is>
      </c>
      <c r="B317" s="8" t="inlineStr">
        <is>
          <t>Banco egreso no Flexxus</t>
        </is>
      </c>
      <c r="C317" s="8" t="inlineStr">
        <is>
          <t>Anticipo Ganancias Ley 25.413 créditos</t>
        </is>
      </c>
      <c r="D317" s="9" t="n">
        <v>158</v>
      </c>
      <c r="E317" s="8" t="inlineStr">
        <is>
          <t>ABIERTO_NUEVO</t>
        </is>
      </c>
      <c r="F317" s="8" t="inlineStr">
        <is>
          <t>Banco / impuesto / gasto</t>
        </is>
      </c>
      <c r="G317" s="8" t="inlineStr">
        <is>
          <t>Copiar en Flexxus: Tipo=MB-EXT | Movimiento=GRAVAMEN LEY 25.413 S/CRED | Monto=158,00 | Fecha: 20/04/2026</t>
        </is>
      </c>
    </row>
    <row r="318">
      <c r="A318" s="8" t="inlineStr">
        <is>
          <t>Administración/Banco</t>
        </is>
      </c>
      <c r="B318" s="8" t="inlineStr">
        <is>
          <t>Banco egreso no Flexxus</t>
        </is>
      </c>
      <c r="C318" s="8" t="inlineStr">
        <is>
          <t>Anticipo Ganancias Ley 25.413 créditos</t>
        </is>
      </c>
      <c r="D318" s="9" t="n">
        <v>160.43</v>
      </c>
      <c r="E318" s="8" t="inlineStr">
        <is>
          <t>ABIERTO_NUEVO</t>
        </is>
      </c>
      <c r="F318" s="8" t="inlineStr">
        <is>
          <t>Banco / impuesto / gasto</t>
        </is>
      </c>
      <c r="G318" s="8" t="inlineStr">
        <is>
          <t>Copiar en Flexxus: Tipo=MB-EXT | Movimiento=GRAVAMEN LEY 25.413 S/CRED | Monto=160,43 | Fecha: 20/04/2026</t>
        </is>
      </c>
    </row>
    <row r="319">
      <c r="A319" s="8" t="inlineStr">
        <is>
          <t>Administración/Banco</t>
        </is>
      </c>
      <c r="B319" s="8" t="inlineStr">
        <is>
          <t>Banco egreso no Flexxus</t>
        </is>
      </c>
      <c r="C319" s="8" t="inlineStr">
        <is>
          <t>Anticipo Ganancias Ley 25.413 créditos</t>
        </is>
      </c>
      <c r="D319" s="9" t="n">
        <v>418.31</v>
      </c>
      <c r="E319" s="8" t="inlineStr">
        <is>
          <t>ABIERTO_NUEVO</t>
        </is>
      </c>
      <c r="F319" s="8" t="inlineStr">
        <is>
          <t>Banco / impuesto / gasto</t>
        </is>
      </c>
      <c r="G319" s="8" t="inlineStr">
        <is>
          <t>Copiar en Flexxus: Tipo=MB-EXT | Movimiento=GRAVAMEN LEY 25.413 S/CRED | Monto=418,31 | Fecha: 20/04/2026</t>
        </is>
      </c>
    </row>
    <row r="320">
      <c r="A320" s="8" t="inlineStr">
        <is>
          <t>Administración/Banco</t>
        </is>
      </c>
      <c r="B320" s="8" t="inlineStr">
        <is>
          <t>Banco egreso no Flexxus</t>
        </is>
      </c>
      <c r="C320" s="8" t="inlineStr">
        <is>
          <t>Anticipo Ganancias Ley 25.413 créditos</t>
        </is>
      </c>
      <c r="D320" s="9" t="n">
        <v>192.52</v>
      </c>
      <c r="E320" s="8" t="inlineStr">
        <is>
          <t>ABIERTO_NUEVO</t>
        </is>
      </c>
      <c r="F320" s="8" t="inlineStr">
        <is>
          <t>Banco / impuesto / gasto</t>
        </is>
      </c>
      <c r="G320" s="8" t="inlineStr">
        <is>
          <t>Copiar en Flexxus: Tipo=MB-EXT | Movimiento=GRAVAMEN LEY 25.413 S/CRED | Monto=192,52 | Fecha: 20/04/2026</t>
        </is>
      </c>
    </row>
    <row r="321">
      <c r="A321" s="8" t="inlineStr">
        <is>
          <t>Administración/Banco</t>
        </is>
      </c>
      <c r="B321" s="8" t="inlineStr">
        <is>
          <t>Banco egreso no Flexxus</t>
        </is>
      </c>
      <c r="C321" s="8" t="inlineStr">
        <is>
          <t>Anticipo Ganancias Ley 25.413 créditos</t>
        </is>
      </c>
      <c r="D321" s="9" t="n">
        <v>68.33</v>
      </c>
      <c r="E321" s="8" t="inlineStr">
        <is>
          <t>ABIERTO_NUEVO</t>
        </is>
      </c>
      <c r="F321" s="8" t="inlineStr">
        <is>
          <t>Banco / impuesto / gasto</t>
        </is>
      </c>
      <c r="G321" s="8" t="inlineStr">
        <is>
          <t>Copiar en Flexxus: Tipo=MB-EXT | Movimiento=GRAVAMEN LEY 25.413 S/CRED | Monto=68,33 | Fecha: 20/04/2026</t>
        </is>
      </c>
    </row>
    <row r="322">
      <c r="A322" s="8" t="inlineStr">
        <is>
          <t>Administración/Banco</t>
        </is>
      </c>
      <c r="B322" s="8" t="inlineStr">
        <is>
          <t>Banco egreso no Flexxus</t>
        </is>
      </c>
      <c r="C322" s="8" t="inlineStr">
        <is>
          <t>Anticipo Ganancias Ley 25.413 créditos</t>
        </is>
      </c>
      <c r="D322" s="9" t="n">
        <v>361.86</v>
      </c>
      <c r="E322" s="8" t="inlineStr">
        <is>
          <t>ABIERTO_NUEVO</t>
        </is>
      </c>
      <c r="F322" s="8" t="inlineStr">
        <is>
          <t>Banco / impuesto / gasto</t>
        </is>
      </c>
      <c r="G322" s="8" t="inlineStr">
        <is>
          <t>Copiar en Flexxus: Tipo=MB-EXT | Movimiento=GRAVAMEN LEY 25.413 S/CRED | Monto=361,86 | Fecha: 20/04/2026</t>
        </is>
      </c>
    </row>
    <row r="323">
      <c r="A323" s="8" t="inlineStr">
        <is>
          <t>Administración/Banco</t>
        </is>
      </c>
      <c r="B323" s="8" t="inlineStr">
        <is>
          <t>Banco egreso no Flexxus</t>
        </is>
      </c>
      <c r="C323" s="8" t="inlineStr">
        <is>
          <t>Anticipo Ganancias Ley 25.413 créditos</t>
        </is>
      </c>
      <c r="D323" s="9" t="n">
        <v>198.46</v>
      </c>
      <c r="E323" s="8" t="inlineStr">
        <is>
          <t>ABIERTO_NUEVO</t>
        </is>
      </c>
      <c r="F323" s="8" t="inlineStr">
        <is>
          <t>Banco / impuesto / gasto</t>
        </is>
      </c>
      <c r="G323" s="8" t="inlineStr">
        <is>
          <t>Copiar en Flexxus: Tipo=MB-EXT | Movimiento=GRAVAMEN LEY 25.413 S/CRED | Monto=198,46 | Fecha: 20/04/2026</t>
        </is>
      </c>
    </row>
    <row r="324">
      <c r="A324" s="8" t="inlineStr">
        <is>
          <t>Administración/Banco</t>
        </is>
      </c>
      <c r="B324" s="8" t="inlineStr">
        <is>
          <t>Banco egreso no Flexxus</t>
        </is>
      </c>
      <c r="C324" s="8" t="inlineStr">
        <is>
          <t>Anticipo Ganancias Ley 25.413 créditos</t>
        </is>
      </c>
      <c r="D324" s="9" t="n">
        <v>95.66</v>
      </c>
      <c r="E324" s="8" t="inlineStr">
        <is>
          <t>ABIERTO_NUEVO</t>
        </is>
      </c>
      <c r="F324" s="8" t="inlineStr">
        <is>
          <t>Banco / impuesto / gasto</t>
        </is>
      </c>
      <c r="G324" s="8" t="inlineStr">
        <is>
          <t>Copiar en Flexxus: Tipo=MB-EXT | Movimiento=GRAVAMEN LEY 25.413 S/CRED | Monto=95,66 | Fecha: 20/04/2026</t>
        </is>
      </c>
    </row>
    <row r="325">
      <c r="A325" s="8" t="inlineStr">
        <is>
          <t>Administración/Banco</t>
        </is>
      </c>
      <c r="B325" s="8" t="inlineStr">
        <is>
          <t>Banco egreso no Flexxus</t>
        </is>
      </c>
      <c r="C325" s="8" t="inlineStr">
        <is>
          <t>Anticipo Ganancias Ley 25.413 créditos</t>
        </is>
      </c>
      <c r="D325" s="9" t="n">
        <v>45.75</v>
      </c>
      <c r="E325" s="8" t="inlineStr">
        <is>
          <t>ABIERTO_NUEVO</t>
        </is>
      </c>
      <c r="F325" s="8" t="inlineStr">
        <is>
          <t>Banco / impuesto / gasto</t>
        </is>
      </c>
      <c r="G325" s="8" t="inlineStr">
        <is>
          <t>Copiar en Flexxus: Tipo=MB-EXT | Movimiento=GRAVAMEN LEY 25.413 S/CRED | Monto=45,75 | Fecha: 20/04/2026</t>
        </is>
      </c>
    </row>
    <row r="326">
      <c r="A326" s="8" t="inlineStr">
        <is>
          <t>Administración/Banco</t>
        </is>
      </c>
      <c r="B326" s="8" t="inlineStr">
        <is>
          <t>Banco egreso no Flexxus</t>
        </is>
      </c>
      <c r="C326" s="8" t="inlineStr">
        <is>
          <t>Anticipo Ganancias Ley 25.413 créditos</t>
        </is>
      </c>
      <c r="D326" s="9" t="n">
        <v>139.64</v>
      </c>
      <c r="E326" s="8" t="inlineStr">
        <is>
          <t>ABIERTO_NUEVO</t>
        </is>
      </c>
      <c r="F326" s="8" t="inlineStr">
        <is>
          <t>Banco / impuesto / gasto</t>
        </is>
      </c>
      <c r="G326" s="8" t="inlineStr">
        <is>
          <t>Copiar en Flexxus: Tipo=MB-EXT | Movimiento=GRAVAMEN LEY 25.413 S/CRED | Monto=139,64 | Fecha: 20/04/2026</t>
        </is>
      </c>
    </row>
    <row r="327">
      <c r="A327" s="8" t="inlineStr">
        <is>
          <t>Administración/Banco</t>
        </is>
      </c>
      <c r="B327" s="8" t="inlineStr">
        <is>
          <t>Banco egreso no Flexxus</t>
        </is>
      </c>
      <c r="C327" s="8" t="inlineStr">
        <is>
          <t>Anticipo Ganancias Ley 25.413 créditos</t>
        </is>
      </c>
      <c r="D327" s="9" t="n">
        <v>164</v>
      </c>
      <c r="E327" s="8" t="inlineStr">
        <is>
          <t>ABIERTO_NUEVO</t>
        </is>
      </c>
      <c r="F327" s="8" t="inlineStr">
        <is>
          <t>Banco / impuesto / gasto</t>
        </is>
      </c>
      <c r="G327" s="8" t="inlineStr">
        <is>
          <t>Copiar en Flexxus: Tipo=MB-EXT | Movimiento=GRAVAMEN LEY 25.413 S/CRED | Monto=164,00 | Fecha: 20/04/2026</t>
        </is>
      </c>
    </row>
    <row r="328">
      <c r="A328" s="8" t="inlineStr">
        <is>
          <t>Administración/Banco</t>
        </is>
      </c>
      <c r="B328" s="8" t="inlineStr">
        <is>
          <t>Banco egreso no Flexxus</t>
        </is>
      </c>
      <c r="C328" s="8" t="inlineStr">
        <is>
          <t>Anticipo Ganancias Ley 25.413 créditos</t>
        </is>
      </c>
      <c r="D328" s="9" t="n">
        <v>289.31</v>
      </c>
      <c r="E328" s="8" t="inlineStr">
        <is>
          <t>ABIERTO_NUEVO</t>
        </is>
      </c>
      <c r="F328" s="8" t="inlineStr">
        <is>
          <t>Banco / impuesto / gasto</t>
        </is>
      </c>
      <c r="G328" s="8" t="inlineStr">
        <is>
          <t>Copiar en Flexxus: Tipo=MB-EXT | Movimiento=GRAVAMEN LEY 25.413 S/CRED | Monto=289,31 | Fecha: 20/04/2026</t>
        </is>
      </c>
    </row>
    <row r="329">
      <c r="A329" s="8" t="inlineStr">
        <is>
          <t>Administración/Banco</t>
        </is>
      </c>
      <c r="B329" s="8" t="inlineStr">
        <is>
          <t>Banco egreso no Flexxus</t>
        </is>
      </c>
      <c r="C329" s="8" t="inlineStr">
        <is>
          <t>Anticipo Ganancias Ley 25.413 créditos</t>
        </is>
      </c>
      <c r="D329" s="9" t="n">
        <v>68.33</v>
      </c>
      <c r="E329" s="8" t="inlineStr">
        <is>
          <t>ABIERTO_NUEVO</t>
        </is>
      </c>
      <c r="F329" s="8" t="inlineStr">
        <is>
          <t>Banco / impuesto / gasto</t>
        </is>
      </c>
      <c r="G329" s="8" t="inlineStr">
        <is>
          <t>Copiar en Flexxus: Tipo=MB-EXT | Movimiento=GRAVAMEN LEY 25.413 S/CRED | Monto=68,33 | Fecha: 20/04/2026</t>
        </is>
      </c>
    </row>
    <row r="330">
      <c r="A330" s="8" t="inlineStr">
        <is>
          <t>Administración/Banco</t>
        </is>
      </c>
      <c r="B330" s="8" t="inlineStr">
        <is>
          <t>Banco egreso no Flexxus</t>
        </is>
      </c>
      <c r="C330" s="8" t="inlineStr">
        <is>
          <t>Anticipo Ganancias Ley 25.413 créditos</t>
        </is>
      </c>
      <c r="D330" s="9" t="n">
        <v>244.21</v>
      </c>
      <c r="E330" s="8" t="inlineStr">
        <is>
          <t>ABIERTO_NUEVO</t>
        </is>
      </c>
      <c r="F330" s="8" t="inlineStr">
        <is>
          <t>Banco / impuesto / gasto</t>
        </is>
      </c>
      <c r="G330" s="8" t="inlineStr">
        <is>
          <t>Copiar en Flexxus: Tipo=MB-EXT | Movimiento=GRAVAMEN LEY 25.413 S/CRED | Monto=244,21 | Fecha: 20/04/2026</t>
        </is>
      </c>
    </row>
    <row r="331">
      <c r="A331" s="8" t="inlineStr">
        <is>
          <t>Administración/Banco</t>
        </is>
      </c>
      <c r="B331" s="8" t="inlineStr">
        <is>
          <t>Banco egreso no Flexxus</t>
        </is>
      </c>
      <c r="C331" s="8" t="inlineStr">
        <is>
          <t>Anticipo Ganancias Ley 25.413 créditos</t>
        </is>
      </c>
      <c r="D331" s="9" t="n">
        <v>205</v>
      </c>
      <c r="E331" s="8" t="inlineStr">
        <is>
          <t>ABIERTO_NUEVO</t>
        </is>
      </c>
      <c r="F331" s="8" t="inlineStr">
        <is>
          <t>Banco / impuesto / gasto</t>
        </is>
      </c>
      <c r="G331" s="8" t="inlineStr">
        <is>
          <t>Copiar en Flexxus: Tipo=MB-EXT | Movimiento=GRAVAMEN LEY 25.413 S/CRED | Monto=205,00 | Fecha: 20/04/2026</t>
        </is>
      </c>
    </row>
    <row r="332">
      <c r="A332" s="8" t="inlineStr">
        <is>
          <t>Administración/Banco</t>
        </is>
      </c>
      <c r="B332" s="8" t="inlineStr">
        <is>
          <t>Banco egreso no Flexxus</t>
        </is>
      </c>
      <c r="C332" s="8" t="inlineStr">
        <is>
          <t>Anticipo Ganancias Ley 25.413 créditos</t>
        </is>
      </c>
      <c r="D332" s="9" t="n">
        <v>364.83</v>
      </c>
      <c r="E332" s="8" t="inlineStr">
        <is>
          <t>ABIERTO_NUEVO</t>
        </is>
      </c>
      <c r="F332" s="8" t="inlineStr">
        <is>
          <t>Banco / impuesto / gasto</t>
        </is>
      </c>
      <c r="G332" s="8" t="inlineStr">
        <is>
          <t>Copiar en Flexxus: Tipo=MB-EXT | Movimiento=GRAVAMEN LEY 25.413 S/CRED | Monto=364,83 | Fecha: 20/04/2026</t>
        </is>
      </c>
    </row>
    <row r="333">
      <c r="A333" s="8" t="inlineStr">
        <is>
          <t>Administración/Banco</t>
        </is>
      </c>
      <c r="B333" s="8" t="inlineStr">
        <is>
          <t>Banco egreso no Flexxus</t>
        </is>
      </c>
      <c r="C333" s="8" t="inlineStr">
        <is>
          <t>Anticipo Ganancias Ley 25.413 créditos</t>
        </is>
      </c>
      <c r="D333" s="9" t="n">
        <v>118.84</v>
      </c>
      <c r="E333" s="8" t="inlineStr">
        <is>
          <t>ABIERTO_NUEVO</t>
        </is>
      </c>
      <c r="F333" s="8" t="inlineStr">
        <is>
          <t>Banco / impuesto / gasto</t>
        </is>
      </c>
      <c r="G333" s="8" t="inlineStr">
        <is>
          <t>Copiar en Flexxus: Tipo=MB-EXT | Movimiento=GRAVAMEN LEY 25.413 S/CRED | Monto=118,84 | Fecha: 20/04/2026</t>
        </is>
      </c>
    </row>
    <row r="334">
      <c r="A334" s="8" t="inlineStr">
        <is>
          <t>Administración/Banco</t>
        </is>
      </c>
      <c r="B334" s="8" t="inlineStr">
        <is>
          <t>Banco egreso no Flexxus</t>
        </is>
      </c>
      <c r="C334" s="8" t="inlineStr">
        <is>
          <t>Anticipo Ganancias Ley 25.413 créditos</t>
        </is>
      </c>
      <c r="D334" s="9" t="n">
        <v>584.6799999999999</v>
      </c>
      <c r="E334" s="8" t="inlineStr">
        <is>
          <t>ABIERTO_NUEVO</t>
        </is>
      </c>
      <c r="F334" s="8" t="inlineStr">
        <is>
          <t>Banco / impuesto / gasto</t>
        </is>
      </c>
      <c r="G334" s="8" t="inlineStr">
        <is>
          <t>Copiar en Flexxus: Tipo=MB-EXT | Movimiento=GRAVAMEN LEY 25.413 S/CRED | Monto=584,68 | Fecha: 20/04/2026</t>
        </is>
      </c>
    </row>
    <row r="335">
      <c r="A335" s="8" t="inlineStr">
        <is>
          <t>Administración/Banco</t>
        </is>
      </c>
      <c r="B335" s="8" t="inlineStr">
        <is>
          <t>Banco egreso no Flexxus</t>
        </is>
      </c>
      <c r="C335" s="8" t="inlineStr">
        <is>
          <t>Anticipo Ganancias Ley 25.413 créditos</t>
        </is>
      </c>
      <c r="D335" s="9" t="n">
        <v>407.02</v>
      </c>
      <c r="E335" s="8" t="inlineStr">
        <is>
          <t>ABIERTO_NUEVO</t>
        </is>
      </c>
      <c r="F335" s="8" t="inlineStr">
        <is>
          <t>Banco / impuesto / gasto</t>
        </is>
      </c>
      <c r="G335" s="8" t="inlineStr">
        <is>
          <t>Copiar en Flexxus: Tipo=MB-EXT | Movimiento=GRAVAMEN LEY 25.413 S/CRED | Monto=407,02 | Fecha: 20/04/2026</t>
        </is>
      </c>
    </row>
    <row r="336">
      <c r="A336" s="8" t="inlineStr">
        <is>
          <t>Administración/Banco</t>
        </is>
      </c>
      <c r="B336" s="8" t="inlineStr">
        <is>
          <t>Banco egreso no Flexxus</t>
        </is>
      </c>
      <c r="C336" s="8" t="inlineStr">
        <is>
          <t>Anticipo Ganancias Ley 25.413 créditos</t>
        </is>
      </c>
      <c r="D336" s="9" t="n">
        <v>196.08</v>
      </c>
      <c r="E336" s="8" t="inlineStr">
        <is>
          <t>ABIERTO_NUEVO</t>
        </is>
      </c>
      <c r="F336" s="8" t="inlineStr">
        <is>
          <t>Banco / impuesto / gasto</t>
        </is>
      </c>
      <c r="G336" s="8" t="inlineStr">
        <is>
          <t>Copiar en Flexxus: Tipo=MB-EXT | Movimiento=GRAVAMEN LEY 25.413 S/CRED | Monto=196,08 | Fecha: 20/04/2026</t>
        </is>
      </c>
    </row>
    <row r="337">
      <c r="A337" s="8" t="inlineStr">
        <is>
          <t>Administración/Banco</t>
        </is>
      </c>
      <c r="B337" s="8" t="inlineStr">
        <is>
          <t>Banco egreso no Flexxus</t>
        </is>
      </c>
      <c r="C337" s="8" t="inlineStr">
        <is>
          <t>Anticipo Ganancias Ley 25.413 créditos</t>
        </is>
      </c>
      <c r="D337" s="9" t="n">
        <v>185.39</v>
      </c>
      <c r="E337" s="8" t="inlineStr">
        <is>
          <t>ABIERTO_NUEVO</t>
        </is>
      </c>
      <c r="F337" s="8" t="inlineStr">
        <is>
          <t>Banco / impuesto / gasto</t>
        </is>
      </c>
      <c r="G337" s="8" t="inlineStr">
        <is>
          <t>Copiar en Flexxus: Tipo=MB-EXT | Movimiento=GRAVAMEN LEY 25.413 S/CRED | Monto=185,39 | Fecha: 20/04/2026</t>
        </is>
      </c>
    </row>
    <row r="338">
      <c r="A338" s="8" t="inlineStr">
        <is>
          <t>Administración/Banco</t>
        </is>
      </c>
      <c r="B338" s="8" t="inlineStr">
        <is>
          <t>Banco egreso no Flexxus</t>
        </is>
      </c>
      <c r="C338" s="8" t="inlineStr">
        <is>
          <t>Anticipo Ganancias Ley 25.413 créditos</t>
        </is>
      </c>
      <c r="D338" s="9" t="n">
        <v>177.07</v>
      </c>
      <c r="E338" s="8" t="inlineStr">
        <is>
          <t>ABIERTO_NUEVO</t>
        </is>
      </c>
      <c r="F338" s="8" t="inlineStr">
        <is>
          <t>Banco / impuesto / gasto</t>
        </is>
      </c>
      <c r="G338" s="8" t="inlineStr">
        <is>
          <t>Copiar en Flexxus: Tipo=MB-EXT | Movimiento=GRAVAMEN LEY 25.413 S/CRED | Monto=177,07 | Fecha: 20/04/2026</t>
        </is>
      </c>
    </row>
    <row r="339">
      <c r="A339" s="8" t="inlineStr">
        <is>
          <t>Administración/Banco</t>
        </is>
      </c>
      <c r="B339" s="8" t="inlineStr">
        <is>
          <t>Banco egreso no Flexxus</t>
        </is>
      </c>
      <c r="C339" s="8" t="inlineStr">
        <is>
          <t>Anticipo Ganancias Ley 25.413 créditos</t>
        </is>
      </c>
      <c r="D339" s="9" t="n">
        <v>207.97</v>
      </c>
      <c r="E339" s="8" t="inlineStr">
        <is>
          <t>ABIERTO_NUEVO</t>
        </is>
      </c>
      <c r="F339" s="8" t="inlineStr">
        <is>
          <t>Banco / impuesto / gasto</t>
        </is>
      </c>
      <c r="G339" s="8" t="inlineStr">
        <is>
          <t>Copiar en Flexxus: Tipo=MB-EXT | Movimiento=GRAVAMEN LEY 25.413 S/CRED | Monto=207,97 | Fecha: 20/04/2026</t>
        </is>
      </c>
    </row>
    <row r="340">
      <c r="A340" s="8" t="inlineStr">
        <is>
          <t>Administración/Banco</t>
        </is>
      </c>
      <c r="B340" s="8" t="inlineStr">
        <is>
          <t>Banco egreso no Flexxus</t>
        </is>
      </c>
      <c r="C340" s="8" t="inlineStr">
        <is>
          <t>Anticipo Ganancias Ley 25.413 créditos</t>
        </is>
      </c>
      <c r="D340" s="9" t="n">
        <v>431.98</v>
      </c>
      <c r="E340" s="8" t="inlineStr">
        <is>
          <t>ABIERTO_NUEVO</t>
        </is>
      </c>
      <c r="F340" s="8" t="inlineStr">
        <is>
          <t>Banco / impuesto / gasto</t>
        </is>
      </c>
      <c r="G340" s="8" t="inlineStr">
        <is>
          <t>Copiar en Flexxus: Tipo=MB-EXT | Movimiento=GRAVAMEN LEY 25.413 S/CRED | Monto=431,98 | Fecha: 20/04/2026</t>
        </is>
      </c>
    </row>
    <row r="341">
      <c r="A341" s="8" t="inlineStr">
        <is>
          <t>Administración/Banco</t>
        </is>
      </c>
      <c r="B341" s="8" t="inlineStr">
        <is>
          <t>Banco egreso no Flexxus</t>
        </is>
      </c>
      <c r="C341" s="8" t="inlineStr">
        <is>
          <t>Anticipo Ganancias Ley 25.413 créditos</t>
        </is>
      </c>
      <c r="D341" s="9" t="n">
        <v>180.63</v>
      </c>
      <c r="E341" s="8" t="inlineStr">
        <is>
          <t>ABIERTO_NUEVO</t>
        </is>
      </c>
      <c r="F341" s="8" t="inlineStr">
        <is>
          <t>Banco / impuesto / gasto</t>
        </is>
      </c>
      <c r="G341" s="8" t="inlineStr">
        <is>
          <t>Copiar en Flexxus: Tipo=MB-EXT | Movimiento=GRAVAMEN LEY 25.413 S/CRED | Monto=180,63 | Fecha: 20/04/2026</t>
        </is>
      </c>
    </row>
    <row r="342">
      <c r="A342" s="8" t="inlineStr">
        <is>
          <t>Administración/Banco</t>
        </is>
      </c>
      <c r="B342" s="8" t="inlineStr">
        <is>
          <t>Banco egreso no Flexxus</t>
        </is>
      </c>
      <c r="C342" s="8" t="inlineStr">
        <is>
          <t>Anticipo Ganancias Ley 25.413 créditos</t>
        </is>
      </c>
      <c r="D342" s="9" t="n">
        <v>156.27</v>
      </c>
      <c r="E342" s="8" t="inlineStr">
        <is>
          <t>ABIERTO_NUEVO</t>
        </is>
      </c>
      <c r="F342" s="8" t="inlineStr">
        <is>
          <t>Banco / impuesto / gasto</t>
        </is>
      </c>
      <c r="G342" s="8" t="inlineStr">
        <is>
          <t>Copiar en Flexxus: Tipo=MB-EXT | Movimiento=GRAVAMEN LEY 25.413 S/CRED | Monto=156,27 | Fecha: 20/04/2026</t>
        </is>
      </c>
    </row>
    <row r="343">
      <c r="A343" s="8" t="inlineStr">
        <is>
          <t>Administración/Banco</t>
        </is>
      </c>
      <c r="B343" s="8" t="inlineStr">
        <is>
          <t>Banco egreso no Flexxus</t>
        </is>
      </c>
      <c r="C343" s="8" t="inlineStr">
        <is>
          <t>Anticipo Ganancias Ley 25.413 créditos</t>
        </is>
      </c>
      <c r="D343" s="9" t="n">
        <v>388.6</v>
      </c>
      <c r="E343" s="8" t="inlineStr">
        <is>
          <t>ABIERTO_NUEVO</t>
        </is>
      </c>
      <c r="F343" s="8" t="inlineStr">
        <is>
          <t>Banco / impuesto / gasto</t>
        </is>
      </c>
      <c r="G343" s="8" t="inlineStr">
        <is>
          <t>Copiar en Flexxus: Tipo=MB-EXT | Movimiento=GRAVAMEN LEY 25.413 S/CRED | Monto=388,60 | Fecha: 20/04/2026</t>
        </is>
      </c>
    </row>
    <row r="344">
      <c r="A344" s="8" t="inlineStr">
        <is>
          <t>Administración/Banco</t>
        </is>
      </c>
      <c r="B344" s="8" t="inlineStr">
        <is>
          <t>Banco egreso no Flexxus</t>
        </is>
      </c>
      <c r="C344" s="8" t="inlineStr">
        <is>
          <t>Anticipo Ganancias Ley 25.413 créditos</t>
        </is>
      </c>
      <c r="D344" s="9" t="n">
        <v>87.34999999999999</v>
      </c>
      <c r="E344" s="8" t="inlineStr">
        <is>
          <t>ABIERTO_NUEVO</t>
        </is>
      </c>
      <c r="F344" s="8" t="inlineStr">
        <is>
          <t>Banco / impuesto / gasto</t>
        </is>
      </c>
      <c r="G344" s="8" t="inlineStr">
        <is>
          <t>Copiar en Flexxus: Tipo=MB-EXT | Movimiento=GRAVAMEN LEY 25.413 S/CRED | Monto=87,35 | Fecha: 20/04/2026</t>
        </is>
      </c>
    </row>
    <row r="345">
      <c r="A345" s="8" t="inlineStr">
        <is>
          <t>Administración/Banco</t>
        </is>
      </c>
      <c r="B345" s="8" t="inlineStr">
        <is>
          <t>Banco egreso no Flexxus</t>
        </is>
      </c>
      <c r="C345" s="8" t="inlineStr">
        <is>
          <t>Anticipo Ganancias Ley 25.413 créditos</t>
        </is>
      </c>
      <c r="D345" s="9" t="n">
        <v>210.34</v>
      </c>
      <c r="E345" s="8" t="inlineStr">
        <is>
          <t>ABIERTO_NUEVO</t>
        </is>
      </c>
      <c r="F345" s="8" t="inlineStr">
        <is>
          <t>Banco / impuesto / gasto</t>
        </is>
      </c>
      <c r="G345" s="8" t="inlineStr">
        <is>
          <t>Copiar en Flexxus: Tipo=MB-EXT | Movimiento=GRAVAMEN LEY 25.413 S/CRED | Monto=210,34 | Fecha: 20/04/2026</t>
        </is>
      </c>
    </row>
    <row r="346">
      <c r="A346" s="8" t="inlineStr">
        <is>
          <t>Administración/Banco</t>
        </is>
      </c>
      <c r="B346" s="8" t="inlineStr">
        <is>
          <t>Banco egreso no Flexxus</t>
        </is>
      </c>
      <c r="C346" s="8" t="inlineStr">
        <is>
          <t>Anticipo Ganancias Ley 25.413 créditos</t>
        </is>
      </c>
      <c r="D346" s="9" t="n">
        <v>68.33</v>
      </c>
      <c r="E346" s="8" t="inlineStr">
        <is>
          <t>ABIERTO_NUEVO</t>
        </is>
      </c>
      <c r="F346" s="8" t="inlineStr">
        <is>
          <t>Banco / impuesto / gasto</t>
        </is>
      </c>
      <c r="G346" s="8" t="inlineStr">
        <is>
          <t>Copiar en Flexxus: Tipo=MB-EXT | Movimiento=GRAVAMEN LEY 25.413 S/CRED | Monto=68,33 | Fecha: 20/04/2026</t>
        </is>
      </c>
    </row>
    <row r="347">
      <c r="A347" s="8" t="inlineStr">
        <is>
          <t>Administración/Banco</t>
        </is>
      </c>
      <c r="B347" s="8" t="inlineStr">
        <is>
          <t>Banco egreso no Flexxus</t>
        </is>
      </c>
      <c r="C347" s="8" t="inlineStr">
        <is>
          <t>Anticipo Ganancias Ley 25.413 créditos</t>
        </is>
      </c>
      <c r="D347" s="9" t="n">
        <v>80.22</v>
      </c>
      <c r="E347" s="8" t="inlineStr">
        <is>
          <t>ABIERTO_NUEVO</t>
        </is>
      </c>
      <c r="F347" s="8" t="inlineStr">
        <is>
          <t>Banco / impuesto / gasto</t>
        </is>
      </c>
      <c r="G347" s="8" t="inlineStr">
        <is>
          <t>Copiar en Flexxus: Tipo=MB-EXT | Movimiento=GRAVAMEN LEY 25.413 S/CRED | Monto=80,22 | Fecha: 20/04/2026</t>
        </is>
      </c>
    </row>
    <row r="348">
      <c r="A348" s="8" t="inlineStr">
        <is>
          <t>Administración/Banco</t>
        </is>
      </c>
      <c r="B348" s="8" t="inlineStr">
        <is>
          <t>Banco egreso no Flexxus</t>
        </is>
      </c>
      <c r="C348" s="8" t="inlineStr">
        <is>
          <t>Anticipo Ganancias Ley 25.413 créditos</t>
        </is>
      </c>
      <c r="D348" s="9" t="n">
        <v>216.88</v>
      </c>
      <c r="E348" s="8" t="inlineStr">
        <is>
          <t>ABIERTO_NUEVO</t>
        </is>
      </c>
      <c r="F348" s="8" t="inlineStr">
        <is>
          <t>Banco / impuesto / gasto</t>
        </is>
      </c>
      <c r="G348" s="8" t="inlineStr">
        <is>
          <t>Copiar en Flexxus: Tipo=MB-EXT | Movimiento=GRAVAMEN LEY 25.413 S/CRED | Monto=216,88 | Fecha: 20/04/2026</t>
        </is>
      </c>
    </row>
    <row r="349">
      <c r="A349" s="8" t="inlineStr">
        <is>
          <t>Administración/Banco</t>
        </is>
      </c>
      <c r="B349" s="8" t="inlineStr">
        <is>
          <t>Banco egreso no Flexxus</t>
        </is>
      </c>
      <c r="C349" s="8" t="inlineStr">
        <is>
          <t>Anticipo Ganancias Ley 25.413 créditos</t>
        </is>
      </c>
      <c r="D349" s="9" t="n">
        <v>250.81</v>
      </c>
      <c r="E349" s="8" t="inlineStr">
        <is>
          <t>ABIERTO_NUEVO</t>
        </is>
      </c>
      <c r="F349" s="8" t="inlineStr">
        <is>
          <t>Banco / impuesto / gasto</t>
        </is>
      </c>
      <c r="G349" s="8" t="inlineStr">
        <is>
          <t>Copiar en Flexxus: Tipo=MB-EXT | Movimiento=GRAVAMEN LEY 25.413 S/CRED | Monto=250,81 | Fecha: 20/04/2026</t>
        </is>
      </c>
    </row>
    <row r="350">
      <c r="A350" s="8" t="inlineStr">
        <is>
          <t>Administración/Banco</t>
        </is>
      </c>
      <c r="B350" s="8" t="inlineStr">
        <is>
          <t>Banco egreso no Flexxus</t>
        </is>
      </c>
      <c r="C350" s="8" t="inlineStr">
        <is>
          <t>Anticipo Ganancias Ley 25.413 créditos</t>
        </is>
      </c>
      <c r="D350" s="9" t="n">
        <v>192.52</v>
      </c>
      <c r="E350" s="8" t="inlineStr">
        <is>
          <t>ABIERTO_NUEVO</t>
        </is>
      </c>
      <c r="F350" s="8" t="inlineStr">
        <is>
          <t>Banco / impuesto / gasto</t>
        </is>
      </c>
      <c r="G350" s="8" t="inlineStr">
        <is>
          <t>Copiar en Flexxus: Tipo=MB-EXT | Movimiento=GRAVAMEN LEY 25.413 S/CRED | Monto=192,52 | Fecha: 20/04/2026</t>
        </is>
      </c>
    </row>
    <row r="351">
      <c r="A351" s="8" t="inlineStr">
        <is>
          <t>Administración/Banco</t>
        </is>
      </c>
      <c r="B351" s="8" t="inlineStr">
        <is>
          <t>Banco egreso no Flexxus</t>
        </is>
      </c>
      <c r="C351" s="8" t="inlineStr">
        <is>
          <t>Anticipo Ganancias Ley 25.413 créditos</t>
        </is>
      </c>
      <c r="D351" s="9" t="n">
        <v>36.19</v>
      </c>
      <c r="E351" s="8" t="inlineStr">
        <is>
          <t>ABIERTO_NUEVO</t>
        </is>
      </c>
      <c r="F351" s="8" t="inlineStr">
        <is>
          <t>Banco / impuesto / gasto</t>
        </is>
      </c>
      <c r="G351" s="8" t="inlineStr">
        <is>
          <t>Copiar en Flexxus: Tipo=MB-EXT | Movimiento=GRAVAMEN LEY 25.413 S/CRED | Monto=36,19 | Fecha: 20/04/2026</t>
        </is>
      </c>
    </row>
    <row r="352">
      <c r="A352" s="8" t="inlineStr">
        <is>
          <t>Administración/Banco</t>
        </is>
      </c>
      <c r="B352" s="8" t="inlineStr">
        <is>
          <t>Banco egreso no Flexxus</t>
        </is>
      </c>
      <c r="C352" s="8" t="inlineStr">
        <is>
          <t>Anticipo Ganancias Ley 25.413 créditos</t>
        </is>
      </c>
      <c r="D352" s="9" t="n">
        <v>104.22</v>
      </c>
      <c r="E352" s="8" t="inlineStr">
        <is>
          <t>ABIERTO_NUEVO</t>
        </is>
      </c>
      <c r="F352" s="8" t="inlineStr">
        <is>
          <t>Banco / impuesto / gasto</t>
        </is>
      </c>
      <c r="G352" s="8" t="inlineStr">
        <is>
          <t>Copiar en Flexxus: Tipo=MB-EXT | Movimiento=GRAVAMEN LEY 25.413 S/CRED | Monto=104,22 | Fecha: 20/04/2026</t>
        </is>
      </c>
    </row>
    <row r="353">
      <c r="A353" s="8" t="inlineStr">
        <is>
          <t>Administración/Banco</t>
        </is>
      </c>
      <c r="B353" s="8" t="inlineStr">
        <is>
          <t>Banco egreso no Flexxus</t>
        </is>
      </c>
      <c r="C353" s="8" t="inlineStr">
        <is>
          <t>Anticipo Ganancias Ley 25.413 créditos</t>
        </is>
      </c>
      <c r="D353" s="9" t="n">
        <v>68.33</v>
      </c>
      <c r="E353" s="8" t="inlineStr">
        <is>
          <t>ABIERTO_NUEVO</t>
        </is>
      </c>
      <c r="F353" s="8" t="inlineStr">
        <is>
          <t>Banco / impuesto / gasto</t>
        </is>
      </c>
      <c r="G353" s="8" t="inlineStr">
        <is>
          <t>Copiar en Flexxus: Tipo=MB-EXT | Movimiento=GRAVAMEN LEY 25.413 S/CRED | Monto=68,33 | Fecha: 20/04/2026</t>
        </is>
      </c>
    </row>
    <row r="354">
      <c r="A354" s="8" t="inlineStr">
        <is>
          <t>Administración/Banco</t>
        </is>
      </c>
      <c r="B354" s="8" t="inlineStr">
        <is>
          <t>Banco egreso no Flexxus</t>
        </is>
      </c>
      <c r="C354" s="8" t="inlineStr">
        <is>
          <t>Anticipo Ganancias Ley 25.413 créditos</t>
        </is>
      </c>
      <c r="D354" s="9" t="n">
        <v>73.09</v>
      </c>
      <c r="E354" s="8" t="inlineStr">
        <is>
          <t>ABIERTO_NUEVO</t>
        </is>
      </c>
      <c r="F354" s="8" t="inlineStr">
        <is>
          <t>Banco / impuesto / gasto</t>
        </is>
      </c>
      <c r="G354" s="8" t="inlineStr">
        <is>
          <t>Copiar en Flexxus: Tipo=MB-EXT | Movimiento=GRAVAMEN LEY 25.413 S/CRED | Monto=73,09 | Fecha: 20/04/2026</t>
        </is>
      </c>
    </row>
    <row r="355">
      <c r="A355" s="8" t="inlineStr">
        <is>
          <t>Administración/Banco</t>
        </is>
      </c>
      <c r="B355" s="8" t="inlineStr">
        <is>
          <t>Banco egreso no Flexxus</t>
        </is>
      </c>
      <c r="C355" s="8" t="inlineStr">
        <is>
          <t>Anticipo Ganancias Ley 25.413 créditos</t>
        </is>
      </c>
      <c r="D355" s="9" t="n">
        <v>80.22</v>
      </c>
      <c r="E355" s="8" t="inlineStr">
        <is>
          <t>ABIERTO_NUEVO</t>
        </is>
      </c>
      <c r="F355" s="8" t="inlineStr">
        <is>
          <t>Banco / impuesto / gasto</t>
        </is>
      </c>
      <c r="G355" s="8" t="inlineStr">
        <is>
          <t>Copiar en Flexxus: Tipo=MB-EXT | Movimiento=GRAVAMEN LEY 25.413 S/CRED | Monto=80,22 | Fecha: 20/04/2026</t>
        </is>
      </c>
    </row>
    <row r="356">
      <c r="A356" s="8" t="inlineStr">
        <is>
          <t>Administración/Banco</t>
        </is>
      </c>
      <c r="B356" s="8" t="inlineStr">
        <is>
          <t>Banco egreso no Flexxus</t>
        </is>
      </c>
      <c r="C356" s="8" t="inlineStr">
        <is>
          <t>Anticipo Ganancias Ley 25.413 créditos</t>
        </is>
      </c>
      <c r="D356" s="9" t="n">
        <v>70.70999999999999</v>
      </c>
      <c r="E356" s="8" t="inlineStr">
        <is>
          <t>ABIERTO_NUEVO</t>
        </is>
      </c>
      <c r="F356" s="8" t="inlineStr">
        <is>
          <t>Banco / impuesto / gasto</t>
        </is>
      </c>
      <c r="G356" s="8" t="inlineStr">
        <is>
          <t>Copiar en Flexxus: Tipo=MB-EXT | Movimiento=GRAVAMEN LEY 25.413 S/CRED | Monto=70,71 | Fecha: 20/04/2026</t>
        </is>
      </c>
    </row>
    <row r="357">
      <c r="A357" s="8" t="inlineStr">
        <is>
          <t>Administración/Banco</t>
        </is>
      </c>
      <c r="B357" s="8" t="inlineStr">
        <is>
          <t>Banco egreso no Flexxus</t>
        </is>
      </c>
      <c r="C357" s="8" t="inlineStr">
        <is>
          <t>Anticipo Ganancias Ley 25.413 créditos</t>
        </is>
      </c>
      <c r="D357" s="9" t="n">
        <v>326.81</v>
      </c>
      <c r="E357" s="8" t="inlineStr">
        <is>
          <t>ABIERTO_NUEVO</t>
        </is>
      </c>
      <c r="F357" s="8" t="inlineStr">
        <is>
          <t>Banco / impuesto / gasto</t>
        </is>
      </c>
      <c r="G357" s="8" t="inlineStr">
        <is>
          <t>Copiar en Flexxus: Tipo=MB-EXT | Movimiento=GRAVAMEN LEY 25.413 S/CRED | Monto=326,81 | Fecha: 20/04/2026</t>
        </is>
      </c>
    </row>
    <row r="358">
      <c r="A358" s="8" t="inlineStr">
        <is>
          <t>Administración/Banco</t>
        </is>
      </c>
      <c r="B358" s="8" t="inlineStr">
        <is>
          <t>Banco egreso no Flexxus</t>
        </is>
      </c>
      <c r="C358" s="8" t="inlineStr">
        <is>
          <t>Anticipo Ganancias Ley 25.413 créditos</t>
        </is>
      </c>
      <c r="D358" s="9" t="n">
        <v>50.51</v>
      </c>
      <c r="E358" s="8" t="inlineStr">
        <is>
          <t>ABIERTO_NUEVO</t>
        </is>
      </c>
      <c r="F358" s="8" t="inlineStr">
        <is>
          <t>Banco / impuesto / gasto</t>
        </is>
      </c>
      <c r="G358" s="8" t="inlineStr">
        <is>
          <t>Copiar en Flexxus: Tipo=MB-EXT | Movimiento=GRAVAMEN LEY 25.413 S/CRED | Monto=50,51 | Fecha: 20/04/2026</t>
        </is>
      </c>
    </row>
    <row r="359">
      <c r="A359" s="8" t="inlineStr">
        <is>
          <t>Administración/Banco</t>
        </is>
      </c>
      <c r="B359" s="8" t="inlineStr">
        <is>
          <t>Banco egreso no Flexxus</t>
        </is>
      </c>
      <c r="C359" s="8" t="inlineStr">
        <is>
          <t>Anticipo Ganancias Ley 25.413 créditos</t>
        </is>
      </c>
      <c r="D359" s="9" t="n">
        <v>404.64</v>
      </c>
      <c r="E359" s="8" t="inlineStr">
        <is>
          <t>ABIERTO_NUEVO</t>
        </is>
      </c>
      <c r="F359" s="8" t="inlineStr">
        <is>
          <t>Banco / impuesto / gasto</t>
        </is>
      </c>
      <c r="G359" s="8" t="inlineStr">
        <is>
          <t>Copiar en Flexxus: Tipo=MB-EXT | Movimiento=GRAVAMEN LEY 25.413 S/CRED | Monto=404,64 | Fecha: 20/04/2026</t>
        </is>
      </c>
    </row>
    <row r="360">
      <c r="A360" s="8" t="inlineStr">
        <is>
          <t>Administración/Banco</t>
        </is>
      </c>
      <c r="B360" s="8" t="inlineStr">
        <is>
          <t>Banco egreso no Flexxus</t>
        </is>
      </c>
      <c r="C360" s="8" t="inlineStr">
        <is>
          <t>Anticipo Ganancias Ley 25.413 créditos</t>
        </is>
      </c>
      <c r="D360" s="9" t="n">
        <v>550.8200000000001</v>
      </c>
      <c r="E360" s="8" t="inlineStr">
        <is>
          <t>ABIERTO_NUEVO</t>
        </is>
      </c>
      <c r="F360" s="8" t="inlineStr">
        <is>
          <t>Banco / impuesto / gasto</t>
        </is>
      </c>
      <c r="G360" s="8" t="inlineStr">
        <is>
          <t>Copiar en Flexxus: Tipo=MB-EXT | Movimiento=GRAVAMEN LEY 25.413 S/CRED | Monto=550,82 | Fecha: 20/04/2026</t>
        </is>
      </c>
    </row>
    <row r="361">
      <c r="A361" s="8" t="inlineStr">
        <is>
          <t>Administración/Banco</t>
        </is>
      </c>
      <c r="B361" s="8" t="inlineStr">
        <is>
          <t>Banco egreso no Flexxus</t>
        </is>
      </c>
      <c r="C361" s="8" t="inlineStr">
        <is>
          <t>Anticipo Ganancias Ley 25.413 créditos</t>
        </is>
      </c>
      <c r="D361" s="9" t="n">
        <v>207.97</v>
      </c>
      <c r="E361" s="8" t="inlineStr">
        <is>
          <t>ABIERTO_NUEVO</t>
        </is>
      </c>
      <c r="F361" s="8" t="inlineStr">
        <is>
          <t>Banco / impuesto / gasto</t>
        </is>
      </c>
      <c r="G361" s="8" t="inlineStr">
        <is>
          <t>Copiar en Flexxus: Tipo=MB-EXT | Movimiento=GRAVAMEN LEY 25.413 S/CRED | Monto=207,97 | Fecha: 20/04/2026</t>
        </is>
      </c>
    </row>
    <row r="362">
      <c r="A362" s="8" t="inlineStr">
        <is>
          <t>Administración/Banco</t>
        </is>
      </c>
      <c r="B362" s="8" t="inlineStr">
        <is>
          <t>Banco egreso no Flexxus</t>
        </is>
      </c>
      <c r="C362" s="8" t="inlineStr">
        <is>
          <t>Anticipo Ganancias Ley 25.413 créditos</t>
        </is>
      </c>
      <c r="D362" s="9" t="n">
        <v>439.7</v>
      </c>
      <c r="E362" s="8" t="inlineStr">
        <is>
          <t>ABIERTO_NUEVO</t>
        </is>
      </c>
      <c r="F362" s="8" t="inlineStr">
        <is>
          <t>Banco / impuesto / gasto</t>
        </is>
      </c>
      <c r="G362" s="8" t="inlineStr">
        <is>
          <t>Copiar en Flexxus: Tipo=MB-EXT | Movimiento=GRAVAMEN LEY 25.413 S/CRED | Monto=439,70 | Fecha: 20/04/2026</t>
        </is>
      </c>
    </row>
    <row r="363">
      <c r="A363" s="8" t="inlineStr">
        <is>
          <t>Administración/Banco</t>
        </is>
      </c>
      <c r="B363" s="8" t="inlineStr">
        <is>
          <t>Banco egreso no Flexxus</t>
        </is>
      </c>
      <c r="C363" s="8" t="inlineStr">
        <is>
          <t>Anticipo Ganancias Ley 25.413 créditos</t>
        </is>
      </c>
      <c r="D363" s="9" t="n">
        <v>349.98</v>
      </c>
      <c r="E363" s="8" t="inlineStr">
        <is>
          <t>ABIERTO_NUEVO</t>
        </is>
      </c>
      <c r="F363" s="8" t="inlineStr">
        <is>
          <t>Banco / impuesto / gasto</t>
        </is>
      </c>
      <c r="G363" s="8" t="inlineStr">
        <is>
          <t>Copiar en Flexxus: Tipo=MB-EXT | Movimiento=GRAVAMEN LEY 25.413 S/CRED | Monto=349,98 | Fecha: 20/04/2026</t>
        </is>
      </c>
    </row>
    <row r="364">
      <c r="A364" s="8" t="inlineStr">
        <is>
          <t>Administración/Banco</t>
        </is>
      </c>
      <c r="B364" s="8" t="inlineStr">
        <is>
          <t>Banco egreso no Flexxus</t>
        </is>
      </c>
      <c r="C364" s="8" t="inlineStr">
        <is>
          <t>Anticipo Ganancias Ley 25.413 créditos</t>
        </is>
      </c>
      <c r="D364" s="9" t="n">
        <v>399.59</v>
      </c>
      <c r="E364" s="8" t="inlineStr">
        <is>
          <t>ABIERTO_NUEVO</t>
        </is>
      </c>
      <c r="F364" s="8" t="inlineStr">
        <is>
          <t>Banco / impuesto / gasto</t>
        </is>
      </c>
      <c r="G364" s="8" t="inlineStr">
        <is>
          <t>Copiar en Flexxus: Tipo=MB-EXT | Movimiento=GRAVAMEN LEY 25.413 S/CRED | Monto=399,59 | Fecha: 20/04/2026</t>
        </is>
      </c>
    </row>
    <row r="365">
      <c r="A365" s="8" t="inlineStr">
        <is>
          <t>Administración/Banco</t>
        </is>
      </c>
      <c r="B365" s="8" t="inlineStr">
        <is>
          <t>Banco egreso no Flexxus</t>
        </is>
      </c>
      <c r="C365" s="8" t="inlineStr">
        <is>
          <t>Anticipo Ganancias Ley 25.413 débitos</t>
        </is>
      </c>
      <c r="D365" s="9" t="n">
        <v>4.3</v>
      </c>
      <c r="E365" s="8" t="inlineStr">
        <is>
          <t>ABIERTO_NUEVO</t>
        </is>
      </c>
      <c r="F365" s="8" t="inlineStr">
        <is>
          <t>Banco / impuesto / gasto</t>
        </is>
      </c>
      <c r="G365" s="8" t="inlineStr">
        <is>
          <t>Copiar en Flexxus: Tipo=MB-EXT | Movimiento=GRAVAMEN LEY 25.413 S/DEB | Monto=4,30 | Fecha: 24/04/2026</t>
        </is>
      </c>
    </row>
    <row r="366">
      <c r="A366" s="8" t="inlineStr">
        <is>
          <t>Administración/Banco</t>
        </is>
      </c>
      <c r="B366" s="8" t="inlineStr">
        <is>
          <t>Banco egreso no Flexxus</t>
        </is>
      </c>
      <c r="C366" s="8" t="inlineStr">
        <is>
          <t>Anticipo Ganancias Ley 25.413 débitos</t>
        </is>
      </c>
      <c r="D366" s="9" t="n">
        <v>0.63</v>
      </c>
      <c r="E366" s="8" t="inlineStr">
        <is>
          <t>ABIERTO_NUEVO</t>
        </is>
      </c>
      <c r="F366" s="8" t="inlineStr">
        <is>
          <t>Banco / impuesto / gasto</t>
        </is>
      </c>
      <c r="G366" s="8" t="inlineStr">
        <is>
          <t>Copiar en Flexxus: Tipo=MB-EXT | Movimiento=GRAVAMEN LEY 25.413 S/DEB | Monto=0,63 | Fecha: 24/04/2026</t>
        </is>
      </c>
    </row>
    <row r="367">
      <c r="A367" s="8" t="inlineStr">
        <is>
          <t>Administración/Banco</t>
        </is>
      </c>
      <c r="B367" s="8" t="inlineStr">
        <is>
          <t>Banco egreso no Flexxus</t>
        </is>
      </c>
      <c r="C367" s="8" t="inlineStr">
        <is>
          <t>Anticipo Ganancias Ley 25.413 débitos</t>
        </is>
      </c>
      <c r="D367" s="9" t="n">
        <v>4.05</v>
      </c>
      <c r="E367" s="8" t="inlineStr">
        <is>
          <t>ABIERTO_NUEVO</t>
        </is>
      </c>
      <c r="F367" s="8" t="inlineStr">
        <is>
          <t>Banco / impuesto / gasto</t>
        </is>
      </c>
      <c r="G367" s="8" t="inlineStr">
        <is>
          <t>Copiar en Flexxus: Tipo=MB-EXT | Movimiento=GRAVAMEN LEY 25.413 S/DEB | Monto=4,05 | Fecha: 24/04/2026</t>
        </is>
      </c>
    </row>
    <row r="368">
      <c r="A368" s="8" t="inlineStr">
        <is>
          <t>Administración/Banco</t>
        </is>
      </c>
      <c r="B368" s="8" t="inlineStr">
        <is>
          <t>Banco egreso no Flexxus</t>
        </is>
      </c>
      <c r="C368" s="8" t="inlineStr">
        <is>
          <t>Anticipo Ganancias Ley 25.413 débitos</t>
        </is>
      </c>
      <c r="D368" s="9" t="n">
        <v>0.46</v>
      </c>
      <c r="E368" s="8" t="inlineStr">
        <is>
          <t>ABIERTO_NUEVO</t>
        </is>
      </c>
      <c r="F368" s="8" t="inlineStr">
        <is>
          <t>Banco / impuesto / gasto</t>
        </is>
      </c>
      <c r="G368" s="8" t="inlineStr">
        <is>
          <t>Copiar en Flexxus: Tipo=MB-EXT | Movimiento=GRAVAMEN LEY 25.413 S/DEB | Monto=0,46 | Fecha: 24/04/2026</t>
        </is>
      </c>
    </row>
    <row r="369">
      <c r="A369" s="8" t="inlineStr">
        <is>
          <t>Administración/Banco</t>
        </is>
      </c>
      <c r="B369" s="8" t="inlineStr">
        <is>
          <t>Banco egreso no Flexxus</t>
        </is>
      </c>
      <c r="C369" s="8" t="inlineStr">
        <is>
          <t>Anticipo Ganancias Ley 25.413 débitos</t>
        </is>
      </c>
      <c r="D369" s="9" t="n">
        <v>0.27</v>
      </c>
      <c r="E369" s="8" t="inlineStr">
        <is>
          <t>ABIERTO_NUEVO</t>
        </is>
      </c>
      <c r="F369" s="8" t="inlineStr">
        <is>
          <t>Banco / impuesto / gasto</t>
        </is>
      </c>
      <c r="G369" s="8" t="inlineStr">
        <is>
          <t>Copiar en Flexxus: Tipo=MB-EXT | Movimiento=GRAVAMEN LEY 25.413 S/DEB | Monto=0,27 | Fecha: 24/04/2026</t>
        </is>
      </c>
    </row>
    <row r="370">
      <c r="A370" s="8" t="inlineStr">
        <is>
          <t>Administración/Banco</t>
        </is>
      </c>
      <c r="B370" s="8" t="inlineStr">
        <is>
          <t>Banco egreso no Flexxus</t>
        </is>
      </c>
      <c r="C370" s="8" t="inlineStr">
        <is>
          <t>Anticipo Ganancias Ley 25.413 débitos</t>
        </is>
      </c>
      <c r="D370" s="9" t="n">
        <v>0.46</v>
      </c>
      <c r="E370" s="8" t="inlineStr">
        <is>
          <t>ABIERTO_NUEVO</t>
        </is>
      </c>
      <c r="F370" s="8" t="inlineStr">
        <is>
          <t>Banco / impuesto / gasto</t>
        </is>
      </c>
      <c r="G370" s="8" t="inlineStr">
        <is>
          <t>Copiar en Flexxus: Tipo=MB-EXT | Movimiento=GRAVAMEN LEY 25.413 S/DEB | Monto=0,46 | Fecha: 24/04/2026</t>
        </is>
      </c>
    </row>
    <row r="371">
      <c r="A371" s="8" t="inlineStr">
        <is>
          <t>Administración/Banco</t>
        </is>
      </c>
      <c r="B371" s="8" t="inlineStr">
        <is>
          <t>Banco egreso no Flexxus</t>
        </is>
      </c>
      <c r="C371" s="8" t="inlineStr">
        <is>
          <t>Anticipo Ganancias Ley 25.413 débitos</t>
        </is>
      </c>
      <c r="D371" s="9" t="n">
        <v>1.33</v>
      </c>
      <c r="E371" s="8" t="inlineStr">
        <is>
          <t>ABIERTO_NUEVO</t>
        </is>
      </c>
      <c r="F371" s="8" t="inlineStr">
        <is>
          <t>Banco / impuesto / gasto</t>
        </is>
      </c>
      <c r="G371" s="8" t="inlineStr">
        <is>
          <t>Copiar en Flexxus: Tipo=MB-EXT | Movimiento=GRAVAMEN LEY 25.413 S/DEB | Monto=1,33 | Fecha: 24/04/2026</t>
        </is>
      </c>
    </row>
    <row r="372">
      <c r="A372" s="8" t="inlineStr">
        <is>
          <t>Administración/Banco</t>
        </is>
      </c>
      <c r="B372" s="8" t="inlineStr">
        <is>
          <t>Banco egreso no Flexxus</t>
        </is>
      </c>
      <c r="C372" s="8" t="inlineStr">
        <is>
          <t>Anticipo Ganancias Ley 25.413 débitos</t>
        </is>
      </c>
      <c r="D372" s="9" t="n">
        <v>2.85</v>
      </c>
      <c r="E372" s="8" t="inlineStr">
        <is>
          <t>ABIERTO_NUEVO</t>
        </is>
      </c>
      <c r="F372" s="8" t="inlineStr">
        <is>
          <t>Banco / impuesto / gasto</t>
        </is>
      </c>
      <c r="G372" s="8" t="inlineStr">
        <is>
          <t>Copiar en Flexxus: Tipo=MB-EXT | Movimiento=GRAVAMEN LEY 25.413 S/DEB | Monto=2,85 | Fecha: 24/04/2026</t>
        </is>
      </c>
    </row>
    <row r="373">
      <c r="A373" s="8" t="inlineStr">
        <is>
          <t>Administración/Banco</t>
        </is>
      </c>
      <c r="B373" s="8" t="inlineStr">
        <is>
          <t>Banco egreso no Flexxus</t>
        </is>
      </c>
      <c r="C373" s="8" t="inlineStr">
        <is>
          <t>Anticipo Ganancias Ley 25.413 débitos</t>
        </is>
      </c>
      <c r="D373" s="9" t="n">
        <v>9</v>
      </c>
      <c r="E373" s="8" t="inlineStr">
        <is>
          <t>ABIERTO_NUEVO</t>
        </is>
      </c>
      <c r="F373" s="8" t="inlineStr">
        <is>
          <t>Banco / impuesto / gasto</t>
        </is>
      </c>
      <c r="G373" s="8" t="inlineStr">
        <is>
          <t>Copiar en Flexxus: Tipo=MB-EXT | Movimiento=GRAVAMEN LEY 25.413 S/DEB | Monto=9,00 | Fecha: 24/04/2026</t>
        </is>
      </c>
    </row>
    <row r="374">
      <c r="A374" s="8" t="inlineStr">
        <is>
          <t>Administración/Banco</t>
        </is>
      </c>
      <c r="B374" s="8" t="inlineStr">
        <is>
          <t>Banco egreso no Flexxus</t>
        </is>
      </c>
      <c r="C374" s="8" t="inlineStr">
        <is>
          <t>Anticipo Ganancias Ley 25.413 débitos</t>
        </is>
      </c>
      <c r="D374" s="9" t="n">
        <v>0.68</v>
      </c>
      <c r="E374" s="8" t="inlineStr">
        <is>
          <t>ABIERTO_NUEVO</t>
        </is>
      </c>
      <c r="F374" s="8" t="inlineStr">
        <is>
          <t>Banco / impuesto / gasto</t>
        </is>
      </c>
      <c r="G374" s="8" t="inlineStr">
        <is>
          <t>Copiar en Flexxus: Tipo=MB-EXT | Movimiento=GRAVAMEN LEY 25.413 S/DEB | Monto=0,68 | Fecha: 24/04/2026</t>
        </is>
      </c>
    </row>
    <row r="375">
      <c r="A375" s="8" t="inlineStr">
        <is>
          <t>Administración/Banco</t>
        </is>
      </c>
      <c r="B375" s="8" t="inlineStr">
        <is>
          <t>Banco egreso no Flexxus</t>
        </is>
      </c>
      <c r="C375" s="8" t="inlineStr">
        <is>
          <t>Anticipo Ganancias Ley 25.413 débitos</t>
        </is>
      </c>
      <c r="D375" s="9" t="n">
        <v>0.9399999999999999</v>
      </c>
      <c r="E375" s="8" t="inlineStr">
        <is>
          <t>ABIERTO_NUEVO</t>
        </is>
      </c>
      <c r="F375" s="8" t="inlineStr">
        <is>
          <t>Banco / impuesto / gasto</t>
        </is>
      </c>
      <c r="G375" s="8" t="inlineStr">
        <is>
          <t>Copiar en Flexxus: Tipo=MB-EXT | Movimiento=GRAVAMEN LEY 25.413 S/DEB | Monto=0,94 | Fecha: 24/04/2026</t>
        </is>
      </c>
    </row>
    <row r="376">
      <c r="A376" s="8" t="inlineStr">
        <is>
          <t>Administración/Banco</t>
        </is>
      </c>
      <c r="B376" s="8" t="inlineStr">
        <is>
          <t>Banco egreso no Flexxus</t>
        </is>
      </c>
      <c r="C376" s="8" t="inlineStr">
        <is>
          <t>Anticipo Ganancias Ley 25.413 débitos</t>
        </is>
      </c>
      <c r="D376" s="9" t="n">
        <v>0.77</v>
      </c>
      <c r="E376" s="8" t="inlineStr">
        <is>
          <t>ABIERTO_NUEVO</t>
        </is>
      </c>
      <c r="F376" s="8" t="inlineStr">
        <is>
          <t>Banco / impuesto / gasto</t>
        </is>
      </c>
      <c r="G376" s="8" t="inlineStr">
        <is>
          <t>Copiar en Flexxus: Tipo=MB-EXT | Movimiento=GRAVAMEN LEY 25.413 S/DEB | Monto=0,77 | Fecha: 24/04/2026</t>
        </is>
      </c>
    </row>
    <row r="377">
      <c r="A377" s="8" t="inlineStr">
        <is>
          <t>Administración/Banco</t>
        </is>
      </c>
      <c r="B377" s="8" t="inlineStr">
        <is>
          <t>Banco egreso no Flexxus</t>
        </is>
      </c>
      <c r="C377" s="8" t="inlineStr">
        <is>
          <t>Anticipo Ganancias Ley 25.413 débitos</t>
        </is>
      </c>
      <c r="D377" s="9" t="n">
        <v>0.27</v>
      </c>
      <c r="E377" s="8" t="inlineStr">
        <is>
          <t>ABIERTO_NUEVO</t>
        </is>
      </c>
      <c r="F377" s="8" t="inlineStr">
        <is>
          <t>Banco / impuesto / gasto</t>
        </is>
      </c>
      <c r="G377" s="8" t="inlineStr">
        <is>
          <t>Copiar en Flexxus: Tipo=MB-EXT | Movimiento=GRAVAMEN LEY 25.413 S/DEB | Monto=0,27 | Fecha: 24/04/2026</t>
        </is>
      </c>
    </row>
    <row r="378">
      <c r="A378" s="8" t="inlineStr">
        <is>
          <t>Administración/Banco</t>
        </is>
      </c>
      <c r="B378" s="8" t="inlineStr">
        <is>
          <t>Banco egreso no Flexxus</t>
        </is>
      </c>
      <c r="C378" s="8" t="inlineStr">
        <is>
          <t>Anticipo Ganancias Ley 25.413 débitos</t>
        </is>
      </c>
      <c r="D378" s="9" t="n">
        <v>0.21</v>
      </c>
      <c r="E378" s="8" t="inlineStr">
        <is>
          <t>ABIERTO_NUEVO</t>
        </is>
      </c>
      <c r="F378" s="8" t="inlineStr">
        <is>
          <t>Banco / impuesto / gasto</t>
        </is>
      </c>
      <c r="G378" s="8" t="inlineStr">
        <is>
          <t>Copiar en Flexxus: Tipo=MB-EXT | Movimiento=GRAVAMEN LEY 25.413 S/DEB | Monto=0,21 | Fecha: 24/04/2026</t>
        </is>
      </c>
    </row>
    <row r="379">
      <c r="A379" s="8" t="inlineStr">
        <is>
          <t>Administración/Banco</t>
        </is>
      </c>
      <c r="B379" s="8" t="inlineStr">
        <is>
          <t>Banco egreso no Flexxus</t>
        </is>
      </c>
      <c r="C379" s="8" t="inlineStr">
        <is>
          <t>Anticipo Ganancias Ley 25.413 débitos</t>
        </is>
      </c>
      <c r="D379" s="9" t="n">
        <v>4.04</v>
      </c>
      <c r="E379" s="8" t="inlineStr">
        <is>
          <t>ABIERTO_NUEVO</t>
        </is>
      </c>
      <c r="F379" s="8" t="inlineStr">
        <is>
          <t>Banco / impuesto / gasto</t>
        </is>
      </c>
      <c r="G379" s="8" t="inlineStr">
        <is>
          <t>Copiar en Flexxus: Tipo=MB-EXT | Movimiento=GRAVAMEN LEY 25.413 S/DEB | Monto=4,04 | Fecha: 24/04/2026</t>
        </is>
      </c>
    </row>
    <row r="380">
      <c r="A380" s="8" t="inlineStr">
        <is>
          <t>Administración/Banco</t>
        </is>
      </c>
      <c r="B380" s="8" t="inlineStr">
        <is>
          <t>Banco egreso no Flexxus</t>
        </is>
      </c>
      <c r="C380" s="8" t="inlineStr">
        <is>
          <t>Anticipo Ganancias Ley 25.413 débitos</t>
        </is>
      </c>
      <c r="D380" s="9" t="n">
        <v>11.93</v>
      </c>
      <c r="E380" s="8" t="inlineStr">
        <is>
          <t>ABIERTO_NUEVO</t>
        </is>
      </c>
      <c r="F380" s="8" t="inlineStr">
        <is>
          <t>Banco / impuesto / gasto</t>
        </is>
      </c>
      <c r="G380" s="8" t="inlineStr">
        <is>
          <t>Copiar en Flexxus: Tipo=MB-EXT | Movimiento=GRAVAMEN LEY 25.413 S/DEB | Monto=11,93 | Fecha: 24/04/2026</t>
        </is>
      </c>
    </row>
    <row r="381">
      <c r="A381" s="8" t="inlineStr">
        <is>
          <t>Administración/Banco</t>
        </is>
      </c>
      <c r="B381" s="8" t="inlineStr">
        <is>
          <t>Banco egreso no Flexxus</t>
        </is>
      </c>
      <c r="C381" s="8" t="inlineStr">
        <is>
          <t>Anticipo Ganancias Ley 25.413 débitos</t>
        </is>
      </c>
      <c r="D381" s="9" t="n">
        <v>1.6</v>
      </c>
      <c r="E381" s="8" t="inlineStr">
        <is>
          <t>ABIERTO_NUEVO</t>
        </is>
      </c>
      <c r="F381" s="8" t="inlineStr">
        <is>
          <t>Banco / impuesto / gasto</t>
        </is>
      </c>
      <c r="G381" s="8" t="inlineStr">
        <is>
          <t>Copiar en Flexxus: Tipo=MB-EXT | Movimiento=GRAVAMEN LEY 25.413 S/DEB | Monto=1,60 | Fecha: 24/04/2026</t>
        </is>
      </c>
    </row>
    <row r="382">
      <c r="A382" s="8" t="inlineStr">
        <is>
          <t>Administración/Banco</t>
        </is>
      </c>
      <c r="B382" s="8" t="inlineStr">
        <is>
          <t>Banco egreso no Flexxus</t>
        </is>
      </c>
      <c r="C382" s="8" t="inlineStr">
        <is>
          <t>Anticipo Ganancias Ley 25.413 débitos</t>
        </is>
      </c>
      <c r="D382" s="9" t="n">
        <v>2.13</v>
      </c>
      <c r="E382" s="8" t="inlineStr">
        <is>
          <t>ABIERTO_NUEVO</t>
        </is>
      </c>
      <c r="F382" s="8" t="inlineStr">
        <is>
          <t>Banco / impuesto / gasto</t>
        </is>
      </c>
      <c r="G382" s="8" t="inlineStr">
        <is>
          <t>Copiar en Flexxus: Tipo=MB-EXT | Movimiento=GRAVAMEN LEY 25.413 S/DEB | Monto=2,13 | Fecha: 24/04/2026</t>
        </is>
      </c>
    </row>
    <row r="383">
      <c r="A383" s="8" t="inlineStr">
        <is>
          <t>Administración/Banco</t>
        </is>
      </c>
      <c r="B383" s="8" t="inlineStr">
        <is>
          <t>Banco egreso no Flexxus</t>
        </is>
      </c>
      <c r="C383" s="8" t="inlineStr">
        <is>
          <t>Anticipo Ganancias Ley 25.413 débitos</t>
        </is>
      </c>
      <c r="D383" s="9" t="n">
        <v>7.28</v>
      </c>
      <c r="E383" s="8" t="inlineStr">
        <is>
          <t>ABIERTO_NUEVO</t>
        </is>
      </c>
      <c r="F383" s="8" t="inlineStr">
        <is>
          <t>Banco / impuesto / gasto</t>
        </is>
      </c>
      <c r="G383" s="8" t="inlineStr">
        <is>
          <t>Copiar en Flexxus: Tipo=MB-EXT | Movimiento=GRAVAMEN LEY 25.413 S/DEB | Monto=7,28 | Fecha: 24/04/2026</t>
        </is>
      </c>
    </row>
    <row r="384">
      <c r="A384" s="8" t="inlineStr">
        <is>
          <t>Administración/Banco</t>
        </is>
      </c>
      <c r="B384" s="8" t="inlineStr">
        <is>
          <t>Banco egreso no Flexxus</t>
        </is>
      </c>
      <c r="C384" s="8" t="inlineStr">
        <is>
          <t>Anticipo Ganancias Ley 25.413 débitos</t>
        </is>
      </c>
      <c r="D384" s="9" t="n">
        <v>17.48</v>
      </c>
      <c r="E384" s="8" t="inlineStr">
        <is>
          <t>ABIERTO_NUEVO</t>
        </is>
      </c>
      <c r="F384" s="8" t="inlineStr">
        <is>
          <t>Banco / impuesto / gasto</t>
        </is>
      </c>
      <c r="G384" s="8" t="inlineStr">
        <is>
          <t>Copiar en Flexxus: Tipo=MB-EXT | Movimiento=GRAVAMEN LEY 25.413 S/DEB | Monto=17,48 | Fecha: 24/04/2026</t>
        </is>
      </c>
    </row>
    <row r="385">
      <c r="A385" s="8" t="inlineStr">
        <is>
          <t>Administración/Banco</t>
        </is>
      </c>
      <c r="B385" s="8" t="inlineStr">
        <is>
          <t>Banco egreso no Flexxus</t>
        </is>
      </c>
      <c r="C385" s="8" t="inlineStr">
        <is>
          <t>Anticipo Ganancias Ley 25.413 débitos</t>
        </is>
      </c>
      <c r="D385" s="9" t="n">
        <v>0.68</v>
      </c>
      <c r="E385" s="8" t="inlineStr">
        <is>
          <t>ABIERTO_NUEVO</t>
        </is>
      </c>
      <c r="F385" s="8" t="inlineStr">
        <is>
          <t>Banco / impuesto / gasto</t>
        </is>
      </c>
      <c r="G385" s="8" t="inlineStr">
        <is>
          <t>Copiar en Flexxus: Tipo=MB-EXT | Movimiento=GRAVAMEN LEY 25.413 S/DEB | Monto=0,68 | Fecha: 24/04/2026</t>
        </is>
      </c>
    </row>
    <row r="386">
      <c r="A386" s="8" t="inlineStr">
        <is>
          <t>Administración/Banco</t>
        </is>
      </c>
      <c r="B386" s="8" t="inlineStr">
        <is>
          <t>Banco egreso no Flexxus</t>
        </is>
      </c>
      <c r="C386" s="8" t="inlineStr">
        <is>
          <t>Anticipo Ganancias Ley 25.413 débitos</t>
        </is>
      </c>
      <c r="D386" s="9" t="n">
        <v>3.5</v>
      </c>
      <c r="E386" s="8" t="inlineStr">
        <is>
          <t>ABIERTO_NUEVO</t>
        </is>
      </c>
      <c r="F386" s="8" t="inlineStr">
        <is>
          <t>Banco / impuesto / gasto</t>
        </is>
      </c>
      <c r="G386" s="8" t="inlineStr">
        <is>
          <t>Copiar en Flexxus: Tipo=MB-EXT | Movimiento=GRAVAMEN LEY 25.413 S/DEB | Monto=3,50 | Fecha: 24/04/2026</t>
        </is>
      </c>
    </row>
    <row r="387">
      <c r="A387" s="8" t="inlineStr">
        <is>
          <t>Administración/Banco</t>
        </is>
      </c>
      <c r="B387" s="8" t="inlineStr">
        <is>
          <t>Banco egreso no Flexxus</t>
        </is>
      </c>
      <c r="C387" s="8" t="inlineStr">
        <is>
          <t>Anticipo Ganancias Ley 25.413 débitos</t>
        </is>
      </c>
      <c r="D387" s="9" t="n">
        <v>3.65</v>
      </c>
      <c r="E387" s="8" t="inlineStr">
        <is>
          <t>ABIERTO_NUEVO</t>
        </is>
      </c>
      <c r="F387" s="8" t="inlineStr">
        <is>
          <t>Banco / impuesto / gasto</t>
        </is>
      </c>
      <c r="G387" s="8" t="inlineStr">
        <is>
          <t>Copiar en Flexxus: Tipo=MB-EXT | Movimiento=GRAVAMEN LEY 25.413 S/DEB | Monto=3,65 | Fecha: 24/04/2026</t>
        </is>
      </c>
    </row>
    <row r="388">
      <c r="A388" s="8" t="inlineStr">
        <is>
          <t>Administración/Banco</t>
        </is>
      </c>
      <c r="B388" s="8" t="inlineStr">
        <is>
          <t>Banco egreso no Flexxus</t>
        </is>
      </c>
      <c r="C388" s="8" t="inlineStr">
        <is>
          <t>Anticipo Ganancias Ley 25.413 débitos</t>
        </is>
      </c>
      <c r="D388" s="9" t="n">
        <v>1.42</v>
      </c>
      <c r="E388" s="8" t="inlineStr">
        <is>
          <t>ABIERTO_NUEVO</t>
        </is>
      </c>
      <c r="F388" s="8" t="inlineStr">
        <is>
          <t>Banco / impuesto / gasto</t>
        </is>
      </c>
      <c r="G388" s="8" t="inlineStr">
        <is>
          <t>Copiar en Flexxus: Tipo=MB-EXT | Movimiento=GRAVAMEN LEY 25.413 S/DEB | Monto=1,42 | Fecha: 24/04/2026</t>
        </is>
      </c>
    </row>
    <row r="389">
      <c r="A389" s="8" t="inlineStr">
        <is>
          <t>Administración/Banco</t>
        </is>
      </c>
      <c r="B389" s="8" t="inlineStr">
        <is>
          <t>Banco egreso no Flexxus</t>
        </is>
      </c>
      <c r="C389" s="8" t="inlineStr">
        <is>
          <t>Anticipo Ganancias Ley 25.413 débitos</t>
        </is>
      </c>
      <c r="D389" s="9" t="n">
        <v>1.6</v>
      </c>
      <c r="E389" s="8" t="inlineStr">
        <is>
          <t>ABIERTO_NUEVO</t>
        </is>
      </c>
      <c r="F389" s="8" t="inlineStr">
        <is>
          <t>Banco / impuesto / gasto</t>
        </is>
      </c>
      <c r="G389" s="8" t="inlineStr">
        <is>
          <t>Copiar en Flexxus: Tipo=MB-EXT | Movimiento=GRAVAMEN LEY 25.413 S/DEB | Monto=1,60 | Fecha: 24/04/2026</t>
        </is>
      </c>
    </row>
    <row r="390">
      <c r="A390" s="8" t="inlineStr">
        <is>
          <t>Administración/Banco</t>
        </is>
      </c>
      <c r="B390" s="8" t="inlineStr">
        <is>
          <t>Banco egreso no Flexxus</t>
        </is>
      </c>
      <c r="C390" s="8" t="inlineStr">
        <is>
          <t>Anticipo Ganancias Ley 25.413 débitos</t>
        </is>
      </c>
      <c r="D390" s="9" t="n">
        <v>17.49</v>
      </c>
      <c r="E390" s="8" t="inlineStr">
        <is>
          <t>ABIERTO_NUEVO</t>
        </is>
      </c>
      <c r="F390" s="8" t="inlineStr">
        <is>
          <t>Banco / impuesto / gasto</t>
        </is>
      </c>
      <c r="G390" s="8" t="inlineStr">
        <is>
          <t>Copiar en Flexxus: Tipo=MB-EXT | Movimiento=GRAVAMEN LEY 25.413 S/DEB | Monto=17,49 | Fecha: 24/04/2026</t>
        </is>
      </c>
    </row>
    <row r="391">
      <c r="A391" s="8" t="inlineStr">
        <is>
          <t>Administración/Banco</t>
        </is>
      </c>
      <c r="B391" s="8" t="inlineStr">
        <is>
          <t>Banco egreso no Flexxus</t>
        </is>
      </c>
      <c r="C391" s="8" t="inlineStr">
        <is>
          <t>Anticipo Ganancias Ley 25.413 débitos</t>
        </is>
      </c>
      <c r="D391" s="9" t="n">
        <v>2.5</v>
      </c>
      <c r="E391" s="8" t="inlineStr">
        <is>
          <t>ABIERTO_NUEVO</t>
        </is>
      </c>
      <c r="F391" s="8" t="inlineStr">
        <is>
          <t>Banco / impuesto / gasto</t>
        </is>
      </c>
      <c r="G391" s="8" t="inlineStr">
        <is>
          <t>Copiar en Flexxus: Tipo=MB-EXT | Movimiento=GRAVAMEN LEY 25.413 S/DEB | Monto=2,50 | Fecha: 24/04/2026</t>
        </is>
      </c>
    </row>
    <row r="392">
      <c r="A392" s="8" t="inlineStr">
        <is>
          <t>Administración/Banco</t>
        </is>
      </c>
      <c r="B392" s="8" t="inlineStr">
        <is>
          <t>Banco egreso no Flexxus</t>
        </is>
      </c>
      <c r="C392" s="8" t="inlineStr">
        <is>
          <t>Anticipo Ganancias Ley 25.413 débitos</t>
        </is>
      </c>
      <c r="D392" s="9" t="n">
        <v>6.95</v>
      </c>
      <c r="E392" s="8" t="inlineStr">
        <is>
          <t>ABIERTO_NUEVO</t>
        </is>
      </c>
      <c r="F392" s="8" t="inlineStr">
        <is>
          <t>Banco / impuesto / gasto</t>
        </is>
      </c>
      <c r="G392" s="8" t="inlineStr">
        <is>
          <t>Copiar en Flexxus: Tipo=MB-EXT | Movimiento=GRAVAMEN LEY 25.413 S/DEB | Monto=6,95 | Fecha: 24/04/2026</t>
        </is>
      </c>
    </row>
    <row r="393">
      <c r="A393" s="8" t="inlineStr">
        <is>
          <t>Administración/Banco</t>
        </is>
      </c>
      <c r="B393" s="8" t="inlineStr">
        <is>
          <t>Banco egreso no Flexxus</t>
        </is>
      </c>
      <c r="C393" s="8" t="inlineStr">
        <is>
          <t>Anticipo Ganancias Ley 25.413 débitos</t>
        </is>
      </c>
      <c r="D393" s="9" t="n">
        <v>5.02</v>
      </c>
      <c r="E393" s="8" t="inlineStr">
        <is>
          <t>ABIERTO_NUEVO</t>
        </is>
      </c>
      <c r="F393" s="8" t="inlineStr">
        <is>
          <t>Banco / impuesto / gasto</t>
        </is>
      </c>
      <c r="G393" s="8" t="inlineStr">
        <is>
          <t>Copiar en Flexxus: Tipo=MB-EXT | Movimiento=GRAVAMEN LEY 25.413 S/DEB | Monto=5,02 | Fecha: 24/04/2026</t>
        </is>
      </c>
    </row>
    <row r="394">
      <c r="A394" s="8" t="inlineStr">
        <is>
          <t>Administración/Banco</t>
        </is>
      </c>
      <c r="B394" s="8" t="inlineStr">
        <is>
          <t>Banco egreso no Flexxus</t>
        </is>
      </c>
      <c r="C394" s="8" t="inlineStr">
        <is>
          <t>Anticipo Ganancias Ley 25.413 débitos</t>
        </is>
      </c>
      <c r="D394" s="9" t="n">
        <v>2.85</v>
      </c>
      <c r="E394" s="8" t="inlineStr">
        <is>
          <t>ABIERTO_NUEVO</t>
        </is>
      </c>
      <c r="F394" s="8" t="inlineStr">
        <is>
          <t>Banco / impuesto / gasto</t>
        </is>
      </c>
      <c r="G394" s="8" t="inlineStr">
        <is>
          <t>Copiar en Flexxus: Tipo=MB-EXT | Movimiento=GRAVAMEN LEY 25.413 S/DEB | Monto=2,85 | Fecha: 24/04/2026</t>
        </is>
      </c>
    </row>
    <row r="395">
      <c r="A395" s="8" t="inlineStr">
        <is>
          <t>Administración/Banco</t>
        </is>
      </c>
      <c r="B395" s="8" t="inlineStr">
        <is>
          <t>Banco egreso no Flexxus</t>
        </is>
      </c>
      <c r="C395" s="8" t="inlineStr">
        <is>
          <t>Anticipo Ganancias Ley 25.413 débitos</t>
        </is>
      </c>
      <c r="D395" s="9" t="n">
        <v>38.82</v>
      </c>
      <c r="E395" s="8" t="inlineStr">
        <is>
          <t>ABIERTO_NUEVO</t>
        </is>
      </c>
      <c r="F395" s="8" t="inlineStr">
        <is>
          <t>Banco / impuesto / gasto</t>
        </is>
      </c>
      <c r="G395" s="8" t="inlineStr">
        <is>
          <t>Copiar en Flexxus: Tipo=MB-EXT | Movimiento=GRAVAMEN LEY 25.413 S/DEB | Monto=38,82 | Fecha: 24/04/2026</t>
        </is>
      </c>
    </row>
    <row r="396">
      <c r="A396" s="8" t="inlineStr">
        <is>
          <t>Administración/Banco</t>
        </is>
      </c>
      <c r="B396" s="8" t="inlineStr">
        <is>
          <t>Banco egreso no Flexxus</t>
        </is>
      </c>
      <c r="C396" s="8" t="inlineStr">
        <is>
          <t>Anticipo Ganancias Ley 25.413 débitos</t>
        </is>
      </c>
      <c r="D396" s="9" t="n">
        <v>7.2</v>
      </c>
      <c r="E396" s="8" t="inlineStr">
        <is>
          <t>ABIERTO_NUEVO</t>
        </is>
      </c>
      <c r="F396" s="8" t="inlineStr">
        <is>
          <t>Banco / impuesto / gasto</t>
        </is>
      </c>
      <c r="G396" s="8" t="inlineStr">
        <is>
          <t>Copiar en Flexxus: Tipo=MB-EXT | Movimiento=GRAVAMEN LEY 25.413 S/DEB | Monto=7,20 | Fecha: 24/04/2026</t>
        </is>
      </c>
    </row>
    <row r="397">
      <c r="A397" s="8" t="inlineStr">
        <is>
          <t>Administración/Banco</t>
        </is>
      </c>
      <c r="B397" s="8" t="inlineStr">
        <is>
          <t>Banco egreso no Flexxus</t>
        </is>
      </c>
      <c r="C397" s="8" t="inlineStr">
        <is>
          <t>Anticipo Ganancias Ley 25.413 débitos</t>
        </is>
      </c>
      <c r="D397" s="9" t="n">
        <v>18.18</v>
      </c>
      <c r="E397" s="8" t="inlineStr">
        <is>
          <t>ABIERTO_NUEVO</t>
        </is>
      </c>
      <c r="F397" s="8" t="inlineStr">
        <is>
          <t>Banco / impuesto / gasto</t>
        </is>
      </c>
      <c r="G397" s="8" t="inlineStr">
        <is>
          <t>Copiar en Flexxus: Tipo=MB-EXT | Movimiento=GRAVAMEN LEY 25.413 S/DEB | Monto=18,18 | Fecha: 24/04/2026</t>
        </is>
      </c>
    </row>
    <row r="398">
      <c r="A398" s="8" t="inlineStr">
        <is>
          <t>Administración/Banco</t>
        </is>
      </c>
      <c r="B398" s="8" t="inlineStr">
        <is>
          <t>Banco egreso no Flexxus</t>
        </is>
      </c>
      <c r="C398" s="8" t="inlineStr">
        <is>
          <t>Anticipo Ganancias Ley 25.413 débitos</t>
        </is>
      </c>
      <c r="D398" s="9" t="n">
        <v>26.11</v>
      </c>
      <c r="E398" s="8" t="inlineStr">
        <is>
          <t>ABIERTO_NUEVO</t>
        </is>
      </c>
      <c r="F398" s="8" t="inlineStr">
        <is>
          <t>Banco / impuesto / gasto</t>
        </is>
      </c>
      <c r="G398" s="8" t="inlineStr">
        <is>
          <t>Copiar en Flexxus: Tipo=MB-EXT | Movimiento=GRAVAMEN LEY 25.413 S/DEB | Monto=26,11 | Fecha: 24/04/2026</t>
        </is>
      </c>
    </row>
    <row r="399">
      <c r="A399" s="8" t="inlineStr">
        <is>
          <t>Administración/Banco</t>
        </is>
      </c>
      <c r="B399" s="8" t="inlineStr">
        <is>
          <t>Banco egreso no Flexxus</t>
        </is>
      </c>
      <c r="C399" s="8" t="inlineStr">
        <is>
          <t>Anticipo Ganancias Ley 25.413 débitos</t>
        </is>
      </c>
      <c r="D399" s="9" t="n">
        <v>0.45</v>
      </c>
      <c r="E399" s="8" t="inlineStr">
        <is>
          <t>ABIERTO_NUEVO</t>
        </is>
      </c>
      <c r="F399" s="8" t="inlineStr">
        <is>
          <t>Banco / impuesto / gasto</t>
        </is>
      </c>
      <c r="G399" s="8" t="inlineStr">
        <is>
          <t>Copiar en Flexxus: Tipo=MB-EXT | Movimiento=GRAVAMEN LEY 25.413 S/DEB | Monto=0,45 | Fecha: 24/04/2026</t>
        </is>
      </c>
    </row>
    <row r="400">
      <c r="A400" s="8" t="inlineStr">
        <is>
          <t>Administración/Banco</t>
        </is>
      </c>
      <c r="B400" s="8" t="inlineStr">
        <is>
          <t>Banco egreso no Flexxus</t>
        </is>
      </c>
      <c r="C400" s="8" t="inlineStr">
        <is>
          <t>Anticipo Ganancias Ley 25.413 débitos</t>
        </is>
      </c>
      <c r="D400" s="9" t="n">
        <v>2.47</v>
      </c>
      <c r="E400" s="8" t="inlineStr">
        <is>
          <t>ABIERTO_NUEVO</t>
        </is>
      </c>
      <c r="F400" s="8" t="inlineStr">
        <is>
          <t>Banco / impuesto / gasto</t>
        </is>
      </c>
      <c r="G400" s="8" t="inlineStr">
        <is>
          <t>Copiar en Flexxus: Tipo=MB-EXT | Movimiento=GRAVAMEN LEY 25.413 S/DEB | Monto=2,47 | Fecha: 24/04/2026</t>
        </is>
      </c>
    </row>
    <row r="401">
      <c r="A401" s="8" t="inlineStr">
        <is>
          <t>Administración/Banco</t>
        </is>
      </c>
      <c r="B401" s="8" t="inlineStr">
        <is>
          <t>Banco egreso no Flexxus</t>
        </is>
      </c>
      <c r="C401" s="8" t="inlineStr">
        <is>
          <t>Anticipo Ganancias Ley 25.413 débitos</t>
        </is>
      </c>
      <c r="D401" s="9" t="n">
        <v>7.26</v>
      </c>
      <c r="E401" s="8" t="inlineStr">
        <is>
          <t>ABIERTO_NUEVO</t>
        </is>
      </c>
      <c r="F401" s="8" t="inlineStr">
        <is>
          <t>Banco / impuesto / gasto</t>
        </is>
      </c>
      <c r="G401" s="8" t="inlineStr">
        <is>
          <t>Copiar en Flexxus: Tipo=MB-EXT | Movimiento=GRAVAMEN LEY 25.413 S/DEB | Monto=7,26 | Fecha: 24/04/2026</t>
        </is>
      </c>
    </row>
    <row r="402">
      <c r="A402" s="8" t="inlineStr">
        <is>
          <t>Administración/Banco</t>
        </is>
      </c>
      <c r="B402" s="8" t="inlineStr">
        <is>
          <t>Banco egreso no Flexxus</t>
        </is>
      </c>
      <c r="C402" s="8" t="inlineStr">
        <is>
          <t>Anticipo Ganancias Ley 25.413 débitos</t>
        </is>
      </c>
      <c r="D402" s="9" t="n">
        <v>5.48</v>
      </c>
      <c r="E402" s="8" t="inlineStr">
        <is>
          <t>ABIERTO_NUEVO</t>
        </is>
      </c>
      <c r="F402" s="8" t="inlineStr">
        <is>
          <t>Banco / impuesto / gasto</t>
        </is>
      </c>
      <c r="G402" s="8" t="inlineStr">
        <is>
          <t>Copiar en Flexxus: Tipo=MB-EXT | Movimiento=GRAVAMEN LEY 25.413 S/DEB | Monto=5,48 | Fecha: 24/04/2026</t>
        </is>
      </c>
    </row>
    <row r="403">
      <c r="A403" s="8" t="inlineStr">
        <is>
          <t>Administración/Banco</t>
        </is>
      </c>
      <c r="B403" s="8" t="inlineStr">
        <is>
          <t>Banco egreso no Flexxus</t>
        </is>
      </c>
      <c r="C403" s="8" t="inlineStr">
        <is>
          <t>Anticipo Ganancias Ley 25.413 débitos</t>
        </is>
      </c>
      <c r="D403" s="9" t="n">
        <v>7.12</v>
      </c>
      <c r="E403" s="8" t="inlineStr">
        <is>
          <t>ABIERTO_NUEVO</t>
        </is>
      </c>
      <c r="F403" s="8" t="inlineStr">
        <is>
          <t>Banco / impuesto / gasto</t>
        </is>
      </c>
      <c r="G403" s="8" t="inlineStr">
        <is>
          <t>Copiar en Flexxus: Tipo=MB-EXT | Movimiento=GRAVAMEN LEY 25.413 S/DEB | Monto=7,12 | Fecha: 24/04/2026</t>
        </is>
      </c>
    </row>
    <row r="404">
      <c r="A404" s="8" t="inlineStr">
        <is>
          <t>Administración/Banco</t>
        </is>
      </c>
      <c r="B404" s="8" t="inlineStr">
        <is>
          <t>Banco egreso no Flexxus</t>
        </is>
      </c>
      <c r="C404" s="8" t="inlineStr">
        <is>
          <t>Anticipo Ganancias Ley 25.413 débitos</t>
        </is>
      </c>
      <c r="D404" s="9" t="n">
        <v>7.98</v>
      </c>
      <c r="E404" s="8" t="inlineStr">
        <is>
          <t>ABIERTO_NUEVO</t>
        </is>
      </c>
      <c r="F404" s="8" t="inlineStr">
        <is>
          <t>Banco / impuesto / gasto</t>
        </is>
      </c>
      <c r="G404" s="8" t="inlineStr">
        <is>
          <t>Copiar en Flexxus: Tipo=MB-EXT | Movimiento=GRAVAMEN LEY 25.413 S/DEB | Monto=7,98 | Fecha: 24/04/2026</t>
        </is>
      </c>
    </row>
    <row r="405">
      <c r="A405" s="8" t="inlineStr">
        <is>
          <t>Administración/Banco</t>
        </is>
      </c>
      <c r="B405" s="8" t="inlineStr">
        <is>
          <t>Banco egreso no Flexxus</t>
        </is>
      </c>
      <c r="C405" s="8" t="inlineStr">
        <is>
          <t>Anticipo Ganancias Ley 25.413 débitos</t>
        </is>
      </c>
      <c r="D405" s="9" t="n">
        <v>3.64</v>
      </c>
      <c r="E405" s="8" t="inlineStr">
        <is>
          <t>ABIERTO_NUEVO</t>
        </is>
      </c>
      <c r="F405" s="8" t="inlineStr">
        <is>
          <t>Banco / impuesto / gasto</t>
        </is>
      </c>
      <c r="G405" s="8" t="inlineStr">
        <is>
          <t>Copiar en Flexxus: Tipo=MB-EXT | Movimiento=GRAVAMEN LEY 25.413 S/DEB | Monto=3,64 | Fecha: 24/04/2026</t>
        </is>
      </c>
    </row>
    <row r="406">
      <c r="A406" s="8" t="inlineStr">
        <is>
          <t>Administración/Banco</t>
        </is>
      </c>
      <c r="B406" s="8" t="inlineStr">
        <is>
          <t>Banco egreso no Flexxus</t>
        </is>
      </c>
      <c r="C406" s="8" t="inlineStr">
        <is>
          <t>Anticipo Ganancias Ley 25.413 débitos</t>
        </is>
      </c>
      <c r="D406" s="9" t="n">
        <v>1.27</v>
      </c>
      <c r="E406" s="8" t="inlineStr">
        <is>
          <t>ABIERTO_NUEVO</t>
        </is>
      </c>
      <c r="F406" s="8" t="inlineStr">
        <is>
          <t>Banco / impuesto / gasto</t>
        </is>
      </c>
      <c r="G406" s="8" t="inlineStr">
        <is>
          <t>Copiar en Flexxus: Tipo=MB-EXT | Movimiento=GRAVAMEN LEY 25.413 S/DEB | Monto=1,27 | Fecha: 24/04/2026</t>
        </is>
      </c>
    </row>
    <row r="407">
      <c r="A407" s="8" t="inlineStr">
        <is>
          <t>Administración/Banco</t>
        </is>
      </c>
      <c r="B407" s="8" t="inlineStr">
        <is>
          <t>Banco egreso no Flexxus</t>
        </is>
      </c>
      <c r="C407" s="8" t="inlineStr">
        <is>
          <t>Anticipo Ganancias Ley 25.413 débitos</t>
        </is>
      </c>
      <c r="D407" s="9" t="n">
        <v>1.37</v>
      </c>
      <c r="E407" s="8" t="inlineStr">
        <is>
          <t>ABIERTO_NUEVO</t>
        </is>
      </c>
      <c r="F407" s="8" t="inlineStr">
        <is>
          <t>Banco / impuesto / gasto</t>
        </is>
      </c>
      <c r="G407" s="8" t="inlineStr">
        <is>
          <t>Copiar en Flexxus: Tipo=MB-EXT | Movimiento=GRAVAMEN LEY 25.413 S/DEB | Monto=1,37 | Fecha: 24/04/2026</t>
        </is>
      </c>
    </row>
    <row r="408">
      <c r="A408" s="8" t="inlineStr">
        <is>
          <t>Administración/Banco</t>
        </is>
      </c>
      <c r="B408" s="8" t="inlineStr">
        <is>
          <t>Banco egreso no Flexxus</t>
        </is>
      </c>
      <c r="C408" s="8" t="inlineStr">
        <is>
          <t>Anticipo Ganancias Ley 25.413 débitos</t>
        </is>
      </c>
      <c r="D408" s="9" t="n">
        <v>1.99</v>
      </c>
      <c r="E408" s="8" t="inlineStr">
        <is>
          <t>ABIERTO_NUEVO</t>
        </is>
      </c>
      <c r="F408" s="8" t="inlineStr">
        <is>
          <t>Banco / impuesto / gasto</t>
        </is>
      </c>
      <c r="G408" s="8" t="inlineStr">
        <is>
          <t>Copiar en Flexxus: Tipo=MB-EXT | Movimiento=GRAVAMEN LEY 25.413 S/DEB | Monto=1,99 | Fecha: 24/04/2026</t>
        </is>
      </c>
    </row>
    <row r="409">
      <c r="A409" s="8" t="inlineStr">
        <is>
          <t>Administración/Banco</t>
        </is>
      </c>
      <c r="B409" s="8" t="inlineStr">
        <is>
          <t>Banco egreso no Flexxus</t>
        </is>
      </c>
      <c r="C409" s="8" t="inlineStr">
        <is>
          <t>Anticipo Ganancias Ley 25.413 débitos</t>
        </is>
      </c>
      <c r="D409" s="9" t="n">
        <v>1.69</v>
      </c>
      <c r="E409" s="8" t="inlineStr">
        <is>
          <t>ABIERTO_NUEVO</t>
        </is>
      </c>
      <c r="F409" s="8" t="inlineStr">
        <is>
          <t>Banco / impuesto / gasto</t>
        </is>
      </c>
      <c r="G409" s="8" t="inlineStr">
        <is>
          <t>Copiar en Flexxus: Tipo=MB-EXT | Movimiento=GRAVAMEN LEY 25.413 S/DEB | Monto=1,69 | Fecha: 24/04/2026</t>
        </is>
      </c>
    </row>
    <row r="410">
      <c r="A410" s="8" t="inlineStr">
        <is>
          <t>Administración/Banco</t>
        </is>
      </c>
      <c r="B410" s="8" t="inlineStr">
        <is>
          <t>Banco egreso no Flexxus</t>
        </is>
      </c>
      <c r="C410" s="8" t="inlineStr">
        <is>
          <t>Anticipo Ganancias Ley 25.413 débitos</t>
        </is>
      </c>
      <c r="D410" s="9" t="n">
        <v>1.93</v>
      </c>
      <c r="E410" s="8" t="inlineStr">
        <is>
          <t>ABIERTO_NUEVO</t>
        </is>
      </c>
      <c r="F410" s="8" t="inlineStr">
        <is>
          <t>Banco / impuesto / gasto</t>
        </is>
      </c>
      <c r="G410" s="8" t="inlineStr">
        <is>
          <t>Copiar en Flexxus: Tipo=MB-EXT | Movimiento=GRAVAMEN LEY 25.413 S/DEB | Monto=1,93 | Fecha: 24/04/2026</t>
        </is>
      </c>
    </row>
    <row r="411">
      <c r="A411" s="8" t="inlineStr">
        <is>
          <t>Administración/Banco</t>
        </is>
      </c>
      <c r="B411" s="8" t="inlineStr">
        <is>
          <t>Banco egreso no Flexxus</t>
        </is>
      </c>
      <c r="C411" s="8" t="inlineStr">
        <is>
          <t>Anticipo Ganancias Ley 25.413 débitos</t>
        </is>
      </c>
      <c r="D411" s="9" t="n">
        <v>0.6899999999999999</v>
      </c>
      <c r="E411" s="8" t="inlineStr">
        <is>
          <t>ABIERTO_NUEVO</t>
        </is>
      </c>
      <c r="F411" s="8" t="inlineStr">
        <is>
          <t>Banco / impuesto / gasto</t>
        </is>
      </c>
      <c r="G411" s="8" t="inlineStr">
        <is>
          <t>Copiar en Flexxus: Tipo=MB-EXT | Movimiento=GRAVAMEN LEY 25.413 S/DEB | Monto=0,69 | Fecha: 24/04/2026</t>
        </is>
      </c>
    </row>
    <row r="412">
      <c r="A412" s="8" t="inlineStr">
        <is>
          <t>Administración/Banco</t>
        </is>
      </c>
      <c r="B412" s="8" t="inlineStr">
        <is>
          <t>Banco egreso no Flexxus</t>
        </is>
      </c>
      <c r="C412" s="8" t="inlineStr">
        <is>
          <t>Anticipo Ganancias Ley 25.413 débitos</t>
        </is>
      </c>
      <c r="D412" s="9" t="n">
        <v>1.2</v>
      </c>
      <c r="E412" s="8" t="inlineStr">
        <is>
          <t>ABIERTO_NUEVO</t>
        </is>
      </c>
      <c r="F412" s="8" t="inlineStr">
        <is>
          <t>Banco / impuesto / gasto</t>
        </is>
      </c>
      <c r="G412" s="8" t="inlineStr">
        <is>
          <t>Copiar en Flexxus: Tipo=MB-EXT | Movimiento=GRAVAMEN LEY 25.413 S/DEB | Monto=1,20 | Fecha: 24/04/2026</t>
        </is>
      </c>
    </row>
    <row r="413">
      <c r="A413" s="8" t="inlineStr">
        <is>
          <t>Administración/Banco</t>
        </is>
      </c>
      <c r="B413" s="8" t="inlineStr">
        <is>
          <t>Banco egreso no Flexxus</t>
        </is>
      </c>
      <c r="C413" s="8" t="inlineStr">
        <is>
          <t>Anticipo Ganancias Ley 25.413 débitos</t>
        </is>
      </c>
      <c r="D413" s="9" t="n">
        <v>10407.56</v>
      </c>
      <c r="E413" s="8" t="inlineStr">
        <is>
          <t>ABIERTO_NUEVO</t>
        </is>
      </c>
      <c r="F413" s="8" t="inlineStr">
        <is>
          <t>Banco / impuesto / gasto</t>
        </is>
      </c>
      <c r="G413" s="8" t="inlineStr">
        <is>
          <t>Copiar en Flexxus: Tipo=MB-EXT | Movimiento=GRAVAMEN LEY 25.413 S/DEB | Monto=10.407,56 | Fecha: 24/04/2026</t>
        </is>
      </c>
    </row>
    <row r="414">
      <c r="A414" s="8" t="inlineStr">
        <is>
          <t>Administración/Banco</t>
        </is>
      </c>
      <c r="B414" s="8" t="inlineStr">
        <is>
          <t>Banco egreso no Flexxus</t>
        </is>
      </c>
      <c r="C414" s="8" t="inlineStr">
        <is>
          <t>Anticipo Ganancias Ley 25.413 débitos</t>
        </is>
      </c>
      <c r="D414" s="9" t="n">
        <v>5.74</v>
      </c>
      <c r="E414" s="8" t="inlineStr">
        <is>
          <t>ABIERTO_NUEVO</t>
        </is>
      </c>
      <c r="F414" s="8" t="inlineStr">
        <is>
          <t>Banco / impuesto / gasto</t>
        </is>
      </c>
      <c r="G414" s="8" t="inlineStr">
        <is>
          <t>Copiar en Flexxus: Tipo=MB-EXT | Movimiento=GRAVAMEN LEY 25.413 S/DEB | Monto=5,74 | Fecha: 24/04/2026</t>
        </is>
      </c>
    </row>
    <row r="415">
      <c r="A415" s="8" t="inlineStr">
        <is>
          <t>Administración/Banco</t>
        </is>
      </c>
      <c r="B415" s="8" t="inlineStr">
        <is>
          <t>Banco egreso no Flexxus</t>
        </is>
      </c>
      <c r="C415" s="8" t="inlineStr">
        <is>
          <t>Anticipo Ganancias Ley 25.413 débitos</t>
        </is>
      </c>
      <c r="D415" s="9" t="n">
        <v>3600</v>
      </c>
      <c r="E415" s="8" t="inlineStr">
        <is>
          <t>ABIERTO_NUEVO</t>
        </is>
      </c>
      <c r="F415" s="8" t="inlineStr">
        <is>
          <t>Banco / impuesto / gasto</t>
        </is>
      </c>
      <c r="G415" s="8" t="inlineStr">
        <is>
          <t>Copiar en Flexxus: Tipo=MB-EXT | Movimiento=GRAVAMEN LEY 25.413 S/DEB | Monto=3.600,00 | Fecha: 24/04/2026</t>
        </is>
      </c>
    </row>
    <row r="416">
      <c r="A416" s="8" t="inlineStr">
        <is>
          <t>Administración/Banco</t>
        </is>
      </c>
      <c r="B416" s="8" t="inlineStr">
        <is>
          <t>Banco egreso no Flexxus</t>
        </is>
      </c>
      <c r="C416" s="8" t="inlineStr">
        <is>
          <t>Anticipo Ganancias Ley 25.413 débitos</t>
        </is>
      </c>
      <c r="D416" s="9" t="n">
        <v>4.43</v>
      </c>
      <c r="E416" s="8" t="inlineStr">
        <is>
          <t>ABIERTO_NUEVO</t>
        </is>
      </c>
      <c r="F416" s="8" t="inlineStr">
        <is>
          <t>Banco / impuesto / gasto</t>
        </is>
      </c>
      <c r="G416" s="8" t="inlineStr">
        <is>
          <t>Copiar en Flexxus: Tipo=MB-EXT | Movimiento=GRAVAMEN LEY 25.413 S/DEB | Monto=4,43 | Fecha: 23/04/2026</t>
        </is>
      </c>
    </row>
    <row r="417">
      <c r="A417" s="8" t="inlineStr">
        <is>
          <t>Administración/Banco</t>
        </is>
      </c>
      <c r="B417" s="8" t="inlineStr">
        <is>
          <t>Banco egreso no Flexxus</t>
        </is>
      </c>
      <c r="C417" s="8" t="inlineStr">
        <is>
          <t>Anticipo Ganancias Ley 25.413 débitos</t>
        </is>
      </c>
      <c r="D417" s="9" t="n">
        <v>0.53</v>
      </c>
      <c r="E417" s="8" t="inlineStr">
        <is>
          <t>ABIERTO_NUEVO</t>
        </is>
      </c>
      <c r="F417" s="8" t="inlineStr">
        <is>
          <t>Banco / impuesto / gasto</t>
        </is>
      </c>
      <c r="G417" s="8" t="inlineStr">
        <is>
          <t>Copiar en Flexxus: Tipo=MB-EXT | Movimiento=GRAVAMEN LEY 25.413 S/DEB | Monto=0,53 | Fecha: 23/04/2026</t>
        </is>
      </c>
    </row>
    <row r="418">
      <c r="A418" s="8" t="inlineStr">
        <is>
          <t>Administración/Banco</t>
        </is>
      </c>
      <c r="B418" s="8" t="inlineStr">
        <is>
          <t>Banco egreso no Flexxus</t>
        </is>
      </c>
      <c r="C418" s="8" t="inlineStr">
        <is>
          <t>Anticipo Ganancias Ley 25.413 débitos</t>
        </is>
      </c>
      <c r="D418" s="9" t="n">
        <v>0.68</v>
      </c>
      <c r="E418" s="8" t="inlineStr">
        <is>
          <t>ABIERTO_NUEVO</t>
        </is>
      </c>
      <c r="F418" s="8" t="inlineStr">
        <is>
          <t>Banco / impuesto / gasto</t>
        </is>
      </c>
      <c r="G418" s="8" t="inlineStr">
        <is>
          <t>Copiar en Flexxus: Tipo=MB-EXT | Movimiento=GRAVAMEN LEY 25.413 S/DEB | Monto=0,68 | Fecha: 23/04/2026</t>
        </is>
      </c>
    </row>
    <row r="419">
      <c r="A419" s="8" t="inlineStr">
        <is>
          <t>Administración/Banco</t>
        </is>
      </c>
      <c r="B419" s="8" t="inlineStr">
        <is>
          <t>Banco egreso no Flexxus</t>
        </is>
      </c>
      <c r="C419" s="8" t="inlineStr">
        <is>
          <t>Anticipo Ganancias Ley 25.413 débitos</t>
        </is>
      </c>
      <c r="D419" s="9" t="n">
        <v>2.97</v>
      </c>
      <c r="E419" s="8" t="inlineStr">
        <is>
          <t>ABIERTO_NUEVO</t>
        </is>
      </c>
      <c r="F419" s="8" t="inlineStr">
        <is>
          <t>Banco / impuesto / gasto</t>
        </is>
      </c>
      <c r="G419" s="8" t="inlineStr">
        <is>
          <t>Copiar en Flexxus: Tipo=MB-EXT | Movimiento=GRAVAMEN LEY 25.413 S/DEB | Monto=2,97 | Fecha: 23/04/2026</t>
        </is>
      </c>
    </row>
    <row r="420">
      <c r="A420" s="8" t="inlineStr">
        <is>
          <t>Administración/Banco</t>
        </is>
      </c>
      <c r="B420" s="8" t="inlineStr">
        <is>
          <t>Banco egreso no Flexxus</t>
        </is>
      </c>
      <c r="C420" s="8" t="inlineStr">
        <is>
          <t>Anticipo Ganancias Ley 25.413 débitos</t>
        </is>
      </c>
      <c r="D420" s="9" t="n">
        <v>3.78</v>
      </c>
      <c r="E420" s="8" t="inlineStr">
        <is>
          <t>ABIERTO_NUEVO</t>
        </is>
      </c>
      <c r="F420" s="8" t="inlineStr">
        <is>
          <t>Banco / impuesto / gasto</t>
        </is>
      </c>
      <c r="G420" s="8" t="inlineStr">
        <is>
          <t>Copiar en Flexxus: Tipo=MB-EXT | Movimiento=GRAVAMEN LEY 25.413 S/DEB | Monto=3,78 | Fecha: 23/04/2026</t>
        </is>
      </c>
    </row>
    <row r="421">
      <c r="A421" s="8" t="inlineStr">
        <is>
          <t>Administración/Banco</t>
        </is>
      </c>
      <c r="B421" s="8" t="inlineStr">
        <is>
          <t>Banco egreso no Flexxus</t>
        </is>
      </c>
      <c r="C421" s="8" t="inlineStr">
        <is>
          <t>Anticipo Ganancias Ley 25.413 débitos</t>
        </is>
      </c>
      <c r="D421" s="9" t="n">
        <v>1.07</v>
      </c>
      <c r="E421" s="8" t="inlineStr">
        <is>
          <t>ABIERTO_NUEVO</t>
        </is>
      </c>
      <c r="F421" s="8" t="inlineStr">
        <is>
          <t>Banco / impuesto / gasto</t>
        </is>
      </c>
      <c r="G421" s="8" t="inlineStr">
        <is>
          <t>Copiar en Flexxus: Tipo=MB-EXT | Movimiento=GRAVAMEN LEY 25.413 S/DEB | Monto=1,07 | Fecha: 23/04/2026</t>
        </is>
      </c>
    </row>
    <row r="422">
      <c r="A422" s="8" t="inlineStr">
        <is>
          <t>Administración/Banco</t>
        </is>
      </c>
      <c r="B422" s="8" t="inlineStr">
        <is>
          <t>Banco egreso no Flexxus</t>
        </is>
      </c>
      <c r="C422" s="8" t="inlineStr">
        <is>
          <t>Anticipo Ganancias Ley 25.413 débitos</t>
        </is>
      </c>
      <c r="D422" s="9" t="n">
        <v>17.29</v>
      </c>
      <c r="E422" s="8" t="inlineStr">
        <is>
          <t>ABIERTO_NUEVO</t>
        </is>
      </c>
      <c r="F422" s="8" t="inlineStr">
        <is>
          <t>Banco / impuesto / gasto</t>
        </is>
      </c>
      <c r="G422" s="8" t="inlineStr">
        <is>
          <t>Copiar en Flexxus: Tipo=MB-EXT | Movimiento=GRAVAMEN LEY 25.413 S/DEB | Monto=17,29 | Fecha: 23/04/2026</t>
        </is>
      </c>
    </row>
    <row r="423">
      <c r="A423" s="8" t="inlineStr">
        <is>
          <t>Administración/Banco</t>
        </is>
      </c>
      <c r="B423" s="8" t="inlineStr">
        <is>
          <t>Banco egreso no Flexxus</t>
        </is>
      </c>
      <c r="C423" s="8" t="inlineStr">
        <is>
          <t>Anticipo Ganancias Ley 25.413 débitos</t>
        </is>
      </c>
      <c r="D423" s="9" t="n">
        <v>2.42</v>
      </c>
      <c r="E423" s="8" t="inlineStr">
        <is>
          <t>ABIERTO_NUEVO</t>
        </is>
      </c>
      <c r="F423" s="8" t="inlineStr">
        <is>
          <t>Banco / impuesto / gasto</t>
        </is>
      </c>
      <c r="G423" s="8" t="inlineStr">
        <is>
          <t>Copiar en Flexxus: Tipo=MB-EXT | Movimiento=GRAVAMEN LEY 25.413 S/DEB | Monto=2,42 | Fecha: 23/04/2026</t>
        </is>
      </c>
    </row>
    <row r="424">
      <c r="A424" s="8" t="inlineStr">
        <is>
          <t>Administración/Banco</t>
        </is>
      </c>
      <c r="B424" s="8" t="inlineStr">
        <is>
          <t>Banco egreso no Flexxus</t>
        </is>
      </c>
      <c r="C424" s="8" t="inlineStr">
        <is>
          <t>Anticipo Ganancias Ley 25.413 débitos</t>
        </is>
      </c>
      <c r="D424" s="9" t="n">
        <v>2.01</v>
      </c>
      <c r="E424" s="8" t="inlineStr">
        <is>
          <t>ABIERTO_NUEVO</t>
        </is>
      </c>
      <c r="F424" s="8" t="inlineStr">
        <is>
          <t>Banco / impuesto / gasto</t>
        </is>
      </c>
      <c r="G424" s="8" t="inlineStr">
        <is>
          <t>Copiar en Flexxus: Tipo=MB-EXT | Movimiento=GRAVAMEN LEY 25.413 S/DEB | Monto=2,01 | Fecha: 23/04/2026</t>
        </is>
      </c>
    </row>
    <row r="425">
      <c r="A425" s="8" t="inlineStr">
        <is>
          <t>Administración/Banco</t>
        </is>
      </c>
      <c r="B425" s="8" t="inlineStr">
        <is>
          <t>Banco egreso no Flexxus</t>
        </is>
      </c>
      <c r="C425" s="8" t="inlineStr">
        <is>
          <t>Anticipo Ganancias Ley 25.413 débitos</t>
        </is>
      </c>
      <c r="D425" s="9" t="n">
        <v>1.48</v>
      </c>
      <c r="E425" s="8" t="inlineStr">
        <is>
          <t>ABIERTO_NUEVO</t>
        </is>
      </c>
      <c r="F425" s="8" t="inlineStr">
        <is>
          <t>Banco / impuesto / gasto</t>
        </is>
      </c>
      <c r="G425" s="8" t="inlineStr">
        <is>
          <t>Copiar en Flexxus: Tipo=MB-EXT | Movimiento=GRAVAMEN LEY 25.413 S/DEB | Monto=1,48 | Fecha: 23/04/2026</t>
        </is>
      </c>
    </row>
    <row r="426">
      <c r="A426" s="8" t="inlineStr">
        <is>
          <t>Administración/Banco</t>
        </is>
      </c>
      <c r="B426" s="8" t="inlineStr">
        <is>
          <t>Banco egreso no Flexxus</t>
        </is>
      </c>
      <c r="C426" s="8" t="inlineStr">
        <is>
          <t>Anticipo Ganancias Ley 25.413 débitos</t>
        </is>
      </c>
      <c r="D426" s="9" t="n">
        <v>4.97</v>
      </c>
      <c r="E426" s="8" t="inlineStr">
        <is>
          <t>ABIERTO_NUEVO</t>
        </is>
      </c>
      <c r="F426" s="8" t="inlineStr">
        <is>
          <t>Banco / impuesto / gasto</t>
        </is>
      </c>
      <c r="G426" s="8" t="inlineStr">
        <is>
          <t>Copiar en Flexxus: Tipo=MB-EXT | Movimiento=GRAVAMEN LEY 25.413 S/DEB | Monto=4,97 | Fecha: 23/04/2026</t>
        </is>
      </c>
    </row>
    <row r="427">
      <c r="A427" s="8" t="inlineStr">
        <is>
          <t>Administración/Banco</t>
        </is>
      </c>
      <c r="B427" s="8" t="inlineStr">
        <is>
          <t>Banco egreso no Flexxus</t>
        </is>
      </c>
      <c r="C427" s="8" t="inlineStr">
        <is>
          <t>Anticipo Ganancias Ley 25.413 débitos</t>
        </is>
      </c>
      <c r="D427" s="9" t="n">
        <v>2.73</v>
      </c>
      <c r="E427" s="8" t="inlineStr">
        <is>
          <t>ABIERTO_NUEVO</t>
        </is>
      </c>
      <c r="F427" s="8" t="inlineStr">
        <is>
          <t>Banco / impuesto / gasto</t>
        </is>
      </c>
      <c r="G427" s="8" t="inlineStr">
        <is>
          <t>Copiar en Flexxus: Tipo=MB-EXT | Movimiento=GRAVAMEN LEY 25.413 S/DEB | Monto=2,73 | Fecha: 23/04/2026</t>
        </is>
      </c>
    </row>
    <row r="428">
      <c r="A428" s="8" t="inlineStr">
        <is>
          <t>Administración/Banco</t>
        </is>
      </c>
      <c r="B428" s="8" t="inlineStr">
        <is>
          <t>Banco egreso no Flexxus</t>
        </is>
      </c>
      <c r="C428" s="8" t="inlineStr">
        <is>
          <t>Anticipo Ganancias Ley 25.413 débitos</t>
        </is>
      </c>
      <c r="D428" s="9" t="n">
        <v>2.86</v>
      </c>
      <c r="E428" s="8" t="inlineStr">
        <is>
          <t>ABIERTO_NUEVO</t>
        </is>
      </c>
      <c r="F428" s="8" t="inlineStr">
        <is>
          <t>Banco / impuesto / gasto</t>
        </is>
      </c>
      <c r="G428" s="8" t="inlineStr">
        <is>
          <t>Copiar en Flexxus: Tipo=MB-EXT | Movimiento=GRAVAMEN LEY 25.413 S/DEB | Monto=2,86 | Fecha: 23/04/2026</t>
        </is>
      </c>
    </row>
    <row r="429">
      <c r="A429" s="8" t="inlineStr">
        <is>
          <t>Administración/Banco</t>
        </is>
      </c>
      <c r="B429" s="8" t="inlineStr">
        <is>
          <t>Banco egreso no Flexxus</t>
        </is>
      </c>
      <c r="C429" s="8" t="inlineStr">
        <is>
          <t>Anticipo Ganancias Ley 25.413 débitos</t>
        </is>
      </c>
      <c r="D429" s="9" t="n">
        <v>0.89</v>
      </c>
      <c r="E429" s="8" t="inlineStr">
        <is>
          <t>ABIERTO_NUEVO</t>
        </is>
      </c>
      <c r="F429" s="8" t="inlineStr">
        <is>
          <t>Banco / impuesto / gasto</t>
        </is>
      </c>
      <c r="G429" s="8" t="inlineStr">
        <is>
          <t>Copiar en Flexxus: Tipo=MB-EXT | Movimiento=GRAVAMEN LEY 25.413 S/DEB | Monto=0,89 | Fecha: 23/04/2026</t>
        </is>
      </c>
    </row>
    <row r="430">
      <c r="A430" s="8" t="inlineStr">
        <is>
          <t>Administración/Banco</t>
        </is>
      </c>
      <c r="B430" s="8" t="inlineStr">
        <is>
          <t>Banco egreso no Flexxus</t>
        </is>
      </c>
      <c r="C430" s="8" t="inlineStr">
        <is>
          <t>Anticipo Ganancias Ley 25.413 débitos</t>
        </is>
      </c>
      <c r="D430" s="9" t="n">
        <v>2.8</v>
      </c>
      <c r="E430" s="8" t="inlineStr">
        <is>
          <t>ABIERTO_NUEVO</t>
        </is>
      </c>
      <c r="F430" s="8" t="inlineStr">
        <is>
          <t>Banco / impuesto / gasto</t>
        </is>
      </c>
      <c r="G430" s="8" t="inlineStr">
        <is>
          <t>Copiar en Flexxus: Tipo=MB-EXT | Movimiento=GRAVAMEN LEY 25.413 S/DEB | Monto=2,80 | Fecha: 23/04/2026</t>
        </is>
      </c>
    </row>
    <row r="431">
      <c r="A431" s="8" t="inlineStr">
        <is>
          <t>Administración/Banco</t>
        </is>
      </c>
      <c r="B431" s="8" t="inlineStr">
        <is>
          <t>Banco egreso no Flexxus</t>
        </is>
      </c>
      <c r="C431" s="8" t="inlineStr">
        <is>
          <t>Anticipo Ganancias Ley 25.413 débitos</t>
        </is>
      </c>
      <c r="D431" s="9" t="n">
        <v>1.81</v>
      </c>
      <c r="E431" s="8" t="inlineStr">
        <is>
          <t>ABIERTO_NUEVO</t>
        </is>
      </c>
      <c r="F431" s="8" t="inlineStr">
        <is>
          <t>Banco / impuesto / gasto</t>
        </is>
      </c>
      <c r="G431" s="8" t="inlineStr">
        <is>
          <t>Copiar en Flexxus: Tipo=MB-EXT | Movimiento=GRAVAMEN LEY 25.413 S/DEB | Monto=1,81 | Fecha: 23/04/2026</t>
        </is>
      </c>
    </row>
    <row r="432">
      <c r="A432" s="8" t="inlineStr">
        <is>
          <t>Administración/Banco</t>
        </is>
      </c>
      <c r="B432" s="8" t="inlineStr">
        <is>
          <t>Banco egreso no Flexxus</t>
        </is>
      </c>
      <c r="C432" s="8" t="inlineStr">
        <is>
          <t>Anticipo Ganancias Ley 25.413 débitos</t>
        </is>
      </c>
      <c r="D432" s="9" t="n">
        <v>1.36</v>
      </c>
      <c r="E432" s="8" t="inlineStr">
        <is>
          <t>ABIERTO_NUEVO</t>
        </is>
      </c>
      <c r="F432" s="8" t="inlineStr">
        <is>
          <t>Banco / impuesto / gasto</t>
        </is>
      </c>
      <c r="G432" s="8" t="inlineStr">
        <is>
          <t>Copiar en Flexxus: Tipo=MB-EXT | Movimiento=GRAVAMEN LEY 25.413 S/DEB | Monto=1,36 | Fecha: 23/04/2026</t>
        </is>
      </c>
    </row>
    <row r="433">
      <c r="A433" s="8" t="inlineStr">
        <is>
          <t>Administración/Banco</t>
        </is>
      </c>
      <c r="B433" s="8" t="inlineStr">
        <is>
          <t>Banco egreso no Flexxus</t>
        </is>
      </c>
      <c r="C433" s="8" t="inlineStr">
        <is>
          <t>Anticipo Ganancias Ley 25.413 débitos</t>
        </is>
      </c>
      <c r="D433" s="9" t="n">
        <v>149.63</v>
      </c>
      <c r="E433" s="8" t="inlineStr">
        <is>
          <t>ABIERTO_NUEVO</t>
        </is>
      </c>
      <c r="F433" s="8" t="inlineStr">
        <is>
          <t>Banco / impuesto / gasto</t>
        </is>
      </c>
      <c r="G433" s="8" t="inlineStr">
        <is>
          <t>Copiar en Flexxus: Tipo=MB-EXT | Movimiento=GRAVAMEN LEY 25.413 S/DEB | Monto=149,63 | Fecha: 23/04/2026</t>
        </is>
      </c>
    </row>
    <row r="434">
      <c r="A434" s="8" t="inlineStr">
        <is>
          <t>Administración/Banco</t>
        </is>
      </c>
      <c r="B434" s="8" t="inlineStr">
        <is>
          <t>Banco egreso no Flexxus</t>
        </is>
      </c>
      <c r="C434" s="8" t="inlineStr">
        <is>
          <t>Anticipo Ganancias Ley 25.413 débitos</t>
        </is>
      </c>
      <c r="D434" s="9" t="n">
        <v>17.38</v>
      </c>
      <c r="E434" s="8" t="inlineStr">
        <is>
          <t>ABIERTO_NUEVO</t>
        </is>
      </c>
      <c r="F434" s="8" t="inlineStr">
        <is>
          <t>Banco / impuesto / gasto</t>
        </is>
      </c>
      <c r="G434" s="8" t="inlineStr">
        <is>
          <t>Copiar en Flexxus: Tipo=MB-EXT | Movimiento=GRAVAMEN LEY 25.413 S/DEB | Monto=17,38 | Fecha: 23/04/2026</t>
        </is>
      </c>
    </row>
    <row r="435">
      <c r="A435" s="8" t="inlineStr">
        <is>
          <t>Administración/Banco</t>
        </is>
      </c>
      <c r="B435" s="8" t="inlineStr">
        <is>
          <t>Banco egreso no Flexxus</t>
        </is>
      </c>
      <c r="C435" s="8" t="inlineStr">
        <is>
          <t>Anticipo Ganancias Ley 25.413 débitos</t>
        </is>
      </c>
      <c r="D435" s="9" t="n">
        <v>132.92</v>
      </c>
      <c r="E435" s="8" t="inlineStr">
        <is>
          <t>ABIERTO_NUEVO</t>
        </is>
      </c>
      <c r="F435" s="8" t="inlineStr">
        <is>
          <t>Banco / impuesto / gasto</t>
        </is>
      </c>
      <c r="G435" s="8" t="inlineStr">
        <is>
          <t>Copiar en Flexxus: Tipo=MB-EXT | Movimiento=GRAVAMEN LEY 25.413 S/DEB | Monto=132,92 | Fecha: 23/04/2026</t>
        </is>
      </c>
    </row>
    <row r="436">
      <c r="A436" s="8" t="inlineStr">
        <is>
          <t>Administración/Banco</t>
        </is>
      </c>
      <c r="B436" s="8" t="inlineStr">
        <is>
          <t>Banco egreso no Flexxus</t>
        </is>
      </c>
      <c r="C436" s="8" t="inlineStr">
        <is>
          <t>Anticipo Ganancias Ley 25.413 débitos</t>
        </is>
      </c>
      <c r="D436" s="9" t="n">
        <v>4.31</v>
      </c>
      <c r="E436" s="8" t="inlineStr">
        <is>
          <t>ABIERTO_NUEVO</t>
        </is>
      </c>
      <c r="F436" s="8" t="inlineStr">
        <is>
          <t>Banco / impuesto / gasto</t>
        </is>
      </c>
      <c r="G436" s="8" t="inlineStr">
        <is>
          <t>Copiar en Flexxus: Tipo=MB-EXT | Movimiento=GRAVAMEN LEY 25.413 S/DEB | Monto=4,31 | Fecha: 23/04/2026</t>
        </is>
      </c>
    </row>
    <row r="437">
      <c r="A437" s="8" t="inlineStr">
        <is>
          <t>Administración/Banco</t>
        </is>
      </c>
      <c r="B437" s="8" t="inlineStr">
        <is>
          <t>Banco egreso no Flexxus</t>
        </is>
      </c>
      <c r="C437" s="8" t="inlineStr">
        <is>
          <t>Anticipo Ganancias Ley 25.413 débitos</t>
        </is>
      </c>
      <c r="D437" s="9" t="n">
        <v>27.41</v>
      </c>
      <c r="E437" s="8" t="inlineStr">
        <is>
          <t>ABIERTO_NUEVO</t>
        </is>
      </c>
      <c r="F437" s="8" t="inlineStr">
        <is>
          <t>Banco / impuesto / gasto</t>
        </is>
      </c>
      <c r="G437" s="8" t="inlineStr">
        <is>
          <t>Copiar en Flexxus: Tipo=MB-EXT | Movimiento=GRAVAMEN LEY 25.413 S/DEB | Monto=27,41 | Fecha: 23/04/2026</t>
        </is>
      </c>
    </row>
    <row r="438">
      <c r="A438" s="8" t="inlineStr">
        <is>
          <t>Administración/Banco</t>
        </is>
      </c>
      <c r="B438" s="8" t="inlineStr">
        <is>
          <t>Banco egreso no Flexxus</t>
        </is>
      </c>
      <c r="C438" s="8" t="inlineStr">
        <is>
          <t>Anticipo Ganancias Ley 25.413 débitos</t>
        </is>
      </c>
      <c r="D438" s="9" t="n">
        <v>6.2</v>
      </c>
      <c r="E438" s="8" t="inlineStr">
        <is>
          <t>ABIERTO_NUEVO</t>
        </is>
      </c>
      <c r="F438" s="8" t="inlineStr">
        <is>
          <t>Banco / impuesto / gasto</t>
        </is>
      </c>
      <c r="G438" s="8" t="inlineStr">
        <is>
          <t>Copiar en Flexxus: Tipo=MB-EXT | Movimiento=GRAVAMEN LEY 25.413 S/DEB | Monto=6,20 | Fecha: 23/04/2026</t>
        </is>
      </c>
    </row>
    <row r="439">
      <c r="A439" s="8" t="inlineStr">
        <is>
          <t>Administración/Banco</t>
        </is>
      </c>
      <c r="B439" s="8" t="inlineStr">
        <is>
          <t>Banco egreso no Flexxus</t>
        </is>
      </c>
      <c r="C439" s="8" t="inlineStr">
        <is>
          <t>Anticipo Ganancias Ley 25.413 débitos</t>
        </is>
      </c>
      <c r="D439" s="9" t="n">
        <v>11.39</v>
      </c>
      <c r="E439" s="8" t="inlineStr">
        <is>
          <t>ABIERTO_NUEVO</t>
        </is>
      </c>
      <c r="F439" s="8" t="inlineStr">
        <is>
          <t>Banco / impuesto / gasto</t>
        </is>
      </c>
      <c r="G439" s="8" t="inlineStr">
        <is>
          <t>Copiar en Flexxus: Tipo=MB-EXT | Movimiento=GRAVAMEN LEY 25.413 S/DEB | Monto=11,39 | Fecha: 23/04/2026</t>
        </is>
      </c>
    </row>
    <row r="440">
      <c r="A440" s="8" t="inlineStr">
        <is>
          <t>Administración/Banco</t>
        </is>
      </c>
      <c r="B440" s="8" t="inlineStr">
        <is>
          <t>Banco egreso no Flexxus</t>
        </is>
      </c>
      <c r="C440" s="8" t="inlineStr">
        <is>
          <t>Anticipo Ganancias Ley 25.413 débitos</t>
        </is>
      </c>
      <c r="D440" s="9" t="n">
        <v>26.32</v>
      </c>
      <c r="E440" s="8" t="inlineStr">
        <is>
          <t>ABIERTO_NUEVO</t>
        </is>
      </c>
      <c r="F440" s="8" t="inlineStr">
        <is>
          <t>Banco / impuesto / gasto</t>
        </is>
      </c>
      <c r="G440" s="8" t="inlineStr">
        <is>
          <t>Copiar en Flexxus: Tipo=MB-EXT | Movimiento=GRAVAMEN LEY 25.413 S/DEB | Monto=26,32 | Fecha: 23/04/2026</t>
        </is>
      </c>
    </row>
    <row r="441">
      <c r="A441" s="8" t="inlineStr">
        <is>
          <t>Administración/Banco</t>
        </is>
      </c>
      <c r="B441" s="8" t="inlineStr">
        <is>
          <t>Banco egreso no Flexxus</t>
        </is>
      </c>
      <c r="C441" s="8" t="inlineStr">
        <is>
          <t>Anticipo Ganancias Ley 25.413 débitos</t>
        </is>
      </c>
      <c r="D441" s="9" t="n">
        <v>13.93</v>
      </c>
      <c r="E441" s="8" t="inlineStr">
        <is>
          <t>ABIERTO_NUEVO</t>
        </is>
      </c>
      <c r="F441" s="8" t="inlineStr">
        <is>
          <t>Banco / impuesto / gasto</t>
        </is>
      </c>
      <c r="G441" s="8" t="inlineStr">
        <is>
          <t>Copiar en Flexxus: Tipo=MB-EXT | Movimiento=GRAVAMEN LEY 25.413 S/DEB | Monto=13,93 | Fecha: 23/04/2026</t>
        </is>
      </c>
    </row>
    <row r="442">
      <c r="A442" s="8" t="inlineStr">
        <is>
          <t>Administración/Banco</t>
        </is>
      </c>
      <c r="B442" s="8" t="inlineStr">
        <is>
          <t>Banco egreso no Flexxus</t>
        </is>
      </c>
      <c r="C442" s="8" t="inlineStr">
        <is>
          <t>Anticipo Ganancias Ley 25.413 débitos</t>
        </is>
      </c>
      <c r="D442" s="9" t="n">
        <v>50.21</v>
      </c>
      <c r="E442" s="8" t="inlineStr">
        <is>
          <t>ABIERTO_NUEVO</t>
        </is>
      </c>
      <c r="F442" s="8" t="inlineStr">
        <is>
          <t>Banco / impuesto / gasto</t>
        </is>
      </c>
      <c r="G442" s="8" t="inlineStr">
        <is>
          <t>Copiar en Flexxus: Tipo=MB-EXT | Movimiento=GRAVAMEN LEY 25.413 S/DEB | Monto=50,21 | Fecha: 23/04/2026</t>
        </is>
      </c>
    </row>
    <row r="443">
      <c r="A443" s="8" t="inlineStr">
        <is>
          <t>Administración/Banco</t>
        </is>
      </c>
      <c r="B443" s="8" t="inlineStr">
        <is>
          <t>Banco egreso no Flexxus</t>
        </is>
      </c>
      <c r="C443" s="8" t="inlineStr">
        <is>
          <t>Anticipo Ganancias Ley 25.413 débitos</t>
        </is>
      </c>
      <c r="D443" s="9" t="n">
        <v>41.74</v>
      </c>
      <c r="E443" s="8" t="inlineStr">
        <is>
          <t>ABIERTO_NUEVO</t>
        </is>
      </c>
      <c r="F443" s="8" t="inlineStr">
        <is>
          <t>Banco / impuesto / gasto</t>
        </is>
      </c>
      <c r="G443" s="8" t="inlineStr">
        <is>
          <t>Copiar en Flexxus: Tipo=MB-EXT | Movimiento=GRAVAMEN LEY 25.413 S/DEB | Monto=41,74 | Fecha: 23/04/2026</t>
        </is>
      </c>
    </row>
    <row r="444">
      <c r="A444" s="8" t="inlineStr">
        <is>
          <t>Administración/Banco</t>
        </is>
      </c>
      <c r="B444" s="8" t="inlineStr">
        <is>
          <t>Banco egreso no Flexxus</t>
        </is>
      </c>
      <c r="C444" s="8" t="inlineStr">
        <is>
          <t>Anticipo Ganancias Ley 25.413 débitos</t>
        </is>
      </c>
      <c r="D444" s="9" t="n">
        <v>2.59</v>
      </c>
      <c r="E444" s="8" t="inlineStr">
        <is>
          <t>ABIERTO_NUEVO</t>
        </is>
      </c>
      <c r="F444" s="8" t="inlineStr">
        <is>
          <t>Banco / impuesto / gasto</t>
        </is>
      </c>
      <c r="G444" s="8" t="inlineStr">
        <is>
          <t>Copiar en Flexxus: Tipo=MB-EXT | Movimiento=GRAVAMEN LEY 25.413 S/DEB | Monto=2,59 | Fecha: 23/04/2026</t>
        </is>
      </c>
    </row>
    <row r="445">
      <c r="A445" s="8" t="inlineStr">
        <is>
          <t>Administración/Banco</t>
        </is>
      </c>
      <c r="B445" s="8" t="inlineStr">
        <is>
          <t>Banco egreso no Flexxus</t>
        </is>
      </c>
      <c r="C445" s="8" t="inlineStr">
        <is>
          <t>Anticipo Ganancias Ley 25.413 débitos</t>
        </is>
      </c>
      <c r="D445" s="9" t="n">
        <v>7.2</v>
      </c>
      <c r="E445" s="8" t="inlineStr">
        <is>
          <t>ABIERTO_NUEVO</t>
        </is>
      </c>
      <c r="F445" s="8" t="inlineStr">
        <is>
          <t>Banco / impuesto / gasto</t>
        </is>
      </c>
      <c r="G445" s="8" t="inlineStr">
        <is>
          <t>Copiar en Flexxus: Tipo=MB-EXT | Movimiento=GRAVAMEN LEY 25.413 S/DEB | Monto=7,20 | Fecha: 23/04/2026</t>
        </is>
      </c>
    </row>
    <row r="446">
      <c r="A446" s="8" t="inlineStr">
        <is>
          <t>Administración/Banco</t>
        </is>
      </c>
      <c r="B446" s="8" t="inlineStr">
        <is>
          <t>Banco egreso no Flexxus</t>
        </is>
      </c>
      <c r="C446" s="8" t="inlineStr">
        <is>
          <t>Anticipo Ganancias Ley 25.413 débitos</t>
        </is>
      </c>
      <c r="D446" s="9" t="n">
        <v>10.2</v>
      </c>
      <c r="E446" s="8" t="inlineStr">
        <is>
          <t>ABIERTO_NUEVO</t>
        </is>
      </c>
      <c r="F446" s="8" t="inlineStr">
        <is>
          <t>Banco / impuesto / gasto</t>
        </is>
      </c>
      <c r="G446" s="8" t="inlineStr">
        <is>
          <t>Copiar en Flexxus: Tipo=MB-EXT | Movimiento=GRAVAMEN LEY 25.413 S/DEB | Monto=10,20 | Fecha: 23/04/2026</t>
        </is>
      </c>
    </row>
    <row r="447">
      <c r="A447" s="8" t="inlineStr">
        <is>
          <t>Administración/Banco</t>
        </is>
      </c>
      <c r="B447" s="8" t="inlineStr">
        <is>
          <t>Banco egreso no Flexxus</t>
        </is>
      </c>
      <c r="C447" s="8" t="inlineStr">
        <is>
          <t>Anticipo Ganancias Ley 25.413 débitos</t>
        </is>
      </c>
      <c r="D447" s="9" t="n">
        <v>4.94</v>
      </c>
      <c r="E447" s="8" t="inlineStr">
        <is>
          <t>ABIERTO_NUEVO</t>
        </is>
      </c>
      <c r="F447" s="8" t="inlineStr">
        <is>
          <t>Banco / impuesto / gasto</t>
        </is>
      </c>
      <c r="G447" s="8" t="inlineStr">
        <is>
          <t>Copiar en Flexxus: Tipo=MB-EXT | Movimiento=GRAVAMEN LEY 25.413 S/DEB | Monto=4,94 | Fecha: 23/04/2026</t>
        </is>
      </c>
    </row>
    <row r="448">
      <c r="A448" s="8" t="inlineStr">
        <is>
          <t>Administración/Banco</t>
        </is>
      </c>
      <c r="B448" s="8" t="inlineStr">
        <is>
          <t>Banco egreso no Flexxus</t>
        </is>
      </c>
      <c r="C448" s="8" t="inlineStr">
        <is>
          <t>Anticipo Ganancias Ley 25.413 débitos</t>
        </is>
      </c>
      <c r="D448" s="9" t="n">
        <v>0.68</v>
      </c>
      <c r="E448" s="8" t="inlineStr">
        <is>
          <t>ABIERTO_NUEVO</t>
        </is>
      </c>
      <c r="F448" s="8" t="inlineStr">
        <is>
          <t>Banco / impuesto / gasto</t>
        </is>
      </c>
      <c r="G448" s="8" t="inlineStr">
        <is>
          <t>Copiar en Flexxus: Tipo=MB-EXT | Movimiento=GRAVAMEN LEY 25.413 S/DEB | Monto=0,68 | Fecha: 23/04/2026</t>
        </is>
      </c>
    </row>
    <row r="449">
      <c r="A449" s="8" t="inlineStr">
        <is>
          <t>Administración/Banco</t>
        </is>
      </c>
      <c r="B449" s="8" t="inlineStr">
        <is>
          <t>Banco egreso no Flexxus</t>
        </is>
      </c>
      <c r="C449" s="8" t="inlineStr">
        <is>
          <t>Anticipo Ganancias Ley 25.413 débitos</t>
        </is>
      </c>
      <c r="D449" s="9" t="n">
        <v>3.84</v>
      </c>
      <c r="E449" s="8" t="inlineStr">
        <is>
          <t>ABIERTO_NUEVO</t>
        </is>
      </c>
      <c r="F449" s="8" t="inlineStr">
        <is>
          <t>Banco / impuesto / gasto</t>
        </is>
      </c>
      <c r="G449" s="8" t="inlineStr">
        <is>
          <t>Copiar en Flexxus: Tipo=MB-EXT | Movimiento=GRAVAMEN LEY 25.413 S/DEB | Monto=3,84 | Fecha: 23/04/2026</t>
        </is>
      </c>
    </row>
    <row r="450">
      <c r="A450" s="8" t="inlineStr">
        <is>
          <t>Administración/Banco</t>
        </is>
      </c>
      <c r="B450" s="8" t="inlineStr">
        <is>
          <t>Banco egreso no Flexxus</t>
        </is>
      </c>
      <c r="C450" s="8" t="inlineStr">
        <is>
          <t>Anticipo Ganancias Ley 25.413 débitos</t>
        </is>
      </c>
      <c r="D450" s="9" t="n">
        <v>1.3</v>
      </c>
      <c r="E450" s="8" t="inlineStr">
        <is>
          <t>ABIERTO_NUEVO</t>
        </is>
      </c>
      <c r="F450" s="8" t="inlineStr">
        <is>
          <t>Banco / impuesto / gasto</t>
        </is>
      </c>
      <c r="G450" s="8" t="inlineStr">
        <is>
          <t>Copiar en Flexxus: Tipo=MB-EXT | Movimiento=GRAVAMEN LEY 25.413 S/DEB | Monto=1,30 | Fecha: 23/04/2026</t>
        </is>
      </c>
    </row>
    <row r="451">
      <c r="A451" s="8" t="inlineStr">
        <is>
          <t>Administración/Banco</t>
        </is>
      </c>
      <c r="B451" s="8" t="inlineStr">
        <is>
          <t>Banco egreso no Flexxus</t>
        </is>
      </c>
      <c r="C451" s="8" t="inlineStr">
        <is>
          <t>Anticipo Ganancias Ley 25.413 débitos</t>
        </is>
      </c>
      <c r="D451" s="9" t="n">
        <v>2.05</v>
      </c>
      <c r="E451" s="8" t="inlineStr">
        <is>
          <t>ABIERTO_NUEVO</t>
        </is>
      </c>
      <c r="F451" s="8" t="inlineStr">
        <is>
          <t>Banco / impuesto / gasto</t>
        </is>
      </c>
      <c r="G451" s="8" t="inlineStr">
        <is>
          <t>Copiar en Flexxus: Tipo=MB-EXT | Movimiento=GRAVAMEN LEY 25.413 S/DEB | Monto=2,05 | Fecha: 23/04/2026</t>
        </is>
      </c>
    </row>
    <row r="452">
      <c r="A452" s="8" t="inlineStr">
        <is>
          <t>Administración/Banco</t>
        </is>
      </c>
      <c r="B452" s="8" t="inlineStr">
        <is>
          <t>Banco egreso no Flexxus</t>
        </is>
      </c>
      <c r="C452" s="8" t="inlineStr">
        <is>
          <t>Anticipo Ganancias Ley 25.413 débitos</t>
        </is>
      </c>
      <c r="D452" s="9" t="n">
        <v>0.68</v>
      </c>
      <c r="E452" s="8" t="inlineStr">
        <is>
          <t>ABIERTO_NUEVO</t>
        </is>
      </c>
      <c r="F452" s="8" t="inlineStr">
        <is>
          <t>Banco / impuesto / gasto</t>
        </is>
      </c>
      <c r="G452" s="8" t="inlineStr">
        <is>
          <t>Copiar en Flexxus: Tipo=MB-EXT | Movimiento=GRAVAMEN LEY 25.413 S/DEB | Monto=0,68 | Fecha: 23/04/2026</t>
        </is>
      </c>
    </row>
    <row r="453">
      <c r="A453" s="8" t="inlineStr">
        <is>
          <t>Administración/Banco</t>
        </is>
      </c>
      <c r="B453" s="8" t="inlineStr">
        <is>
          <t>Banco egreso no Flexxus</t>
        </is>
      </c>
      <c r="C453" s="8" t="inlineStr">
        <is>
          <t>Anticipo Ganancias Ley 25.413 débitos</t>
        </is>
      </c>
      <c r="D453" s="9" t="n">
        <v>2</v>
      </c>
      <c r="E453" s="8" t="inlineStr">
        <is>
          <t>ABIERTO_NUEVO</t>
        </is>
      </c>
      <c r="F453" s="8" t="inlineStr">
        <is>
          <t>Banco / impuesto / gasto</t>
        </is>
      </c>
      <c r="G453" s="8" t="inlineStr">
        <is>
          <t>Copiar en Flexxus: Tipo=MB-EXT | Movimiento=GRAVAMEN LEY 25.413 S/DEB | Monto=2,00 | Fecha: 23/04/2026</t>
        </is>
      </c>
    </row>
    <row r="454">
      <c r="A454" s="8" t="inlineStr">
        <is>
          <t>Administración/Banco</t>
        </is>
      </c>
      <c r="B454" s="8" t="inlineStr">
        <is>
          <t>Banco egreso no Flexxus</t>
        </is>
      </c>
      <c r="C454" s="8" t="inlineStr">
        <is>
          <t>Anticipo Ganancias Ley 25.413 débitos</t>
        </is>
      </c>
      <c r="D454" s="9" t="n">
        <v>0.95</v>
      </c>
      <c r="E454" s="8" t="inlineStr">
        <is>
          <t>ABIERTO_NUEVO</t>
        </is>
      </c>
      <c r="F454" s="8" t="inlineStr">
        <is>
          <t>Banco / impuesto / gasto</t>
        </is>
      </c>
      <c r="G454" s="8" t="inlineStr">
        <is>
          <t>Copiar en Flexxus: Tipo=MB-EXT | Movimiento=GRAVAMEN LEY 25.413 S/DEB | Monto=0,95 | Fecha: 23/04/2026</t>
        </is>
      </c>
    </row>
    <row r="455">
      <c r="A455" s="8" t="inlineStr">
        <is>
          <t>Administración/Banco</t>
        </is>
      </c>
      <c r="B455" s="8" t="inlineStr">
        <is>
          <t>Banco egreso no Flexxus</t>
        </is>
      </c>
      <c r="C455" s="8" t="inlineStr">
        <is>
          <t>Anticipo Ganancias Ley 25.413 débitos</t>
        </is>
      </c>
      <c r="D455" s="9" t="n">
        <v>1.08</v>
      </c>
      <c r="E455" s="8" t="inlineStr">
        <is>
          <t>ABIERTO_NUEVO</t>
        </is>
      </c>
      <c r="F455" s="8" t="inlineStr">
        <is>
          <t>Banco / impuesto / gasto</t>
        </is>
      </c>
      <c r="G455" s="8" t="inlineStr">
        <is>
          <t>Copiar en Flexxus: Tipo=MB-EXT | Movimiento=GRAVAMEN LEY 25.413 S/DEB | Monto=1,08 | Fecha: 23/04/2026</t>
        </is>
      </c>
    </row>
    <row r="456">
      <c r="A456" s="8" t="inlineStr">
        <is>
          <t>Administración/Banco</t>
        </is>
      </c>
      <c r="B456" s="8" t="inlineStr">
        <is>
          <t>Banco egreso no Flexxus</t>
        </is>
      </c>
      <c r="C456" s="8" t="inlineStr">
        <is>
          <t>Anticipo Ganancias Ley 25.413 débitos</t>
        </is>
      </c>
      <c r="D456" s="9" t="n">
        <v>1.46</v>
      </c>
      <c r="E456" s="8" t="inlineStr">
        <is>
          <t>ABIERTO_NUEVO</t>
        </is>
      </c>
      <c r="F456" s="8" t="inlineStr">
        <is>
          <t>Banco / impuesto / gasto</t>
        </is>
      </c>
      <c r="G456" s="8" t="inlineStr">
        <is>
          <t>Copiar en Flexxus: Tipo=MB-EXT | Movimiento=GRAVAMEN LEY 25.413 S/DEB | Monto=1,46 | Fecha: 23/04/2026</t>
        </is>
      </c>
    </row>
    <row r="457">
      <c r="A457" s="8" t="inlineStr">
        <is>
          <t>Administración/Banco</t>
        </is>
      </c>
      <c r="B457" s="8" t="inlineStr">
        <is>
          <t>Banco egreso no Flexxus</t>
        </is>
      </c>
      <c r="C457" s="8" t="inlineStr">
        <is>
          <t>Anticipo Ganancias Ley 25.413 débitos</t>
        </is>
      </c>
      <c r="D457" s="9" t="n">
        <v>9.24</v>
      </c>
      <c r="E457" s="8" t="inlineStr">
        <is>
          <t>ABIERTO_NUEVO</t>
        </is>
      </c>
      <c r="F457" s="8" t="inlineStr">
        <is>
          <t>Banco / impuesto / gasto</t>
        </is>
      </c>
      <c r="G457" s="8" t="inlineStr">
        <is>
          <t>Copiar en Flexxus: Tipo=MB-EXT | Movimiento=GRAVAMEN LEY 25.413 S/DEB | Monto=9,24 | Fecha: 23/04/2026</t>
        </is>
      </c>
    </row>
    <row r="458">
      <c r="A458" s="8" t="inlineStr">
        <is>
          <t>Administración/Banco</t>
        </is>
      </c>
      <c r="B458" s="8" t="inlineStr">
        <is>
          <t>Banco egreso no Flexxus</t>
        </is>
      </c>
      <c r="C458" s="8" t="inlineStr">
        <is>
          <t>Anticipo Ganancias Ley 25.413 débitos</t>
        </is>
      </c>
      <c r="D458" s="9" t="n">
        <v>1.2</v>
      </c>
      <c r="E458" s="8" t="inlineStr">
        <is>
          <t>ABIERTO_NUEVO</t>
        </is>
      </c>
      <c r="F458" s="8" t="inlineStr">
        <is>
          <t>Banco / impuesto / gasto</t>
        </is>
      </c>
      <c r="G458" s="8" t="inlineStr">
        <is>
          <t>Copiar en Flexxus: Tipo=MB-EXT | Movimiento=GRAVAMEN LEY 25.413 S/DEB | Monto=1,20 | Fecha: 23/04/2026</t>
        </is>
      </c>
    </row>
    <row r="459">
      <c r="A459" s="8" t="inlineStr">
        <is>
          <t>Administración/Banco</t>
        </is>
      </c>
      <c r="B459" s="8" t="inlineStr">
        <is>
          <t>Banco egreso no Flexxus</t>
        </is>
      </c>
      <c r="C459" s="8" t="inlineStr">
        <is>
          <t>Anticipo Ganancias Ley 25.413 débitos</t>
        </is>
      </c>
      <c r="D459" s="9" t="n">
        <v>5.74</v>
      </c>
      <c r="E459" s="8" t="inlineStr">
        <is>
          <t>ABIERTO_NUEVO</t>
        </is>
      </c>
      <c r="F459" s="8" t="inlineStr">
        <is>
          <t>Banco / impuesto / gasto</t>
        </is>
      </c>
      <c r="G459" s="8" t="inlineStr">
        <is>
          <t>Copiar en Flexxus: Tipo=MB-EXT | Movimiento=GRAVAMEN LEY 25.413 S/DEB | Monto=5,74 | Fecha: 23/04/2026</t>
        </is>
      </c>
    </row>
    <row r="460">
      <c r="A460" s="8" t="inlineStr">
        <is>
          <t>Administración/Banco</t>
        </is>
      </c>
      <c r="B460" s="8" t="inlineStr">
        <is>
          <t>Banco egreso no Flexxus</t>
        </is>
      </c>
      <c r="C460" s="8" t="inlineStr">
        <is>
          <t>Anticipo Ganancias Ley 25.413 débitos</t>
        </is>
      </c>
      <c r="D460" s="9" t="n">
        <v>4.03</v>
      </c>
      <c r="E460" s="8" t="inlineStr">
        <is>
          <t>ABIERTO_NUEVO</t>
        </is>
      </c>
      <c r="F460" s="8" t="inlineStr">
        <is>
          <t>Banco / impuesto / gasto</t>
        </is>
      </c>
      <c r="G460" s="8" t="inlineStr">
        <is>
          <t>Copiar en Flexxus: Tipo=MB-EXT | Movimiento=GRAVAMEN LEY 25.413 S/DEB | Monto=4,03 | Fecha: 22/04/2026</t>
        </is>
      </c>
    </row>
    <row r="461">
      <c r="A461" s="8" t="inlineStr">
        <is>
          <t>Administración/Banco</t>
        </is>
      </c>
      <c r="B461" s="8" t="inlineStr">
        <is>
          <t>Banco egreso no Flexxus</t>
        </is>
      </c>
      <c r="C461" s="8" t="inlineStr">
        <is>
          <t>Anticipo Ganancias Ley 25.413 débitos</t>
        </is>
      </c>
      <c r="D461" s="9" t="n">
        <v>5.44</v>
      </c>
      <c r="E461" s="8" t="inlineStr">
        <is>
          <t>ABIERTO_NUEVO</t>
        </is>
      </c>
      <c r="F461" s="8" t="inlineStr">
        <is>
          <t>Banco / impuesto / gasto</t>
        </is>
      </c>
      <c r="G461" s="8" t="inlineStr">
        <is>
          <t>Copiar en Flexxus: Tipo=MB-EXT | Movimiento=GRAVAMEN LEY 25.413 S/DEB | Monto=5,44 | Fecha: 22/04/2026</t>
        </is>
      </c>
    </row>
    <row r="462">
      <c r="A462" s="8" t="inlineStr">
        <is>
          <t>Administración/Banco</t>
        </is>
      </c>
      <c r="B462" s="8" t="inlineStr">
        <is>
          <t>Banco egreso no Flexxus</t>
        </is>
      </c>
      <c r="C462" s="8" t="inlineStr">
        <is>
          <t>Anticipo Ganancias Ley 25.413 débitos</t>
        </is>
      </c>
      <c r="D462" s="9" t="n">
        <v>1.37</v>
      </c>
      <c r="E462" s="8" t="inlineStr">
        <is>
          <t>ABIERTO_NUEVO</t>
        </is>
      </c>
      <c r="F462" s="8" t="inlineStr">
        <is>
          <t>Banco / impuesto / gasto</t>
        </is>
      </c>
      <c r="G462" s="8" t="inlineStr">
        <is>
          <t>Copiar en Flexxus: Tipo=MB-EXT | Movimiento=GRAVAMEN LEY 25.413 S/DEB | Monto=1,37 | Fecha: 22/04/2026</t>
        </is>
      </c>
    </row>
    <row r="463">
      <c r="A463" s="8" t="inlineStr">
        <is>
          <t>Administración/Banco</t>
        </is>
      </c>
      <c r="B463" s="8" t="inlineStr">
        <is>
          <t>Banco egreso no Flexxus</t>
        </is>
      </c>
      <c r="C463" s="8" t="inlineStr">
        <is>
          <t>Anticipo Ganancias Ley 25.413 débitos</t>
        </is>
      </c>
      <c r="D463" s="9" t="n">
        <v>1.53</v>
      </c>
      <c r="E463" s="8" t="inlineStr">
        <is>
          <t>ABIERTO_NUEVO</t>
        </is>
      </c>
      <c r="F463" s="8" t="inlineStr">
        <is>
          <t>Banco / impuesto / gasto</t>
        </is>
      </c>
      <c r="G463" s="8" t="inlineStr">
        <is>
          <t>Copiar en Flexxus: Tipo=MB-EXT | Movimiento=GRAVAMEN LEY 25.413 S/DEB | Monto=1,53 | Fecha: 22/04/2026</t>
        </is>
      </c>
    </row>
    <row r="464">
      <c r="A464" s="8" t="inlineStr">
        <is>
          <t>Administración/Banco</t>
        </is>
      </c>
      <c r="B464" s="8" t="inlineStr">
        <is>
          <t>Banco egreso no Flexxus</t>
        </is>
      </c>
      <c r="C464" s="8" t="inlineStr">
        <is>
          <t>Anticipo Ganancias Ley 25.413 débitos</t>
        </is>
      </c>
      <c r="D464" s="9" t="n">
        <v>0.53</v>
      </c>
      <c r="E464" s="8" t="inlineStr">
        <is>
          <t>ABIERTO_NUEVO</t>
        </is>
      </c>
      <c r="F464" s="8" t="inlineStr">
        <is>
          <t>Banco / impuesto / gasto</t>
        </is>
      </c>
      <c r="G464" s="8" t="inlineStr">
        <is>
          <t>Copiar en Flexxus: Tipo=MB-EXT | Movimiento=GRAVAMEN LEY 25.413 S/DEB | Monto=0,53 | Fecha: 22/04/2026</t>
        </is>
      </c>
    </row>
    <row r="465">
      <c r="A465" s="8" t="inlineStr">
        <is>
          <t>Administración/Banco</t>
        </is>
      </c>
      <c r="B465" s="8" t="inlineStr">
        <is>
          <t>Banco egreso no Flexxus</t>
        </is>
      </c>
      <c r="C465" s="8" t="inlineStr">
        <is>
          <t>Anticipo Ganancias Ley 25.413 débitos</t>
        </is>
      </c>
      <c r="D465" s="9" t="n">
        <v>0.8</v>
      </c>
      <c r="E465" s="8" t="inlineStr">
        <is>
          <t>ABIERTO_NUEVO</t>
        </is>
      </c>
      <c r="F465" s="8" t="inlineStr">
        <is>
          <t>Banco / impuesto / gasto</t>
        </is>
      </c>
      <c r="G465" s="8" t="inlineStr">
        <is>
          <t>Copiar en Flexxus: Tipo=MB-EXT | Movimiento=GRAVAMEN LEY 25.413 S/DEB | Monto=0,80 | Fecha: 22/04/2026</t>
        </is>
      </c>
    </row>
    <row r="466">
      <c r="A466" s="8" t="inlineStr">
        <is>
          <t>Administración/Banco</t>
        </is>
      </c>
      <c r="B466" s="8" t="inlineStr">
        <is>
          <t>Banco egreso no Flexxus</t>
        </is>
      </c>
      <c r="C466" s="8" t="inlineStr">
        <is>
          <t>Anticipo Ganancias Ley 25.413 débitos</t>
        </is>
      </c>
      <c r="D466" s="9" t="n">
        <v>0.68</v>
      </c>
      <c r="E466" s="8" t="inlineStr">
        <is>
          <t>ABIERTO_NUEVO</t>
        </is>
      </c>
      <c r="F466" s="8" t="inlineStr">
        <is>
          <t>Banco / impuesto / gasto</t>
        </is>
      </c>
      <c r="G466" s="8" t="inlineStr">
        <is>
          <t>Copiar en Flexxus: Tipo=MB-EXT | Movimiento=GRAVAMEN LEY 25.413 S/DEB | Monto=0,68 | Fecha: 22/04/2026</t>
        </is>
      </c>
    </row>
    <row r="467">
      <c r="A467" s="8" t="inlineStr">
        <is>
          <t>Administración/Banco</t>
        </is>
      </c>
      <c r="B467" s="8" t="inlineStr">
        <is>
          <t>Banco egreso no Flexxus</t>
        </is>
      </c>
      <c r="C467" s="8" t="inlineStr">
        <is>
          <t>Anticipo Ganancias Ley 25.413 débitos</t>
        </is>
      </c>
      <c r="D467" s="9" t="n">
        <v>0.8</v>
      </c>
      <c r="E467" s="8" t="inlineStr">
        <is>
          <t>ABIERTO_NUEVO</t>
        </is>
      </c>
      <c r="F467" s="8" t="inlineStr">
        <is>
          <t>Banco / impuesto / gasto</t>
        </is>
      </c>
      <c r="G467" s="8" t="inlineStr">
        <is>
          <t>Copiar en Flexxus: Tipo=MB-EXT | Movimiento=GRAVAMEN LEY 25.413 S/DEB | Monto=0,80 | Fecha: 22/04/2026</t>
        </is>
      </c>
    </row>
    <row r="468">
      <c r="A468" s="8" t="inlineStr">
        <is>
          <t>Administración/Banco</t>
        </is>
      </c>
      <c r="B468" s="8" t="inlineStr">
        <is>
          <t>Banco egreso no Flexxus</t>
        </is>
      </c>
      <c r="C468" s="8" t="inlineStr">
        <is>
          <t>Anticipo Ganancias Ley 25.413 débitos</t>
        </is>
      </c>
      <c r="D468" s="9" t="n">
        <v>6.04</v>
      </c>
      <c r="E468" s="8" t="inlineStr">
        <is>
          <t>ABIERTO_NUEVO</t>
        </is>
      </c>
      <c r="F468" s="8" t="inlineStr">
        <is>
          <t>Banco / impuesto / gasto</t>
        </is>
      </c>
      <c r="G468" s="8" t="inlineStr">
        <is>
          <t>Copiar en Flexxus: Tipo=MB-EXT | Movimiento=GRAVAMEN LEY 25.413 S/DEB | Monto=6,04 | Fecha: 22/04/2026</t>
        </is>
      </c>
    </row>
    <row r="469">
      <c r="A469" s="8" t="inlineStr">
        <is>
          <t>Administración/Banco</t>
        </is>
      </c>
      <c r="B469" s="8" t="inlineStr">
        <is>
          <t>Banco egreso no Flexxus</t>
        </is>
      </c>
      <c r="C469" s="8" t="inlineStr">
        <is>
          <t>Anticipo Ganancias Ley 25.413 débitos</t>
        </is>
      </c>
      <c r="D469" s="9" t="n">
        <v>4.34</v>
      </c>
      <c r="E469" s="8" t="inlineStr">
        <is>
          <t>ABIERTO_NUEVO</t>
        </is>
      </c>
      <c r="F469" s="8" t="inlineStr">
        <is>
          <t>Banco / impuesto / gasto</t>
        </is>
      </c>
      <c r="G469" s="8" t="inlineStr">
        <is>
          <t>Copiar en Flexxus: Tipo=MB-EXT | Movimiento=GRAVAMEN LEY 25.413 S/DEB | Monto=4,34 | Fecha: 22/04/2026</t>
        </is>
      </c>
    </row>
    <row r="470">
      <c r="A470" s="8" t="inlineStr">
        <is>
          <t>Administración/Banco</t>
        </is>
      </c>
      <c r="B470" s="8" t="inlineStr">
        <is>
          <t>Banco egreso no Flexxus</t>
        </is>
      </c>
      <c r="C470" s="8" t="inlineStr">
        <is>
          <t>Anticipo Ganancias Ley 25.413 débitos</t>
        </is>
      </c>
      <c r="D470" s="9" t="n">
        <v>1.13</v>
      </c>
      <c r="E470" s="8" t="inlineStr">
        <is>
          <t>ABIERTO_NUEVO</t>
        </is>
      </c>
      <c r="F470" s="8" t="inlineStr">
        <is>
          <t>Banco / impuesto / gasto</t>
        </is>
      </c>
      <c r="G470" s="8" t="inlineStr">
        <is>
          <t>Copiar en Flexxus: Tipo=MB-EXT | Movimiento=GRAVAMEN LEY 25.413 S/DEB | Monto=1,13 | Fecha: 22/04/2026</t>
        </is>
      </c>
    </row>
    <row r="471">
      <c r="A471" s="8" t="inlineStr">
        <is>
          <t>Administración/Banco</t>
        </is>
      </c>
      <c r="B471" s="8" t="inlineStr">
        <is>
          <t>Banco egreso no Flexxus</t>
        </is>
      </c>
      <c r="C471" s="8" t="inlineStr">
        <is>
          <t>Anticipo Ganancias Ley 25.413 débitos</t>
        </is>
      </c>
      <c r="D471" s="9" t="n">
        <v>3.16</v>
      </c>
      <c r="E471" s="8" t="inlineStr">
        <is>
          <t>ABIERTO_NUEVO</t>
        </is>
      </c>
      <c r="F471" s="8" t="inlineStr">
        <is>
          <t>Banco / impuesto / gasto</t>
        </is>
      </c>
      <c r="G471" s="8" t="inlineStr">
        <is>
          <t>Copiar en Flexxus: Tipo=MB-EXT | Movimiento=GRAVAMEN LEY 25.413 S/DEB | Monto=3,16 | Fecha: 22/04/2026</t>
        </is>
      </c>
    </row>
    <row r="472">
      <c r="A472" s="8" t="inlineStr">
        <is>
          <t>Administración/Banco</t>
        </is>
      </c>
      <c r="B472" s="8" t="inlineStr">
        <is>
          <t>Banco egreso no Flexxus</t>
        </is>
      </c>
      <c r="C472" s="8" t="inlineStr">
        <is>
          <t>Anticipo Ganancias Ley 25.413 débitos</t>
        </is>
      </c>
      <c r="D472" s="9" t="n">
        <v>12.65</v>
      </c>
      <c r="E472" s="8" t="inlineStr">
        <is>
          <t>ABIERTO_NUEVO</t>
        </is>
      </c>
      <c r="F472" s="8" t="inlineStr">
        <is>
          <t>Banco / impuesto / gasto</t>
        </is>
      </c>
      <c r="G472" s="8" t="inlineStr">
        <is>
          <t>Copiar en Flexxus: Tipo=MB-EXT | Movimiento=GRAVAMEN LEY 25.413 S/DEB | Monto=12,65 | Fecha: 22/04/2026</t>
        </is>
      </c>
    </row>
    <row r="473">
      <c r="A473" s="8" t="inlineStr">
        <is>
          <t>Administración/Banco</t>
        </is>
      </c>
      <c r="B473" s="8" t="inlineStr">
        <is>
          <t>Banco egreso no Flexxus</t>
        </is>
      </c>
      <c r="C473" s="8" t="inlineStr">
        <is>
          <t>Anticipo Ganancias Ley 25.413 débitos</t>
        </is>
      </c>
      <c r="D473" s="9" t="n">
        <v>4.21</v>
      </c>
      <c r="E473" s="8" t="inlineStr">
        <is>
          <t>ABIERTO_NUEVO</t>
        </is>
      </c>
      <c r="F473" s="8" t="inlineStr">
        <is>
          <t>Banco / impuesto / gasto</t>
        </is>
      </c>
      <c r="G473" s="8" t="inlineStr">
        <is>
          <t>Copiar en Flexxus: Tipo=MB-EXT | Movimiento=GRAVAMEN LEY 25.413 S/DEB | Monto=4,21 | Fecha: 22/04/2026</t>
        </is>
      </c>
    </row>
    <row r="474">
      <c r="A474" s="8" t="inlineStr">
        <is>
          <t>Administración/Banco</t>
        </is>
      </c>
      <c r="B474" s="8" t="inlineStr">
        <is>
          <t>Banco egreso no Flexxus</t>
        </is>
      </c>
      <c r="C474" s="8" t="inlineStr">
        <is>
          <t>Anticipo Ganancias Ley 25.413 débitos</t>
        </is>
      </c>
      <c r="D474" s="9" t="n">
        <v>1.63</v>
      </c>
      <c r="E474" s="8" t="inlineStr">
        <is>
          <t>ABIERTO_NUEVO</t>
        </is>
      </c>
      <c r="F474" s="8" t="inlineStr">
        <is>
          <t>Banco / impuesto / gasto</t>
        </is>
      </c>
      <c r="G474" s="8" t="inlineStr">
        <is>
          <t>Copiar en Flexxus: Tipo=MB-EXT | Movimiento=GRAVAMEN LEY 25.413 S/DEB | Monto=1,63 | Fecha: 22/04/2026</t>
        </is>
      </c>
    </row>
    <row r="475">
      <c r="A475" s="8" t="inlineStr">
        <is>
          <t>Administración/Banco</t>
        </is>
      </c>
      <c r="B475" s="8" t="inlineStr">
        <is>
          <t>Banco egreso no Flexxus</t>
        </is>
      </c>
      <c r="C475" s="8" t="inlineStr">
        <is>
          <t>Anticipo Ganancias Ley 25.413 débitos</t>
        </is>
      </c>
      <c r="D475" s="9" t="n">
        <v>5.45</v>
      </c>
      <c r="E475" s="8" t="inlineStr">
        <is>
          <t>ABIERTO_NUEVO</t>
        </is>
      </c>
      <c r="F475" s="8" t="inlineStr">
        <is>
          <t>Banco / impuesto / gasto</t>
        </is>
      </c>
      <c r="G475" s="8" t="inlineStr">
        <is>
          <t>Copiar en Flexxus: Tipo=MB-EXT | Movimiento=GRAVAMEN LEY 25.413 S/DEB | Monto=5,45 | Fecha: 22/04/2026</t>
        </is>
      </c>
    </row>
    <row r="476">
      <c r="A476" s="8" t="inlineStr">
        <is>
          <t>Administración/Banco</t>
        </is>
      </c>
      <c r="B476" s="8" t="inlineStr">
        <is>
          <t>Banco egreso no Flexxus</t>
        </is>
      </c>
      <c r="C476" s="8" t="inlineStr">
        <is>
          <t>Anticipo Ganancias Ley 25.413 débitos</t>
        </is>
      </c>
      <c r="D476" s="9" t="n">
        <v>3.53</v>
      </c>
      <c r="E476" s="8" t="inlineStr">
        <is>
          <t>ABIERTO_NUEVO</t>
        </is>
      </c>
      <c r="F476" s="8" t="inlineStr">
        <is>
          <t>Banco / impuesto / gasto</t>
        </is>
      </c>
      <c r="G476" s="8" t="inlineStr">
        <is>
          <t>Copiar en Flexxus: Tipo=MB-EXT | Movimiento=GRAVAMEN LEY 25.413 S/DEB | Monto=3,53 | Fecha: 22/04/2026</t>
        </is>
      </c>
    </row>
    <row r="477">
      <c r="A477" s="8" t="inlineStr">
        <is>
          <t>Administración/Banco</t>
        </is>
      </c>
      <c r="B477" s="8" t="inlineStr">
        <is>
          <t>Banco egreso no Flexxus</t>
        </is>
      </c>
      <c r="C477" s="8" t="inlineStr">
        <is>
          <t>Anticipo Ganancias Ley 25.413 débitos</t>
        </is>
      </c>
      <c r="D477" s="9" t="n">
        <v>0.92</v>
      </c>
      <c r="E477" s="8" t="inlineStr">
        <is>
          <t>ABIERTO_NUEVO</t>
        </is>
      </c>
      <c r="F477" s="8" t="inlineStr">
        <is>
          <t>Banco / impuesto / gasto</t>
        </is>
      </c>
      <c r="G477" s="8" t="inlineStr">
        <is>
          <t>Copiar en Flexxus: Tipo=MB-EXT | Movimiento=GRAVAMEN LEY 25.413 S/DEB | Monto=0,92 | Fecha: 22/04/2026</t>
        </is>
      </c>
    </row>
    <row r="478">
      <c r="A478" s="8" t="inlineStr">
        <is>
          <t>Administración/Banco</t>
        </is>
      </c>
      <c r="B478" s="8" t="inlineStr">
        <is>
          <t>Banco egreso no Flexxus</t>
        </is>
      </c>
      <c r="C478" s="8" t="inlineStr">
        <is>
          <t>Anticipo Ganancias Ley 25.413 débitos</t>
        </is>
      </c>
      <c r="D478" s="9" t="n">
        <v>1.96</v>
      </c>
      <c r="E478" s="8" t="inlineStr">
        <is>
          <t>ABIERTO_NUEVO</t>
        </is>
      </c>
      <c r="F478" s="8" t="inlineStr">
        <is>
          <t>Banco / impuesto / gasto</t>
        </is>
      </c>
      <c r="G478" s="8" t="inlineStr">
        <is>
          <t>Copiar en Flexxus: Tipo=MB-EXT | Movimiento=GRAVAMEN LEY 25.413 S/DEB | Monto=1,96 | Fecha: 22/04/2026</t>
        </is>
      </c>
    </row>
    <row r="479">
      <c r="A479" s="8" t="inlineStr">
        <is>
          <t>Administración/Banco</t>
        </is>
      </c>
      <c r="B479" s="8" t="inlineStr">
        <is>
          <t>Banco egreso no Flexxus</t>
        </is>
      </c>
      <c r="C479" s="8" t="inlineStr">
        <is>
          <t>Anticipo Ganancias Ley 25.413 débitos</t>
        </is>
      </c>
      <c r="D479" s="9" t="n">
        <v>0.74</v>
      </c>
      <c r="E479" s="8" t="inlineStr">
        <is>
          <t>ABIERTO_NUEVO</t>
        </is>
      </c>
      <c r="F479" s="8" t="inlineStr">
        <is>
          <t>Banco / impuesto / gasto</t>
        </is>
      </c>
      <c r="G479" s="8" t="inlineStr">
        <is>
          <t>Copiar en Flexxus: Tipo=MB-EXT | Movimiento=GRAVAMEN LEY 25.413 S/DEB | Monto=0,74 | Fecha: 22/04/2026</t>
        </is>
      </c>
    </row>
    <row r="480">
      <c r="A480" s="8" t="inlineStr">
        <is>
          <t>Administración/Banco</t>
        </is>
      </c>
      <c r="B480" s="8" t="inlineStr">
        <is>
          <t>Banco egreso no Flexxus</t>
        </is>
      </c>
      <c r="C480" s="8" t="inlineStr">
        <is>
          <t>Anticipo Ganancias Ley 25.413 débitos</t>
        </is>
      </c>
      <c r="D480" s="9" t="n">
        <v>2.27</v>
      </c>
      <c r="E480" s="8" t="inlineStr">
        <is>
          <t>ABIERTO_NUEVO</t>
        </is>
      </c>
      <c r="F480" s="8" t="inlineStr">
        <is>
          <t>Banco / impuesto / gasto</t>
        </is>
      </c>
      <c r="G480" s="8" t="inlineStr">
        <is>
          <t>Copiar en Flexxus: Tipo=MB-EXT | Movimiento=GRAVAMEN LEY 25.413 S/DEB | Monto=2,27 | Fecha: 22/04/2026</t>
        </is>
      </c>
    </row>
    <row r="481">
      <c r="A481" s="8" t="inlineStr">
        <is>
          <t>Administración/Banco</t>
        </is>
      </c>
      <c r="B481" s="8" t="inlineStr">
        <is>
          <t>Banco egreso no Flexxus</t>
        </is>
      </c>
      <c r="C481" s="8" t="inlineStr">
        <is>
          <t>Anticipo Ganancias Ley 25.413 débitos</t>
        </is>
      </c>
      <c r="D481" s="9" t="n">
        <v>1.78</v>
      </c>
      <c r="E481" s="8" t="inlineStr">
        <is>
          <t>ABIERTO_NUEVO</t>
        </is>
      </c>
      <c r="F481" s="8" t="inlineStr">
        <is>
          <t>Banco / impuesto / gasto</t>
        </is>
      </c>
      <c r="G481" s="8" t="inlineStr">
        <is>
          <t>Copiar en Flexxus: Tipo=MB-EXT | Movimiento=GRAVAMEN LEY 25.413 S/DEB | Monto=1,78 | Fecha: 22/04/2026</t>
        </is>
      </c>
    </row>
    <row r="482">
      <c r="A482" s="8" t="inlineStr">
        <is>
          <t>Administración/Banco</t>
        </is>
      </c>
      <c r="B482" s="8" t="inlineStr">
        <is>
          <t>Banco egreso no Flexxus</t>
        </is>
      </c>
      <c r="C482" s="8" t="inlineStr">
        <is>
          <t>Anticipo Ganancias Ley 25.413 débitos</t>
        </is>
      </c>
      <c r="D482" s="9" t="n">
        <v>7.46</v>
      </c>
      <c r="E482" s="8" t="inlineStr">
        <is>
          <t>ABIERTO_NUEVO</t>
        </is>
      </c>
      <c r="F482" s="8" t="inlineStr">
        <is>
          <t>Banco / impuesto / gasto</t>
        </is>
      </c>
      <c r="G482" s="8" t="inlineStr">
        <is>
          <t>Copiar en Flexxus: Tipo=MB-EXT | Movimiento=GRAVAMEN LEY 25.413 S/DEB | Monto=7,46 | Fecha: 22/04/2026</t>
        </is>
      </c>
    </row>
    <row r="483">
      <c r="A483" s="8" t="inlineStr">
        <is>
          <t>Administración/Banco</t>
        </is>
      </c>
      <c r="B483" s="8" t="inlineStr">
        <is>
          <t>Banco egreso no Flexxus</t>
        </is>
      </c>
      <c r="C483" s="8" t="inlineStr">
        <is>
          <t>Anticipo Ganancias Ley 25.413 débitos</t>
        </is>
      </c>
      <c r="D483" s="9" t="n">
        <v>11.7</v>
      </c>
      <c r="E483" s="8" t="inlineStr">
        <is>
          <t>ABIERTO_NUEVO</t>
        </is>
      </c>
      <c r="F483" s="8" t="inlineStr">
        <is>
          <t>Banco / impuesto / gasto</t>
        </is>
      </c>
      <c r="G483" s="8" t="inlineStr">
        <is>
          <t>Copiar en Flexxus: Tipo=MB-EXT | Movimiento=GRAVAMEN LEY 25.413 S/DEB | Monto=11,70 | Fecha: 22/04/2026</t>
        </is>
      </c>
    </row>
    <row r="484">
      <c r="A484" s="8" t="inlineStr">
        <is>
          <t>Administración/Banco</t>
        </is>
      </c>
      <c r="B484" s="8" t="inlineStr">
        <is>
          <t>Banco egreso no Flexxus</t>
        </is>
      </c>
      <c r="C484" s="8" t="inlineStr">
        <is>
          <t>Anticipo Ganancias Ley 25.413 débitos</t>
        </is>
      </c>
      <c r="D484" s="9" t="n">
        <v>17.63</v>
      </c>
      <c r="E484" s="8" t="inlineStr">
        <is>
          <t>ABIERTO_NUEVO</t>
        </is>
      </c>
      <c r="F484" s="8" t="inlineStr">
        <is>
          <t>Banco / impuesto / gasto</t>
        </is>
      </c>
      <c r="G484" s="8" t="inlineStr">
        <is>
          <t>Copiar en Flexxus: Tipo=MB-EXT | Movimiento=GRAVAMEN LEY 25.413 S/DEB | Monto=17,63 | Fecha: 22/04/2026</t>
        </is>
      </c>
    </row>
    <row r="485">
      <c r="A485" s="8" t="inlineStr">
        <is>
          <t>Administración/Banco</t>
        </is>
      </c>
      <c r="B485" s="8" t="inlineStr">
        <is>
          <t>Banco egreso no Flexxus</t>
        </is>
      </c>
      <c r="C485" s="8" t="inlineStr">
        <is>
          <t>Anticipo Ganancias Ley 25.413 débitos</t>
        </is>
      </c>
      <c r="D485" s="9" t="n">
        <v>1.44</v>
      </c>
      <c r="E485" s="8" t="inlineStr">
        <is>
          <t>ABIERTO_NUEVO</t>
        </is>
      </c>
      <c r="F485" s="8" t="inlineStr">
        <is>
          <t>Banco / impuesto / gasto</t>
        </is>
      </c>
      <c r="G485" s="8" t="inlineStr">
        <is>
          <t>Copiar en Flexxus: Tipo=MB-EXT | Movimiento=GRAVAMEN LEY 25.413 S/DEB | Monto=1,44 | Fecha: 22/04/2026</t>
        </is>
      </c>
    </row>
    <row r="486">
      <c r="A486" s="8" t="inlineStr">
        <is>
          <t>Administración/Banco</t>
        </is>
      </c>
      <c r="B486" s="8" t="inlineStr">
        <is>
          <t>Banco egreso no Flexxus</t>
        </is>
      </c>
      <c r="C486" s="8" t="inlineStr">
        <is>
          <t>Anticipo Ganancias Ley 25.413 débitos</t>
        </is>
      </c>
      <c r="D486" s="9" t="n">
        <v>2.27</v>
      </c>
      <c r="E486" s="8" t="inlineStr">
        <is>
          <t>ABIERTO_NUEVO</t>
        </is>
      </c>
      <c r="F486" s="8" t="inlineStr">
        <is>
          <t>Banco / impuesto / gasto</t>
        </is>
      </c>
      <c r="G486" s="8" t="inlineStr">
        <is>
          <t>Copiar en Flexxus: Tipo=MB-EXT | Movimiento=GRAVAMEN LEY 25.413 S/DEB | Monto=2,27 | Fecha: 22/04/2026</t>
        </is>
      </c>
    </row>
    <row r="487">
      <c r="A487" s="8" t="inlineStr">
        <is>
          <t>Administración/Banco</t>
        </is>
      </c>
      <c r="B487" s="8" t="inlineStr">
        <is>
          <t>Banco egreso no Flexxus</t>
        </is>
      </c>
      <c r="C487" s="8" t="inlineStr">
        <is>
          <t>Anticipo Ganancias Ley 25.413 débitos</t>
        </is>
      </c>
      <c r="D487" s="9" t="n">
        <v>2.27</v>
      </c>
      <c r="E487" s="8" t="inlineStr">
        <is>
          <t>ABIERTO_NUEVO</t>
        </is>
      </c>
      <c r="F487" s="8" t="inlineStr">
        <is>
          <t>Banco / impuesto / gasto</t>
        </is>
      </c>
      <c r="G487" s="8" t="inlineStr">
        <is>
          <t>Copiar en Flexxus: Tipo=MB-EXT | Movimiento=GRAVAMEN LEY 25.413 S/DEB | Monto=2,27 | Fecha: 22/04/2026</t>
        </is>
      </c>
    </row>
    <row r="488">
      <c r="A488" s="8" t="inlineStr">
        <is>
          <t>Administración/Banco</t>
        </is>
      </c>
      <c r="B488" s="8" t="inlineStr">
        <is>
          <t>Banco egreso no Flexxus</t>
        </is>
      </c>
      <c r="C488" s="8" t="inlineStr">
        <is>
          <t>Anticipo Ganancias Ley 25.413 débitos</t>
        </is>
      </c>
      <c r="D488" s="9" t="n">
        <v>2.52</v>
      </c>
      <c r="E488" s="8" t="inlineStr">
        <is>
          <t>ABIERTO_NUEVO</t>
        </is>
      </c>
      <c r="F488" s="8" t="inlineStr">
        <is>
          <t>Banco / impuesto / gasto</t>
        </is>
      </c>
      <c r="G488" s="8" t="inlineStr">
        <is>
          <t>Copiar en Flexxus: Tipo=MB-EXT | Movimiento=GRAVAMEN LEY 25.413 S/DEB | Monto=2,52 | Fecha: 22/04/2026</t>
        </is>
      </c>
    </row>
    <row r="489">
      <c r="A489" s="8" t="inlineStr">
        <is>
          <t>Administración/Banco</t>
        </is>
      </c>
      <c r="B489" s="8" t="inlineStr">
        <is>
          <t>Banco egreso no Flexxus</t>
        </is>
      </c>
      <c r="C489" s="8" t="inlineStr">
        <is>
          <t>Anticipo Ganancias Ley 25.413 débitos</t>
        </is>
      </c>
      <c r="D489" s="9" t="n">
        <v>6.86</v>
      </c>
      <c r="E489" s="8" t="inlineStr">
        <is>
          <t>ABIERTO_NUEVO</t>
        </is>
      </c>
      <c r="F489" s="8" t="inlineStr">
        <is>
          <t>Banco / impuesto / gasto</t>
        </is>
      </c>
      <c r="G489" s="8" t="inlineStr">
        <is>
          <t>Copiar en Flexxus: Tipo=MB-EXT | Movimiento=GRAVAMEN LEY 25.413 S/DEB | Monto=6,86 | Fecha: 22/04/2026</t>
        </is>
      </c>
    </row>
    <row r="490">
      <c r="A490" s="8" t="inlineStr">
        <is>
          <t>Administración/Banco</t>
        </is>
      </c>
      <c r="B490" s="8" t="inlineStr">
        <is>
          <t>Banco egreso no Flexxus</t>
        </is>
      </c>
      <c r="C490" s="8" t="inlineStr">
        <is>
          <t>Anticipo Ganancias Ley 25.413 débitos</t>
        </is>
      </c>
      <c r="D490" s="9" t="n">
        <v>6.69</v>
      </c>
      <c r="E490" s="8" t="inlineStr">
        <is>
          <t>ABIERTO_NUEVO</t>
        </is>
      </c>
      <c r="F490" s="8" t="inlineStr">
        <is>
          <t>Banco / impuesto / gasto</t>
        </is>
      </c>
      <c r="G490" s="8" t="inlineStr">
        <is>
          <t>Copiar en Flexxus: Tipo=MB-EXT | Movimiento=GRAVAMEN LEY 25.413 S/DEB | Monto=6,69 | Fecha: 22/04/2026</t>
        </is>
      </c>
    </row>
    <row r="491">
      <c r="A491" s="8" t="inlineStr">
        <is>
          <t>Administración/Banco</t>
        </is>
      </c>
      <c r="B491" s="8" t="inlineStr">
        <is>
          <t>Banco egreso no Flexxus</t>
        </is>
      </c>
      <c r="C491" s="8" t="inlineStr">
        <is>
          <t>Anticipo Ganancias Ley 25.413 débitos</t>
        </is>
      </c>
      <c r="D491" s="9" t="n">
        <v>47.13</v>
      </c>
      <c r="E491" s="8" t="inlineStr">
        <is>
          <t>ABIERTO_NUEVO</t>
        </is>
      </c>
      <c r="F491" s="8" t="inlineStr">
        <is>
          <t>Banco / impuesto / gasto</t>
        </is>
      </c>
      <c r="G491" s="8" t="inlineStr">
        <is>
          <t>Copiar en Flexxus: Tipo=MB-EXT | Movimiento=GRAVAMEN LEY 25.413 S/DEB | Monto=47,13 | Fecha: 22/04/2026</t>
        </is>
      </c>
    </row>
    <row r="492">
      <c r="A492" s="8" t="inlineStr">
        <is>
          <t>Administración/Banco</t>
        </is>
      </c>
      <c r="B492" s="8" t="inlineStr">
        <is>
          <t>Banco egreso no Flexxus</t>
        </is>
      </c>
      <c r="C492" s="8" t="inlineStr">
        <is>
          <t>Anticipo Ganancias Ley 25.413 débitos</t>
        </is>
      </c>
      <c r="D492" s="9" t="n">
        <v>105.26</v>
      </c>
      <c r="E492" s="8" t="inlineStr">
        <is>
          <t>ABIERTO_NUEVO</t>
        </is>
      </c>
      <c r="F492" s="8" t="inlineStr">
        <is>
          <t>Banco / impuesto / gasto</t>
        </is>
      </c>
      <c r="G492" s="8" t="inlineStr">
        <is>
          <t>Copiar en Flexxus: Tipo=MB-EXT | Movimiento=GRAVAMEN LEY 25.413 S/DEB | Monto=105,26 | Fecha: 22/04/2026</t>
        </is>
      </c>
    </row>
    <row r="493">
      <c r="A493" s="8" t="inlineStr">
        <is>
          <t>Administración/Banco</t>
        </is>
      </c>
      <c r="B493" s="8" t="inlineStr">
        <is>
          <t>Banco egreso no Flexxus</t>
        </is>
      </c>
      <c r="C493" s="8" t="inlineStr">
        <is>
          <t>Anticipo Ganancias Ley 25.413 débitos</t>
        </is>
      </c>
      <c r="D493" s="9" t="n">
        <v>7.84</v>
      </c>
      <c r="E493" s="8" t="inlineStr">
        <is>
          <t>ABIERTO_NUEVO</t>
        </is>
      </c>
      <c r="F493" s="8" t="inlineStr">
        <is>
          <t>Banco / impuesto / gasto</t>
        </is>
      </c>
      <c r="G493" s="8" t="inlineStr">
        <is>
          <t>Copiar en Flexxus: Tipo=MB-EXT | Movimiento=GRAVAMEN LEY 25.413 S/DEB | Monto=7,84 | Fecha: 22/04/2026</t>
        </is>
      </c>
    </row>
    <row r="494">
      <c r="A494" s="8" t="inlineStr">
        <is>
          <t>Administración/Banco</t>
        </is>
      </c>
      <c r="B494" s="8" t="inlineStr">
        <is>
          <t>Banco egreso no Flexxus</t>
        </is>
      </c>
      <c r="C494" s="8" t="inlineStr">
        <is>
          <t>Anticipo Ganancias Ley 25.413 débitos</t>
        </is>
      </c>
      <c r="D494" s="9" t="n">
        <v>2.57</v>
      </c>
      <c r="E494" s="8" t="inlineStr">
        <is>
          <t>ABIERTO_NUEVO</t>
        </is>
      </c>
      <c r="F494" s="8" t="inlineStr">
        <is>
          <t>Banco / impuesto / gasto</t>
        </is>
      </c>
      <c r="G494" s="8" t="inlineStr">
        <is>
          <t>Copiar en Flexxus: Tipo=MB-EXT | Movimiento=GRAVAMEN LEY 25.413 S/DEB | Monto=2,57 | Fecha: 22/04/2026</t>
        </is>
      </c>
    </row>
    <row r="495">
      <c r="A495" s="8" t="inlineStr">
        <is>
          <t>Administración/Banco</t>
        </is>
      </c>
      <c r="B495" s="8" t="inlineStr">
        <is>
          <t>Banco egreso no Flexxus</t>
        </is>
      </c>
      <c r="C495" s="8" t="inlineStr">
        <is>
          <t>Anticipo Ganancias Ley 25.413 débitos</t>
        </is>
      </c>
      <c r="D495" s="9" t="n">
        <v>7.5</v>
      </c>
      <c r="E495" s="8" t="inlineStr">
        <is>
          <t>ABIERTO_NUEVO</t>
        </is>
      </c>
      <c r="F495" s="8" t="inlineStr">
        <is>
          <t>Banco / impuesto / gasto</t>
        </is>
      </c>
      <c r="G495" s="8" t="inlineStr">
        <is>
          <t>Copiar en Flexxus: Tipo=MB-EXT | Movimiento=GRAVAMEN LEY 25.413 S/DEB | Monto=7,50 | Fecha: 22/04/2026</t>
        </is>
      </c>
    </row>
    <row r="496">
      <c r="A496" s="8" t="inlineStr">
        <is>
          <t>Administración/Banco</t>
        </is>
      </c>
      <c r="B496" s="8" t="inlineStr">
        <is>
          <t>Banco egreso no Flexxus</t>
        </is>
      </c>
      <c r="C496" s="8" t="inlineStr">
        <is>
          <t>Anticipo Ganancias Ley 25.413 débitos</t>
        </is>
      </c>
      <c r="D496" s="9" t="n">
        <v>4</v>
      </c>
      <c r="E496" s="8" t="inlineStr">
        <is>
          <t>ABIERTO_NUEVO</t>
        </is>
      </c>
      <c r="F496" s="8" t="inlineStr">
        <is>
          <t>Banco / impuesto / gasto</t>
        </is>
      </c>
      <c r="G496" s="8" t="inlineStr">
        <is>
          <t>Copiar en Flexxus: Tipo=MB-EXT | Movimiento=GRAVAMEN LEY 25.413 S/DEB | Monto=4,00 | Fecha: 22/04/2026</t>
        </is>
      </c>
    </row>
    <row r="497">
      <c r="A497" s="8" t="inlineStr">
        <is>
          <t>Administración/Banco</t>
        </is>
      </c>
      <c r="B497" s="8" t="inlineStr">
        <is>
          <t>Banco egreso no Flexxus</t>
        </is>
      </c>
      <c r="C497" s="8" t="inlineStr">
        <is>
          <t>Anticipo Ganancias Ley 25.413 débitos</t>
        </is>
      </c>
      <c r="D497" s="9" t="n">
        <v>0.79</v>
      </c>
      <c r="E497" s="8" t="inlineStr">
        <is>
          <t>ABIERTO_NUEVO</t>
        </is>
      </c>
      <c r="F497" s="8" t="inlineStr">
        <is>
          <t>Banco / impuesto / gasto</t>
        </is>
      </c>
      <c r="G497" s="8" t="inlineStr">
        <is>
          <t>Copiar en Flexxus: Tipo=MB-EXT | Movimiento=GRAVAMEN LEY 25.413 S/DEB | Monto=0,79 | Fecha: 22/04/2026</t>
        </is>
      </c>
    </row>
    <row r="498">
      <c r="A498" s="8" t="inlineStr">
        <is>
          <t>Administración/Banco</t>
        </is>
      </c>
      <c r="B498" s="8" t="inlineStr">
        <is>
          <t>Banco egreso no Flexxus</t>
        </is>
      </c>
      <c r="C498" s="8" t="inlineStr">
        <is>
          <t>Anticipo Ganancias Ley 25.413 débitos</t>
        </is>
      </c>
      <c r="D498" s="9" t="n">
        <v>11.76</v>
      </c>
      <c r="E498" s="8" t="inlineStr">
        <is>
          <t>ABIERTO_NUEVO</t>
        </is>
      </c>
      <c r="F498" s="8" t="inlineStr">
        <is>
          <t>Banco / impuesto / gasto</t>
        </is>
      </c>
      <c r="G498" s="8" t="inlineStr">
        <is>
          <t>Copiar en Flexxus: Tipo=MB-EXT | Movimiento=GRAVAMEN LEY 25.413 S/DEB | Monto=11,76 | Fecha: 22/04/2026</t>
        </is>
      </c>
    </row>
    <row r="499">
      <c r="A499" s="8" t="inlineStr">
        <is>
          <t>Administración/Banco</t>
        </is>
      </c>
      <c r="B499" s="8" t="inlineStr">
        <is>
          <t>Banco egreso no Flexxus</t>
        </is>
      </c>
      <c r="C499" s="8" t="inlineStr">
        <is>
          <t>Anticipo Ganancias Ley 25.413 débitos</t>
        </is>
      </c>
      <c r="D499" s="9" t="n">
        <v>10.16</v>
      </c>
      <c r="E499" s="8" t="inlineStr">
        <is>
          <t>ABIERTO_NUEVO</t>
        </is>
      </c>
      <c r="F499" s="8" t="inlineStr">
        <is>
          <t>Banco / impuesto / gasto</t>
        </is>
      </c>
      <c r="G499" s="8" t="inlineStr">
        <is>
          <t>Copiar en Flexxus: Tipo=MB-EXT | Movimiento=GRAVAMEN LEY 25.413 S/DEB | Monto=10,16 | Fecha: 22/04/2026</t>
        </is>
      </c>
    </row>
    <row r="500">
      <c r="A500" s="8" t="inlineStr">
        <is>
          <t>Administración/Banco</t>
        </is>
      </c>
      <c r="B500" s="8" t="inlineStr">
        <is>
          <t>Banco egreso no Flexxus</t>
        </is>
      </c>
      <c r="C500" s="8" t="inlineStr">
        <is>
          <t>Anticipo Ganancias Ley 25.413 débitos</t>
        </is>
      </c>
      <c r="D500" s="9" t="n">
        <v>2.02</v>
      </c>
      <c r="E500" s="8" t="inlineStr">
        <is>
          <t>ABIERTO_NUEVO</t>
        </is>
      </c>
      <c r="F500" s="8" t="inlineStr">
        <is>
          <t>Banco / impuesto / gasto</t>
        </is>
      </c>
      <c r="G500" s="8" t="inlineStr">
        <is>
          <t>Copiar en Flexxus: Tipo=MB-EXT | Movimiento=GRAVAMEN LEY 25.413 S/DEB | Monto=2,02 | Fecha: 22/04/2026</t>
        </is>
      </c>
    </row>
    <row r="501">
      <c r="A501" s="8" t="inlineStr">
        <is>
          <t>Administración/Banco</t>
        </is>
      </c>
      <c r="B501" s="8" t="inlineStr">
        <is>
          <t>Banco egreso no Flexxus</t>
        </is>
      </c>
      <c r="C501" s="8" t="inlineStr">
        <is>
          <t>Anticipo Ganancias Ley 25.413 débitos</t>
        </is>
      </c>
      <c r="D501" s="9" t="n">
        <v>39.94</v>
      </c>
      <c r="E501" s="8" t="inlineStr">
        <is>
          <t>ABIERTO_NUEVO</t>
        </is>
      </c>
      <c r="F501" s="8" t="inlineStr">
        <is>
          <t>Banco / impuesto / gasto</t>
        </is>
      </c>
      <c r="G501" s="8" t="inlineStr">
        <is>
          <t>Copiar en Flexxus: Tipo=MB-EXT | Movimiento=GRAVAMEN LEY 25.413 S/DEB | Monto=39,94 | Fecha: 22/04/2026</t>
        </is>
      </c>
    </row>
    <row r="502">
      <c r="A502" s="8" t="inlineStr">
        <is>
          <t>Administración/Banco</t>
        </is>
      </c>
      <c r="B502" s="8" t="inlineStr">
        <is>
          <t>Banco egreso no Flexxus</t>
        </is>
      </c>
      <c r="C502" s="8" t="inlineStr">
        <is>
          <t>Anticipo Ganancias Ley 25.413 débitos</t>
        </is>
      </c>
      <c r="D502" s="9" t="n">
        <v>0.68</v>
      </c>
      <c r="E502" s="8" t="inlineStr">
        <is>
          <t>ABIERTO_NUEVO</t>
        </is>
      </c>
      <c r="F502" s="8" t="inlineStr">
        <is>
          <t>Banco / impuesto / gasto</t>
        </is>
      </c>
      <c r="G502" s="8" t="inlineStr">
        <is>
          <t>Copiar en Flexxus: Tipo=MB-EXT | Movimiento=GRAVAMEN LEY 25.413 S/DEB | Monto=0,68 | Fecha: 22/04/2026</t>
        </is>
      </c>
    </row>
    <row r="503">
      <c r="A503" s="8" t="inlineStr">
        <is>
          <t>Administración/Banco</t>
        </is>
      </c>
      <c r="B503" s="8" t="inlineStr">
        <is>
          <t>Banco egreso no Flexxus</t>
        </is>
      </c>
      <c r="C503" s="8" t="inlineStr">
        <is>
          <t>Anticipo Ganancias Ley 25.413 débitos</t>
        </is>
      </c>
      <c r="D503" s="9" t="n">
        <v>0.68</v>
      </c>
      <c r="E503" s="8" t="inlineStr">
        <is>
          <t>ABIERTO_NUEVO</t>
        </is>
      </c>
      <c r="F503" s="8" t="inlineStr">
        <is>
          <t>Banco / impuesto / gasto</t>
        </is>
      </c>
      <c r="G503" s="8" t="inlineStr">
        <is>
          <t>Copiar en Flexxus: Tipo=MB-EXT | Movimiento=GRAVAMEN LEY 25.413 S/DEB | Monto=0,68 | Fecha: 22/04/2026</t>
        </is>
      </c>
    </row>
    <row r="504">
      <c r="A504" s="8" t="inlineStr">
        <is>
          <t>Administración/Banco</t>
        </is>
      </c>
      <c r="B504" s="8" t="inlineStr">
        <is>
          <t>Banco egreso no Flexxus</t>
        </is>
      </c>
      <c r="C504" s="8" t="inlineStr">
        <is>
          <t>Anticipo Ganancias Ley 25.413 débitos</t>
        </is>
      </c>
      <c r="D504" s="9" t="n">
        <v>0.68</v>
      </c>
      <c r="E504" s="8" t="inlineStr">
        <is>
          <t>ABIERTO_NUEVO</t>
        </is>
      </c>
      <c r="F504" s="8" t="inlineStr">
        <is>
          <t>Banco / impuesto / gasto</t>
        </is>
      </c>
      <c r="G504" s="8" t="inlineStr">
        <is>
          <t>Copiar en Flexxus: Tipo=MB-EXT | Movimiento=GRAVAMEN LEY 25.413 S/DEB | Monto=0,68 | Fecha: 22/04/2026</t>
        </is>
      </c>
    </row>
    <row r="505">
      <c r="A505" s="8" t="inlineStr">
        <is>
          <t>Administración/Banco</t>
        </is>
      </c>
      <c r="B505" s="8" t="inlineStr">
        <is>
          <t>Banco egreso no Flexxus</t>
        </is>
      </c>
      <c r="C505" s="8" t="inlineStr">
        <is>
          <t>Anticipo Ganancias Ley 25.413 débitos</t>
        </is>
      </c>
      <c r="D505" s="9" t="n">
        <v>1.25</v>
      </c>
      <c r="E505" s="8" t="inlineStr">
        <is>
          <t>ABIERTO_NUEVO</t>
        </is>
      </c>
      <c r="F505" s="8" t="inlineStr">
        <is>
          <t>Banco / impuesto / gasto</t>
        </is>
      </c>
      <c r="G505" s="8" t="inlineStr">
        <is>
          <t>Copiar en Flexxus: Tipo=MB-EXT | Movimiento=GRAVAMEN LEY 25.413 S/DEB | Monto=1,25 | Fecha: 22/04/2026</t>
        </is>
      </c>
    </row>
    <row r="506">
      <c r="A506" s="8" t="inlineStr">
        <is>
          <t>Administración/Banco</t>
        </is>
      </c>
      <c r="B506" s="8" t="inlineStr">
        <is>
          <t>Banco egreso no Flexxus</t>
        </is>
      </c>
      <c r="C506" s="8" t="inlineStr">
        <is>
          <t>Anticipo Ganancias Ley 25.413 débitos</t>
        </is>
      </c>
      <c r="D506" s="9" t="n">
        <v>0.89</v>
      </c>
      <c r="E506" s="8" t="inlineStr">
        <is>
          <t>ABIERTO_NUEVO</t>
        </is>
      </c>
      <c r="F506" s="8" t="inlineStr">
        <is>
          <t>Banco / impuesto / gasto</t>
        </is>
      </c>
      <c r="G506" s="8" t="inlineStr">
        <is>
          <t>Copiar en Flexxus: Tipo=MB-EXT | Movimiento=GRAVAMEN LEY 25.413 S/DEB | Monto=0,89 | Fecha: 22/04/2026</t>
        </is>
      </c>
    </row>
    <row r="507">
      <c r="A507" s="8" t="inlineStr">
        <is>
          <t>Administración/Banco</t>
        </is>
      </c>
      <c r="B507" s="8" t="inlineStr">
        <is>
          <t>Banco egreso no Flexxus</t>
        </is>
      </c>
      <c r="C507" s="8" t="inlineStr">
        <is>
          <t>Anticipo Ganancias Ley 25.413 débitos</t>
        </is>
      </c>
      <c r="D507" s="9" t="n">
        <v>2.48</v>
      </c>
      <c r="E507" s="8" t="inlineStr">
        <is>
          <t>ABIERTO_NUEVO</t>
        </is>
      </c>
      <c r="F507" s="8" t="inlineStr">
        <is>
          <t>Banco / impuesto / gasto</t>
        </is>
      </c>
      <c r="G507" s="8" t="inlineStr">
        <is>
          <t>Copiar en Flexxus: Tipo=MB-EXT | Movimiento=GRAVAMEN LEY 25.413 S/DEB | Monto=2,48 | Fecha: 22/04/2026</t>
        </is>
      </c>
    </row>
    <row r="508">
      <c r="A508" s="8" t="inlineStr">
        <is>
          <t>Administración/Banco</t>
        </is>
      </c>
      <c r="B508" s="8" t="inlineStr">
        <is>
          <t>Banco egreso no Flexxus</t>
        </is>
      </c>
      <c r="C508" s="8" t="inlineStr">
        <is>
          <t>Anticipo Ganancias Ley 25.413 débitos</t>
        </is>
      </c>
      <c r="D508" s="9" t="n">
        <v>4.09</v>
      </c>
      <c r="E508" s="8" t="inlineStr">
        <is>
          <t>ABIERTO_NUEVO</t>
        </is>
      </c>
      <c r="F508" s="8" t="inlineStr">
        <is>
          <t>Banco / impuesto / gasto</t>
        </is>
      </c>
      <c r="G508" s="8" t="inlineStr">
        <is>
          <t>Copiar en Flexxus: Tipo=MB-EXT | Movimiento=GRAVAMEN LEY 25.413 S/DEB | Monto=4,09 | Fecha: 22/04/2026</t>
        </is>
      </c>
    </row>
    <row r="509">
      <c r="A509" s="8" t="inlineStr">
        <is>
          <t>Administración/Banco</t>
        </is>
      </c>
      <c r="B509" s="8" t="inlineStr">
        <is>
          <t>Banco egreso no Flexxus</t>
        </is>
      </c>
      <c r="C509" s="8" t="inlineStr">
        <is>
          <t>Anticipo Ganancias Ley 25.413 débitos</t>
        </is>
      </c>
      <c r="D509" s="9" t="n">
        <v>2.41</v>
      </c>
      <c r="E509" s="8" t="inlineStr">
        <is>
          <t>ABIERTO_NUEVO</t>
        </is>
      </c>
      <c r="F509" s="8" t="inlineStr">
        <is>
          <t>Banco / impuesto / gasto</t>
        </is>
      </c>
      <c r="G509" s="8" t="inlineStr">
        <is>
          <t>Copiar en Flexxus: Tipo=MB-EXT | Movimiento=GRAVAMEN LEY 25.413 S/DEB | Monto=2,41 | Fecha: 22/04/2026</t>
        </is>
      </c>
    </row>
    <row r="510">
      <c r="A510" s="8" t="inlineStr">
        <is>
          <t>Administración/Banco</t>
        </is>
      </c>
      <c r="B510" s="8" t="inlineStr">
        <is>
          <t>Banco egreso no Flexxus</t>
        </is>
      </c>
      <c r="C510" s="8" t="inlineStr">
        <is>
          <t>Anticipo Ganancias Ley 25.413 débitos</t>
        </is>
      </c>
      <c r="D510" s="9" t="n">
        <v>12000</v>
      </c>
      <c r="E510" s="8" t="inlineStr">
        <is>
          <t>ABIERTO_NUEVO</t>
        </is>
      </c>
      <c r="F510" s="8" t="inlineStr">
        <is>
          <t>Banco / impuesto / gasto</t>
        </is>
      </c>
      <c r="G510" s="8" t="inlineStr">
        <is>
          <t>Copiar en Flexxus: Tipo=MB-EXT | Movimiento=GRAVAMEN LEY 25.413 S/DEB | Monto=12.000,00 | Fecha: 22/04/2026</t>
        </is>
      </c>
    </row>
    <row r="511">
      <c r="A511" s="8" t="inlineStr">
        <is>
          <t>Administración/Banco</t>
        </is>
      </c>
      <c r="B511" s="8" t="inlineStr">
        <is>
          <t>Banco egreso no Flexxus</t>
        </is>
      </c>
      <c r="C511" s="8" t="inlineStr">
        <is>
          <t>Anticipo Ganancias Ley 25.413 débitos</t>
        </is>
      </c>
      <c r="D511" s="9" t="n">
        <v>0.27</v>
      </c>
      <c r="E511" s="8" t="inlineStr">
        <is>
          <t>ABIERTO_NUEVO</t>
        </is>
      </c>
      <c r="F511" s="8" t="inlineStr">
        <is>
          <t>Banco / impuesto / gasto</t>
        </is>
      </c>
      <c r="G511" s="8" t="inlineStr">
        <is>
          <t>Copiar en Flexxus: Tipo=MB-EXT | Movimiento=GRAVAMEN LEY 25.413 S/DEB | Monto=0,27 | Fecha: 21/04/2026</t>
        </is>
      </c>
    </row>
    <row r="512">
      <c r="A512" s="8" t="inlineStr">
        <is>
          <t>Administración/Banco</t>
        </is>
      </c>
      <c r="B512" s="8" t="inlineStr">
        <is>
          <t>Banco egreso no Flexxus</t>
        </is>
      </c>
      <c r="C512" s="8" t="inlineStr">
        <is>
          <t>Anticipo Ganancias Ley 25.413 débitos</t>
        </is>
      </c>
      <c r="D512" s="9" t="n">
        <v>1.4</v>
      </c>
      <c r="E512" s="8" t="inlineStr">
        <is>
          <t>ABIERTO_NUEVO</t>
        </is>
      </c>
      <c r="F512" s="8" t="inlineStr">
        <is>
          <t>Banco / impuesto / gasto</t>
        </is>
      </c>
      <c r="G512" s="8" t="inlineStr">
        <is>
          <t>Copiar en Flexxus: Tipo=MB-EXT | Movimiento=GRAVAMEN LEY 25.413 S/DEB | Monto=1,40 | Fecha: 21/04/2026</t>
        </is>
      </c>
    </row>
    <row r="513">
      <c r="A513" s="8" t="inlineStr">
        <is>
          <t>Administración/Banco</t>
        </is>
      </c>
      <c r="B513" s="8" t="inlineStr">
        <is>
          <t>Banco egreso no Flexxus</t>
        </is>
      </c>
      <c r="C513" s="8" t="inlineStr">
        <is>
          <t>Anticipo Ganancias Ley 25.413 débitos</t>
        </is>
      </c>
      <c r="D513" s="9" t="n">
        <v>0.88</v>
      </c>
      <c r="E513" s="8" t="inlineStr">
        <is>
          <t>ABIERTO_NUEVO</t>
        </is>
      </c>
      <c r="F513" s="8" t="inlineStr">
        <is>
          <t>Banco / impuesto / gasto</t>
        </is>
      </c>
      <c r="G513" s="8" t="inlineStr">
        <is>
          <t>Copiar en Flexxus: Tipo=MB-EXT | Movimiento=GRAVAMEN LEY 25.413 S/DEB | Monto=0,88 | Fecha: 21/04/2026</t>
        </is>
      </c>
    </row>
    <row r="514">
      <c r="A514" s="8" t="inlineStr">
        <is>
          <t>Administración/Banco</t>
        </is>
      </c>
      <c r="B514" s="8" t="inlineStr">
        <is>
          <t>Banco egreso no Flexxus</t>
        </is>
      </c>
      <c r="C514" s="8" t="inlineStr">
        <is>
          <t>Anticipo Ganancias Ley 25.413 débitos</t>
        </is>
      </c>
      <c r="D514" s="9" t="n">
        <v>3.28</v>
      </c>
      <c r="E514" s="8" t="inlineStr">
        <is>
          <t>ABIERTO_NUEVO</t>
        </is>
      </c>
      <c r="F514" s="8" t="inlineStr">
        <is>
          <t>Banco / impuesto / gasto</t>
        </is>
      </c>
      <c r="G514" s="8" t="inlineStr">
        <is>
          <t>Copiar en Flexxus: Tipo=MB-EXT | Movimiento=GRAVAMEN LEY 25.413 S/DEB | Monto=3,28 | Fecha: 21/04/2026</t>
        </is>
      </c>
    </row>
    <row r="515">
      <c r="A515" s="8" t="inlineStr">
        <is>
          <t>Administración/Banco</t>
        </is>
      </c>
      <c r="B515" s="8" t="inlineStr">
        <is>
          <t>Banco egreso no Flexxus</t>
        </is>
      </c>
      <c r="C515" s="8" t="inlineStr">
        <is>
          <t>Anticipo Ganancias Ley 25.413 débitos</t>
        </is>
      </c>
      <c r="D515" s="9" t="n">
        <v>0.73</v>
      </c>
      <c r="E515" s="8" t="inlineStr">
        <is>
          <t>ABIERTO_NUEVO</t>
        </is>
      </c>
      <c r="F515" s="8" t="inlineStr">
        <is>
          <t>Banco / impuesto / gasto</t>
        </is>
      </c>
      <c r="G515" s="8" t="inlineStr">
        <is>
          <t>Copiar en Flexxus: Tipo=MB-EXT | Movimiento=GRAVAMEN LEY 25.413 S/DEB | Monto=0,73 | Fecha: 21/04/2026</t>
        </is>
      </c>
    </row>
    <row r="516">
      <c r="A516" s="8" t="inlineStr">
        <is>
          <t>Administración/Banco</t>
        </is>
      </c>
      <c r="B516" s="8" t="inlineStr">
        <is>
          <t>Banco egreso no Flexxus</t>
        </is>
      </c>
      <c r="C516" s="8" t="inlineStr">
        <is>
          <t>Anticipo Ganancias Ley 25.413 débitos</t>
        </is>
      </c>
      <c r="D516" s="9" t="n">
        <v>1.93</v>
      </c>
      <c r="E516" s="8" t="inlineStr">
        <is>
          <t>ABIERTO_NUEVO</t>
        </is>
      </c>
      <c r="F516" s="8" t="inlineStr">
        <is>
          <t>Banco / impuesto / gasto</t>
        </is>
      </c>
      <c r="G516" s="8" t="inlineStr">
        <is>
          <t>Copiar en Flexxus: Tipo=MB-EXT | Movimiento=GRAVAMEN LEY 25.413 S/DEB | Monto=1,93 | Fecha: 21/04/2026</t>
        </is>
      </c>
    </row>
    <row r="517">
      <c r="A517" s="8" t="inlineStr">
        <is>
          <t>Administración/Banco</t>
        </is>
      </c>
      <c r="B517" s="8" t="inlineStr">
        <is>
          <t>Banco egreso no Flexxus</t>
        </is>
      </c>
      <c r="C517" s="8" t="inlineStr">
        <is>
          <t>Anticipo Ganancias Ley 25.413 débitos</t>
        </is>
      </c>
      <c r="D517" s="9" t="n">
        <v>115.4</v>
      </c>
      <c r="E517" s="8" t="inlineStr">
        <is>
          <t>ABIERTO_NUEVO</t>
        </is>
      </c>
      <c r="F517" s="8" t="inlineStr">
        <is>
          <t>Banco / impuesto / gasto</t>
        </is>
      </c>
      <c r="G517" s="8" t="inlineStr">
        <is>
          <t>Copiar en Flexxus: Tipo=MB-EXT | Movimiento=GRAVAMEN LEY 25.413 S/DEB | Monto=115,40 | Fecha: 21/04/2026</t>
        </is>
      </c>
    </row>
    <row r="518">
      <c r="A518" s="8" t="inlineStr">
        <is>
          <t>Administración/Banco</t>
        </is>
      </c>
      <c r="B518" s="8" t="inlineStr">
        <is>
          <t>Banco egreso no Flexxus</t>
        </is>
      </c>
      <c r="C518" s="8" t="inlineStr">
        <is>
          <t>Anticipo Ganancias Ley 25.413 débitos</t>
        </is>
      </c>
      <c r="D518" s="9" t="n">
        <v>124.25</v>
      </c>
      <c r="E518" s="8" t="inlineStr">
        <is>
          <t>ABIERTO_NUEVO</t>
        </is>
      </c>
      <c r="F518" s="8" t="inlineStr">
        <is>
          <t>Banco / impuesto / gasto</t>
        </is>
      </c>
      <c r="G518" s="8" t="inlineStr">
        <is>
          <t>Copiar en Flexxus: Tipo=MB-EXT | Movimiento=GRAVAMEN LEY 25.413 S/DEB | Monto=124,25 | Fecha: 21/04/2026</t>
        </is>
      </c>
    </row>
    <row r="519">
      <c r="A519" s="8" t="inlineStr">
        <is>
          <t>Administración/Banco</t>
        </is>
      </c>
      <c r="B519" s="8" t="inlineStr">
        <is>
          <t>Banco egreso no Flexxus</t>
        </is>
      </c>
      <c r="C519" s="8" t="inlineStr">
        <is>
          <t>Anticipo Ganancias Ley 25.413 débitos</t>
        </is>
      </c>
      <c r="D519" s="9" t="n">
        <v>37.09</v>
      </c>
      <c r="E519" s="8" t="inlineStr">
        <is>
          <t>ABIERTO_NUEVO</t>
        </is>
      </c>
      <c r="F519" s="8" t="inlineStr">
        <is>
          <t>Banco / impuesto / gasto</t>
        </is>
      </c>
      <c r="G519" s="8" t="inlineStr">
        <is>
          <t>Copiar en Flexxus: Tipo=MB-EXT | Movimiento=GRAVAMEN LEY 25.413 S/DEB | Monto=37,09 | Fecha: 21/04/2026</t>
        </is>
      </c>
    </row>
    <row r="520">
      <c r="A520" s="8" t="inlineStr">
        <is>
          <t>Administración/Banco</t>
        </is>
      </c>
      <c r="B520" s="8" t="inlineStr">
        <is>
          <t>Banco egreso no Flexxus</t>
        </is>
      </c>
      <c r="C520" s="8" t="inlineStr">
        <is>
          <t>Anticipo Ganancias Ley 25.413 débitos</t>
        </is>
      </c>
      <c r="D520" s="9" t="n">
        <v>12.44</v>
      </c>
      <c r="E520" s="8" t="inlineStr">
        <is>
          <t>ABIERTO_NUEVO</t>
        </is>
      </c>
      <c r="F520" s="8" t="inlineStr">
        <is>
          <t>Banco / impuesto / gasto</t>
        </is>
      </c>
      <c r="G520" s="8" t="inlineStr">
        <is>
          <t>Copiar en Flexxus: Tipo=MB-EXT | Movimiento=GRAVAMEN LEY 25.413 S/DEB | Monto=12,44 | Fecha: 21/04/2026</t>
        </is>
      </c>
    </row>
    <row r="521">
      <c r="A521" s="8" t="inlineStr">
        <is>
          <t>Administración/Banco</t>
        </is>
      </c>
      <c r="B521" s="8" t="inlineStr">
        <is>
          <t>Banco egreso no Flexxus</t>
        </is>
      </c>
      <c r="C521" s="8" t="inlineStr">
        <is>
          <t>Anticipo Ganancias Ley 25.413 débitos</t>
        </is>
      </c>
      <c r="D521" s="9" t="n">
        <v>16.46</v>
      </c>
      <c r="E521" s="8" t="inlineStr">
        <is>
          <t>ABIERTO_NUEVO</t>
        </is>
      </c>
      <c r="F521" s="8" t="inlineStr">
        <is>
          <t>Banco / impuesto / gasto</t>
        </is>
      </c>
      <c r="G521" s="8" t="inlineStr">
        <is>
          <t>Copiar en Flexxus: Tipo=MB-EXT | Movimiento=GRAVAMEN LEY 25.413 S/DEB | Monto=16,46 | Fecha: 21/04/2026</t>
        </is>
      </c>
    </row>
    <row r="522">
      <c r="A522" s="8" t="inlineStr">
        <is>
          <t>Administración/Banco</t>
        </is>
      </c>
      <c r="B522" s="8" t="inlineStr">
        <is>
          <t>Banco egreso no Flexxus</t>
        </is>
      </c>
      <c r="C522" s="8" t="inlineStr">
        <is>
          <t>Anticipo Ganancias Ley 25.413 débitos</t>
        </is>
      </c>
      <c r="D522" s="9" t="n">
        <v>29.31</v>
      </c>
      <c r="E522" s="8" t="inlineStr">
        <is>
          <t>ABIERTO_NUEVO</t>
        </is>
      </c>
      <c r="F522" s="8" t="inlineStr">
        <is>
          <t>Banco / impuesto / gasto</t>
        </is>
      </c>
      <c r="G522" s="8" t="inlineStr">
        <is>
          <t>Copiar en Flexxus: Tipo=MB-EXT | Movimiento=GRAVAMEN LEY 25.413 S/DEB | Monto=29,31 | Fecha: 21/04/2026</t>
        </is>
      </c>
    </row>
    <row r="523">
      <c r="A523" s="8" t="inlineStr">
        <is>
          <t>Administración/Banco</t>
        </is>
      </c>
      <c r="B523" s="8" t="inlineStr">
        <is>
          <t>Banco egreso no Flexxus</t>
        </is>
      </c>
      <c r="C523" s="8" t="inlineStr">
        <is>
          <t>Anticipo Ganancias Ley 25.413 débitos</t>
        </is>
      </c>
      <c r="D523" s="9" t="n">
        <v>8.67</v>
      </c>
      <c r="E523" s="8" t="inlineStr">
        <is>
          <t>ABIERTO_NUEVO</t>
        </is>
      </c>
      <c r="F523" s="8" t="inlineStr">
        <is>
          <t>Banco / impuesto / gasto</t>
        </is>
      </c>
      <c r="G523" s="8" t="inlineStr">
        <is>
          <t>Copiar en Flexxus: Tipo=MB-EXT | Movimiento=GRAVAMEN LEY 25.413 S/DEB | Monto=8,67 | Fecha: 21/04/2026</t>
        </is>
      </c>
    </row>
    <row r="524">
      <c r="A524" s="8" t="inlineStr">
        <is>
          <t>Administración/Banco</t>
        </is>
      </c>
      <c r="B524" s="8" t="inlineStr">
        <is>
          <t>Banco egreso no Flexxus</t>
        </is>
      </c>
      <c r="C524" s="8" t="inlineStr">
        <is>
          <t>Anticipo Ganancias Ley 25.413 débitos</t>
        </is>
      </c>
      <c r="D524" s="9" t="n">
        <v>17.43</v>
      </c>
      <c r="E524" s="8" t="inlineStr">
        <is>
          <t>ABIERTO_NUEVO</t>
        </is>
      </c>
      <c r="F524" s="8" t="inlineStr">
        <is>
          <t>Banco / impuesto / gasto</t>
        </is>
      </c>
      <c r="G524" s="8" t="inlineStr">
        <is>
          <t>Copiar en Flexxus: Tipo=MB-EXT | Movimiento=GRAVAMEN LEY 25.413 S/DEB | Monto=17,43 | Fecha: 21/04/2026</t>
        </is>
      </c>
    </row>
    <row r="525">
      <c r="A525" s="8" t="inlineStr">
        <is>
          <t>Administración/Banco</t>
        </is>
      </c>
      <c r="B525" s="8" t="inlineStr">
        <is>
          <t>Banco egreso no Flexxus</t>
        </is>
      </c>
      <c r="C525" s="8" t="inlineStr">
        <is>
          <t>Anticipo Ganancias Ley 25.413 débitos</t>
        </is>
      </c>
      <c r="D525" s="9" t="n">
        <v>19.44</v>
      </c>
      <c r="E525" s="8" t="inlineStr">
        <is>
          <t>ABIERTO_NUEVO</t>
        </is>
      </c>
      <c r="F525" s="8" t="inlineStr">
        <is>
          <t>Banco / impuesto / gasto</t>
        </is>
      </c>
      <c r="G525" s="8" t="inlineStr">
        <is>
          <t>Copiar en Flexxus: Tipo=MB-EXT | Movimiento=GRAVAMEN LEY 25.413 S/DEB | Monto=19,44 | Fecha: 21/04/2026</t>
        </is>
      </c>
    </row>
    <row r="526">
      <c r="A526" s="8" t="inlineStr">
        <is>
          <t>Administración/Banco</t>
        </is>
      </c>
      <c r="B526" s="8" t="inlineStr">
        <is>
          <t>Banco egreso no Flexxus</t>
        </is>
      </c>
      <c r="C526" s="8" t="inlineStr">
        <is>
          <t>Anticipo Ganancias Ley 25.413 débitos</t>
        </is>
      </c>
      <c r="D526" s="9" t="n">
        <v>9.52</v>
      </c>
      <c r="E526" s="8" t="inlineStr">
        <is>
          <t>ABIERTO_NUEVO</t>
        </is>
      </c>
      <c r="F526" s="8" t="inlineStr">
        <is>
          <t>Banco / impuesto / gasto</t>
        </is>
      </c>
      <c r="G526" s="8" t="inlineStr">
        <is>
          <t>Copiar en Flexxus: Tipo=MB-EXT | Movimiento=GRAVAMEN LEY 25.413 S/DEB | Monto=9,52 | Fecha: 21/04/2026</t>
        </is>
      </c>
    </row>
    <row r="527">
      <c r="A527" s="8" t="inlineStr">
        <is>
          <t>Administración/Banco</t>
        </is>
      </c>
      <c r="B527" s="8" t="inlineStr">
        <is>
          <t>Banco egreso no Flexxus</t>
        </is>
      </c>
      <c r="C527" s="8" t="inlineStr">
        <is>
          <t>Anticipo Ganancias Ley 25.413 débitos</t>
        </is>
      </c>
      <c r="D527" s="9" t="n">
        <v>15.45</v>
      </c>
      <c r="E527" s="8" t="inlineStr">
        <is>
          <t>ABIERTO_NUEVO</t>
        </is>
      </c>
      <c r="F527" s="8" t="inlineStr">
        <is>
          <t>Banco / impuesto / gasto</t>
        </is>
      </c>
      <c r="G527" s="8" t="inlineStr">
        <is>
          <t>Copiar en Flexxus: Tipo=MB-EXT | Movimiento=GRAVAMEN LEY 25.413 S/DEB | Monto=15,45 | Fecha: 21/04/2026</t>
        </is>
      </c>
    </row>
    <row r="528">
      <c r="A528" s="8" t="inlineStr">
        <is>
          <t>Administración/Banco</t>
        </is>
      </c>
      <c r="B528" s="8" t="inlineStr">
        <is>
          <t>Banco egreso no Flexxus</t>
        </is>
      </c>
      <c r="C528" s="8" t="inlineStr">
        <is>
          <t>Anticipo Ganancias Ley 25.413 débitos</t>
        </is>
      </c>
      <c r="D528" s="9" t="n">
        <v>5.38</v>
      </c>
      <c r="E528" s="8" t="inlineStr">
        <is>
          <t>ABIERTO_NUEVO</t>
        </is>
      </c>
      <c r="F528" s="8" t="inlineStr">
        <is>
          <t>Banco / impuesto / gasto</t>
        </is>
      </c>
      <c r="G528" s="8" t="inlineStr">
        <is>
          <t>Copiar en Flexxus: Tipo=MB-EXT | Movimiento=GRAVAMEN LEY 25.413 S/DEB | Monto=5,38 | Fecha: 21/04/2026</t>
        </is>
      </c>
    </row>
    <row r="529">
      <c r="A529" s="8" t="inlineStr">
        <is>
          <t>Administración/Banco</t>
        </is>
      </c>
      <c r="B529" s="8" t="inlineStr">
        <is>
          <t>Banco egreso no Flexxus</t>
        </is>
      </c>
      <c r="C529" s="8" t="inlineStr">
        <is>
          <t>Anticipo Ganancias Ley 25.413 débitos</t>
        </is>
      </c>
      <c r="D529" s="9" t="n">
        <v>10.46</v>
      </c>
      <c r="E529" s="8" t="inlineStr">
        <is>
          <t>ABIERTO_NUEVO</t>
        </is>
      </c>
      <c r="F529" s="8" t="inlineStr">
        <is>
          <t>Banco / impuesto / gasto</t>
        </is>
      </c>
      <c r="G529" s="8" t="inlineStr">
        <is>
          <t>Copiar en Flexxus: Tipo=MB-EXT | Movimiento=GRAVAMEN LEY 25.413 S/DEB | Monto=10,46 | Fecha: 21/04/2026</t>
        </is>
      </c>
    </row>
    <row r="530">
      <c r="A530" s="8" t="inlineStr">
        <is>
          <t>Administración/Banco</t>
        </is>
      </c>
      <c r="B530" s="8" t="inlineStr">
        <is>
          <t>Banco egreso no Flexxus</t>
        </is>
      </c>
      <c r="C530" s="8" t="inlineStr">
        <is>
          <t>Anticipo Ganancias Ley 25.413 débitos</t>
        </is>
      </c>
      <c r="D530" s="9" t="n">
        <v>6.27</v>
      </c>
      <c r="E530" s="8" t="inlineStr">
        <is>
          <t>ABIERTO_NUEVO</t>
        </is>
      </c>
      <c r="F530" s="8" t="inlineStr">
        <is>
          <t>Banco / impuesto / gasto</t>
        </is>
      </c>
      <c r="G530" s="8" t="inlineStr">
        <is>
          <t>Copiar en Flexxus: Tipo=MB-EXT | Movimiento=GRAVAMEN LEY 25.413 S/DEB | Monto=6,27 | Fecha: 21/04/2026</t>
        </is>
      </c>
    </row>
    <row r="531">
      <c r="A531" s="8" t="inlineStr">
        <is>
          <t>Administración/Banco</t>
        </is>
      </c>
      <c r="B531" s="8" t="inlineStr">
        <is>
          <t>Banco egreso no Flexxus</t>
        </is>
      </c>
      <c r="C531" s="8" t="inlineStr">
        <is>
          <t>Anticipo Ganancias Ley 25.413 débitos</t>
        </is>
      </c>
      <c r="D531" s="9" t="n">
        <v>37.59</v>
      </c>
      <c r="E531" s="8" t="inlineStr">
        <is>
          <t>ABIERTO_NUEVO</t>
        </is>
      </c>
      <c r="F531" s="8" t="inlineStr">
        <is>
          <t>Banco / impuesto / gasto</t>
        </is>
      </c>
      <c r="G531" s="8" t="inlineStr">
        <is>
          <t>Copiar en Flexxus: Tipo=MB-EXT | Movimiento=GRAVAMEN LEY 25.413 S/DEB | Monto=37,59 | Fecha: 21/04/2026</t>
        </is>
      </c>
    </row>
    <row r="532">
      <c r="A532" s="8" t="inlineStr">
        <is>
          <t>Administración/Banco</t>
        </is>
      </c>
      <c r="B532" s="8" t="inlineStr">
        <is>
          <t>Banco egreso no Flexxus</t>
        </is>
      </c>
      <c r="C532" s="8" t="inlineStr">
        <is>
          <t>Anticipo Ganancias Ley 25.413 débitos</t>
        </is>
      </c>
      <c r="D532" s="9" t="n">
        <v>27.24</v>
      </c>
      <c r="E532" s="8" t="inlineStr">
        <is>
          <t>ABIERTO_NUEVO</t>
        </is>
      </c>
      <c r="F532" s="8" t="inlineStr">
        <is>
          <t>Banco / impuesto / gasto</t>
        </is>
      </c>
      <c r="G532" s="8" t="inlineStr">
        <is>
          <t>Copiar en Flexxus: Tipo=MB-EXT | Movimiento=GRAVAMEN LEY 25.413 S/DEB | Monto=27,24 | Fecha: 21/04/2026</t>
        </is>
      </c>
    </row>
    <row r="533">
      <c r="A533" s="8" t="inlineStr">
        <is>
          <t>Administración/Banco</t>
        </is>
      </c>
      <c r="B533" s="8" t="inlineStr">
        <is>
          <t>Banco egreso no Flexxus</t>
        </is>
      </c>
      <c r="C533" s="8" t="inlineStr">
        <is>
          <t>Anticipo Ganancias Ley 25.413 débitos</t>
        </is>
      </c>
      <c r="D533" s="9" t="n">
        <v>13.19</v>
      </c>
      <c r="E533" s="8" t="inlineStr">
        <is>
          <t>ABIERTO_NUEVO</t>
        </is>
      </c>
      <c r="F533" s="8" t="inlineStr">
        <is>
          <t>Banco / impuesto / gasto</t>
        </is>
      </c>
      <c r="G533" s="8" t="inlineStr">
        <is>
          <t>Copiar en Flexxus: Tipo=MB-EXT | Movimiento=GRAVAMEN LEY 25.413 S/DEB | Monto=13,19 | Fecha: 21/04/2026</t>
        </is>
      </c>
    </row>
    <row r="534">
      <c r="A534" s="8" t="inlineStr">
        <is>
          <t>Administración/Banco</t>
        </is>
      </c>
      <c r="B534" s="8" t="inlineStr">
        <is>
          <t>Banco egreso no Flexxus</t>
        </is>
      </c>
      <c r="C534" s="8" t="inlineStr">
        <is>
          <t>Anticipo Ganancias Ley 25.413 débitos</t>
        </is>
      </c>
      <c r="D534" s="9" t="n">
        <v>16.47</v>
      </c>
      <c r="E534" s="8" t="inlineStr">
        <is>
          <t>ABIERTO_NUEVO</t>
        </is>
      </c>
      <c r="F534" s="8" t="inlineStr">
        <is>
          <t>Banco / impuesto / gasto</t>
        </is>
      </c>
      <c r="G534" s="8" t="inlineStr">
        <is>
          <t>Copiar en Flexxus: Tipo=MB-EXT | Movimiento=GRAVAMEN LEY 25.413 S/DEB | Monto=16,47 | Fecha: 21/04/2026</t>
        </is>
      </c>
    </row>
    <row r="535">
      <c r="A535" s="8" t="inlineStr">
        <is>
          <t>Administración/Banco</t>
        </is>
      </c>
      <c r="B535" s="8" t="inlineStr">
        <is>
          <t>Banco egreso no Flexxus</t>
        </is>
      </c>
      <c r="C535" s="8" t="inlineStr">
        <is>
          <t>Anticipo Ganancias Ley 25.413 débitos</t>
        </is>
      </c>
      <c r="D535" s="9" t="n">
        <v>5.53</v>
      </c>
      <c r="E535" s="8" t="inlineStr">
        <is>
          <t>ABIERTO_NUEVO</t>
        </is>
      </c>
      <c r="F535" s="8" t="inlineStr">
        <is>
          <t>Banco / impuesto / gasto</t>
        </is>
      </c>
      <c r="G535" s="8" t="inlineStr">
        <is>
          <t>Copiar en Flexxus: Tipo=MB-EXT | Movimiento=GRAVAMEN LEY 25.413 S/DEB | Monto=5,53 | Fecha: 21/04/2026</t>
        </is>
      </c>
    </row>
    <row r="536">
      <c r="A536" s="8" t="inlineStr">
        <is>
          <t>Administración/Banco</t>
        </is>
      </c>
      <c r="B536" s="8" t="inlineStr">
        <is>
          <t>Banco egreso no Flexxus</t>
        </is>
      </c>
      <c r="C536" s="8" t="inlineStr">
        <is>
          <t>Anticipo Ganancias Ley 25.413 débitos</t>
        </is>
      </c>
      <c r="D536" s="9" t="n">
        <v>1.6</v>
      </c>
      <c r="E536" s="8" t="inlineStr">
        <is>
          <t>ABIERTO_NUEVO</t>
        </is>
      </c>
      <c r="F536" s="8" t="inlineStr">
        <is>
          <t>Banco / impuesto / gasto</t>
        </is>
      </c>
      <c r="G536" s="8" t="inlineStr">
        <is>
          <t>Copiar en Flexxus: Tipo=MB-EXT | Movimiento=GRAVAMEN LEY 25.413 S/DEB | Monto=1,60 | Fecha: 21/04/2026</t>
        </is>
      </c>
    </row>
    <row r="537">
      <c r="A537" s="8" t="inlineStr">
        <is>
          <t>Administración/Banco</t>
        </is>
      </c>
      <c r="B537" s="8" t="inlineStr">
        <is>
          <t>Banco egreso no Flexxus</t>
        </is>
      </c>
      <c r="C537" s="8" t="inlineStr">
        <is>
          <t>Anticipo Ganancias Ley 25.413 débitos</t>
        </is>
      </c>
      <c r="D537" s="9" t="n">
        <v>2.99</v>
      </c>
      <c r="E537" s="8" t="inlineStr">
        <is>
          <t>ABIERTO_NUEVO</t>
        </is>
      </c>
      <c r="F537" s="8" t="inlineStr">
        <is>
          <t>Banco / impuesto / gasto</t>
        </is>
      </c>
      <c r="G537" s="8" t="inlineStr">
        <is>
          <t>Copiar en Flexxus: Tipo=MB-EXT | Movimiento=GRAVAMEN LEY 25.413 S/DEB | Monto=2,99 | Fecha: 21/04/2026</t>
        </is>
      </c>
    </row>
    <row r="538">
      <c r="A538" s="8" t="inlineStr">
        <is>
          <t>Administración/Banco</t>
        </is>
      </c>
      <c r="B538" s="8" t="inlineStr">
        <is>
          <t>Banco egreso no Flexxus</t>
        </is>
      </c>
      <c r="C538" s="8" t="inlineStr">
        <is>
          <t>Anticipo Ganancias Ley 25.413 débitos</t>
        </is>
      </c>
      <c r="D538" s="9" t="n">
        <v>4.14</v>
      </c>
      <c r="E538" s="8" t="inlineStr">
        <is>
          <t>ABIERTO_NUEVO</t>
        </is>
      </c>
      <c r="F538" s="8" t="inlineStr">
        <is>
          <t>Banco / impuesto / gasto</t>
        </is>
      </c>
      <c r="G538" s="8" t="inlineStr">
        <is>
          <t>Copiar en Flexxus: Tipo=MB-EXT | Movimiento=GRAVAMEN LEY 25.413 S/DEB | Monto=4,14 | Fecha: 21/04/2026</t>
        </is>
      </c>
    </row>
    <row r="539">
      <c r="A539" s="8" t="inlineStr">
        <is>
          <t>Administración/Banco</t>
        </is>
      </c>
      <c r="B539" s="8" t="inlineStr">
        <is>
          <t>Banco egreso no Flexxus</t>
        </is>
      </c>
      <c r="C539" s="8" t="inlineStr">
        <is>
          <t>Anticipo Ganancias Ley 25.413 débitos</t>
        </is>
      </c>
      <c r="D539" s="9" t="n">
        <v>3.93</v>
      </c>
      <c r="E539" s="8" t="inlineStr">
        <is>
          <t>ABIERTO_NUEVO</t>
        </is>
      </c>
      <c r="F539" s="8" t="inlineStr">
        <is>
          <t>Banco / impuesto / gasto</t>
        </is>
      </c>
      <c r="G539" s="8" t="inlineStr">
        <is>
          <t>Copiar en Flexxus: Tipo=MB-EXT | Movimiento=GRAVAMEN LEY 25.413 S/DEB | Monto=3,93 | Fecha: 21/04/2026</t>
        </is>
      </c>
    </row>
    <row r="540">
      <c r="A540" s="8" t="inlineStr">
        <is>
          <t>Administración/Banco</t>
        </is>
      </c>
      <c r="B540" s="8" t="inlineStr">
        <is>
          <t>Banco egreso no Flexxus</t>
        </is>
      </c>
      <c r="C540" s="8" t="inlineStr">
        <is>
          <t>Anticipo Ganancias Ley 25.413 débitos</t>
        </is>
      </c>
      <c r="D540" s="9" t="n">
        <v>12.87</v>
      </c>
      <c r="E540" s="8" t="inlineStr">
        <is>
          <t>ABIERTO_NUEVO</t>
        </is>
      </c>
      <c r="F540" s="8" t="inlineStr">
        <is>
          <t>Banco / impuesto / gasto</t>
        </is>
      </c>
      <c r="G540" s="8" t="inlineStr">
        <is>
          <t>Copiar en Flexxus: Tipo=MB-EXT | Movimiento=GRAVAMEN LEY 25.413 S/DEB | Monto=12,87 | Fecha: 21/04/2026</t>
        </is>
      </c>
    </row>
    <row r="541">
      <c r="A541" s="8" t="inlineStr">
        <is>
          <t>Administración/Banco</t>
        </is>
      </c>
      <c r="B541" s="8" t="inlineStr">
        <is>
          <t>Banco egreso no Flexxus</t>
        </is>
      </c>
      <c r="C541" s="8" t="inlineStr">
        <is>
          <t>Anticipo Ganancias Ley 25.413 débitos</t>
        </is>
      </c>
      <c r="D541" s="9" t="n">
        <v>12.72</v>
      </c>
      <c r="E541" s="8" t="inlineStr">
        <is>
          <t>ABIERTO_NUEVO</t>
        </is>
      </c>
      <c r="F541" s="8" t="inlineStr">
        <is>
          <t>Banco / impuesto / gasto</t>
        </is>
      </c>
      <c r="G541" s="8" t="inlineStr">
        <is>
          <t>Copiar en Flexxus: Tipo=MB-EXT | Movimiento=GRAVAMEN LEY 25.413 S/DEB | Monto=12,72 | Fecha: 21/04/2026</t>
        </is>
      </c>
    </row>
    <row r="542">
      <c r="A542" s="8" t="inlineStr">
        <is>
          <t>Administración/Banco</t>
        </is>
      </c>
      <c r="B542" s="8" t="inlineStr">
        <is>
          <t>Banco egreso no Flexxus</t>
        </is>
      </c>
      <c r="C542" s="8" t="inlineStr">
        <is>
          <t>Anticipo Ganancias Ley 25.413 débitos</t>
        </is>
      </c>
      <c r="D542" s="9" t="n">
        <v>2.08</v>
      </c>
      <c r="E542" s="8" t="inlineStr">
        <is>
          <t>ABIERTO_NUEVO</t>
        </is>
      </c>
      <c r="F542" s="8" t="inlineStr">
        <is>
          <t>Banco / impuesto / gasto</t>
        </is>
      </c>
      <c r="G542" s="8" t="inlineStr">
        <is>
          <t>Copiar en Flexxus: Tipo=MB-EXT | Movimiento=GRAVAMEN LEY 25.413 S/DEB | Monto=2,08 | Fecha: 21/04/2026</t>
        </is>
      </c>
    </row>
    <row r="543">
      <c r="A543" s="8" t="inlineStr">
        <is>
          <t>Administración/Banco</t>
        </is>
      </c>
      <c r="B543" s="8" t="inlineStr">
        <is>
          <t>Banco egreso no Flexxus</t>
        </is>
      </c>
      <c r="C543" s="8" t="inlineStr">
        <is>
          <t>Anticipo Ganancias Ley 25.413 débitos</t>
        </is>
      </c>
      <c r="D543" s="9" t="n">
        <v>1.84</v>
      </c>
      <c r="E543" s="8" t="inlineStr">
        <is>
          <t>ABIERTO_NUEVO</t>
        </is>
      </c>
      <c r="F543" s="8" t="inlineStr">
        <is>
          <t>Banco / impuesto / gasto</t>
        </is>
      </c>
      <c r="G543" s="8" t="inlineStr">
        <is>
          <t>Copiar en Flexxus: Tipo=MB-EXT | Movimiento=GRAVAMEN LEY 25.413 S/DEB | Monto=1,84 | Fecha: 21/04/2026</t>
        </is>
      </c>
    </row>
    <row r="544">
      <c r="A544" s="8" t="inlineStr">
        <is>
          <t>Administración/Banco</t>
        </is>
      </c>
      <c r="B544" s="8" t="inlineStr">
        <is>
          <t>Banco egreso no Flexxus</t>
        </is>
      </c>
      <c r="C544" s="8" t="inlineStr">
        <is>
          <t>Anticipo Ganancias Ley 25.413 débitos</t>
        </is>
      </c>
      <c r="D544" s="9" t="n">
        <v>0.72</v>
      </c>
      <c r="E544" s="8" t="inlineStr">
        <is>
          <t>ABIERTO_NUEVO</t>
        </is>
      </c>
      <c r="F544" s="8" t="inlineStr">
        <is>
          <t>Banco / impuesto / gasto</t>
        </is>
      </c>
      <c r="G544" s="8" t="inlineStr">
        <is>
          <t>Copiar en Flexxus: Tipo=MB-EXT | Movimiento=GRAVAMEN LEY 25.413 S/DEB | Monto=0,72 | Fecha: 21/04/2026</t>
        </is>
      </c>
    </row>
    <row r="545">
      <c r="A545" s="8" t="inlineStr">
        <is>
          <t>Administración/Banco</t>
        </is>
      </c>
      <c r="B545" s="8" t="inlineStr">
        <is>
          <t>Banco egreso no Flexxus</t>
        </is>
      </c>
      <c r="C545" s="8" t="inlineStr">
        <is>
          <t>Anticipo Ganancias Ley 25.413 débitos</t>
        </is>
      </c>
      <c r="D545" s="9" t="n">
        <v>3.85</v>
      </c>
      <c r="E545" s="8" t="inlineStr">
        <is>
          <t>ABIERTO_NUEVO</t>
        </is>
      </c>
      <c r="F545" s="8" t="inlineStr">
        <is>
          <t>Banco / impuesto / gasto</t>
        </is>
      </c>
      <c r="G545" s="8" t="inlineStr">
        <is>
          <t>Copiar en Flexxus: Tipo=MB-EXT | Movimiento=GRAVAMEN LEY 25.413 S/DEB | Monto=3,85 | Fecha: 21/04/2026</t>
        </is>
      </c>
    </row>
    <row r="546">
      <c r="A546" s="8" t="inlineStr">
        <is>
          <t>Administración/Banco</t>
        </is>
      </c>
      <c r="B546" s="8" t="inlineStr">
        <is>
          <t>Banco egreso no Flexxus</t>
        </is>
      </c>
      <c r="C546" s="8" t="inlineStr">
        <is>
          <t>Anticipo Ganancias Ley 25.413 débitos</t>
        </is>
      </c>
      <c r="D546" s="9" t="n">
        <v>0.5</v>
      </c>
      <c r="E546" s="8" t="inlineStr">
        <is>
          <t>ABIERTO_NUEVO</t>
        </is>
      </c>
      <c r="F546" s="8" t="inlineStr">
        <is>
          <t>Banco / impuesto / gasto</t>
        </is>
      </c>
      <c r="G546" s="8" t="inlineStr">
        <is>
          <t>Copiar en Flexxus: Tipo=MB-EXT | Movimiento=GRAVAMEN LEY 25.413 S/DEB | Monto=0,50 | Fecha: 21/04/2026</t>
        </is>
      </c>
    </row>
    <row r="547">
      <c r="A547" s="8" t="inlineStr">
        <is>
          <t>Administración/Banco</t>
        </is>
      </c>
      <c r="B547" s="8" t="inlineStr">
        <is>
          <t>Banco egreso no Flexxus</t>
        </is>
      </c>
      <c r="C547" s="8" t="inlineStr">
        <is>
          <t>Anticipo Ganancias Ley 25.413 débitos</t>
        </is>
      </c>
      <c r="D547" s="9" t="n">
        <v>1.01</v>
      </c>
      <c r="E547" s="8" t="inlineStr">
        <is>
          <t>ABIERTO_NUEVO</t>
        </is>
      </c>
      <c r="F547" s="8" t="inlineStr">
        <is>
          <t>Banco / impuesto / gasto</t>
        </is>
      </c>
      <c r="G547" s="8" t="inlineStr">
        <is>
          <t>Copiar en Flexxus: Tipo=MB-EXT | Movimiento=GRAVAMEN LEY 25.413 S/DEB | Monto=1,01 | Fecha: 21/04/2026</t>
        </is>
      </c>
    </row>
    <row r="548">
      <c r="A548" s="8" t="inlineStr">
        <is>
          <t>Administración/Banco</t>
        </is>
      </c>
      <c r="B548" s="8" t="inlineStr">
        <is>
          <t>Banco egreso no Flexxus</t>
        </is>
      </c>
      <c r="C548" s="8" t="inlineStr">
        <is>
          <t>Anticipo Ganancias Ley 25.413 débitos</t>
        </is>
      </c>
      <c r="D548" s="9" t="n">
        <v>1.33</v>
      </c>
      <c r="E548" s="8" t="inlineStr">
        <is>
          <t>ABIERTO_NUEVO</t>
        </is>
      </c>
      <c r="F548" s="8" t="inlineStr">
        <is>
          <t>Banco / impuesto / gasto</t>
        </is>
      </c>
      <c r="G548" s="8" t="inlineStr">
        <is>
          <t>Copiar en Flexxus: Tipo=MB-EXT | Movimiento=GRAVAMEN LEY 25.413 S/DEB | Monto=1,33 | Fecha: 21/04/2026</t>
        </is>
      </c>
    </row>
    <row r="549">
      <c r="A549" s="8" t="inlineStr">
        <is>
          <t>Administración/Banco</t>
        </is>
      </c>
      <c r="B549" s="8" t="inlineStr">
        <is>
          <t>Banco egreso no Flexxus</t>
        </is>
      </c>
      <c r="C549" s="8" t="inlineStr">
        <is>
          <t>Anticipo Ganancias Ley 25.413 débitos</t>
        </is>
      </c>
      <c r="D549" s="9" t="n">
        <v>0.91</v>
      </c>
      <c r="E549" s="8" t="inlineStr">
        <is>
          <t>ABIERTO_NUEVO</t>
        </is>
      </c>
      <c r="F549" s="8" t="inlineStr">
        <is>
          <t>Banco / impuesto / gasto</t>
        </is>
      </c>
      <c r="G549" s="8" t="inlineStr">
        <is>
          <t>Copiar en Flexxus: Tipo=MB-EXT | Movimiento=GRAVAMEN LEY 25.413 S/DEB | Monto=0,91 | Fecha: 21/04/2026</t>
        </is>
      </c>
    </row>
    <row r="550">
      <c r="A550" s="8" t="inlineStr">
        <is>
          <t>Administración/Banco</t>
        </is>
      </c>
      <c r="B550" s="8" t="inlineStr">
        <is>
          <t>Banco egreso no Flexxus</t>
        </is>
      </c>
      <c r="C550" s="8" t="inlineStr">
        <is>
          <t>Anticipo Ganancias Ley 25.413 débitos</t>
        </is>
      </c>
      <c r="D550" s="9" t="n">
        <v>0.68</v>
      </c>
      <c r="E550" s="8" t="inlineStr">
        <is>
          <t>ABIERTO_NUEVO</t>
        </is>
      </c>
      <c r="F550" s="8" t="inlineStr">
        <is>
          <t>Banco / impuesto / gasto</t>
        </is>
      </c>
      <c r="G550" s="8" t="inlineStr">
        <is>
          <t>Copiar en Flexxus: Tipo=MB-EXT | Movimiento=GRAVAMEN LEY 25.413 S/DEB | Monto=0,68 | Fecha: 20/04/2026</t>
        </is>
      </c>
    </row>
    <row r="551">
      <c r="A551" s="8" t="inlineStr">
        <is>
          <t>Administración/Banco</t>
        </is>
      </c>
      <c r="B551" s="8" t="inlineStr">
        <is>
          <t>Banco egreso no Flexxus</t>
        </is>
      </c>
      <c r="C551" s="8" t="inlineStr">
        <is>
          <t>Anticipo Ganancias Ley 25.413 débitos</t>
        </is>
      </c>
      <c r="D551" s="9" t="n">
        <v>2.17</v>
      </c>
      <c r="E551" s="8" t="inlineStr">
        <is>
          <t>ABIERTO_NUEVO</t>
        </is>
      </c>
      <c r="F551" s="8" t="inlineStr">
        <is>
          <t>Banco / impuesto / gasto</t>
        </is>
      </c>
      <c r="G551" s="8" t="inlineStr">
        <is>
          <t>Copiar en Flexxus: Tipo=MB-EXT | Movimiento=GRAVAMEN LEY 25.413 S/DEB | Monto=2,17 | Fecha: 20/04/2026</t>
        </is>
      </c>
    </row>
    <row r="552">
      <c r="A552" s="8" t="inlineStr">
        <is>
          <t>Administración/Banco</t>
        </is>
      </c>
      <c r="B552" s="8" t="inlineStr">
        <is>
          <t>Banco egreso no Flexxus</t>
        </is>
      </c>
      <c r="C552" s="8" t="inlineStr">
        <is>
          <t>Anticipo Ganancias Ley 25.413 débitos</t>
        </is>
      </c>
      <c r="D552" s="9" t="n">
        <v>1.27</v>
      </c>
      <c r="E552" s="8" t="inlineStr">
        <is>
          <t>ABIERTO_NUEVO</t>
        </is>
      </c>
      <c r="F552" s="8" t="inlineStr">
        <is>
          <t>Banco / impuesto / gasto</t>
        </is>
      </c>
      <c r="G552" s="8" t="inlineStr">
        <is>
          <t>Copiar en Flexxus: Tipo=MB-EXT | Movimiento=GRAVAMEN LEY 25.413 S/DEB | Monto=1,27 | Fecha: 20/04/2026</t>
        </is>
      </c>
    </row>
    <row r="553">
      <c r="A553" s="8" t="inlineStr">
        <is>
          <t>Administración/Banco</t>
        </is>
      </c>
      <c r="B553" s="8" t="inlineStr">
        <is>
          <t>Banco egreso no Flexxus</t>
        </is>
      </c>
      <c r="C553" s="8" t="inlineStr">
        <is>
          <t>Anticipo Ganancias Ley 25.413 débitos</t>
        </is>
      </c>
      <c r="D553" s="9" t="n">
        <v>9.32</v>
      </c>
      <c r="E553" s="8" t="inlineStr">
        <is>
          <t>ABIERTO_NUEVO</t>
        </is>
      </c>
      <c r="F553" s="8" t="inlineStr">
        <is>
          <t>Banco / impuesto / gasto</t>
        </is>
      </c>
      <c r="G553" s="8" t="inlineStr">
        <is>
          <t>Copiar en Flexxus: Tipo=MB-EXT | Movimiento=GRAVAMEN LEY 25.413 S/DEB | Monto=9,32 | Fecha: 20/04/2026</t>
        </is>
      </c>
    </row>
    <row r="554">
      <c r="A554" s="8" t="inlineStr">
        <is>
          <t>Administración/Banco</t>
        </is>
      </c>
      <c r="B554" s="8" t="inlineStr">
        <is>
          <t>Banco egreso no Flexxus</t>
        </is>
      </c>
      <c r="C554" s="8" t="inlineStr">
        <is>
          <t>Anticipo Ganancias Ley 25.413 débitos</t>
        </is>
      </c>
      <c r="D554" s="9" t="n">
        <v>35.61</v>
      </c>
      <c r="E554" s="8" t="inlineStr">
        <is>
          <t>ABIERTO_NUEVO</t>
        </is>
      </c>
      <c r="F554" s="8" t="inlineStr">
        <is>
          <t>Banco / impuesto / gasto</t>
        </is>
      </c>
      <c r="G554" s="8" t="inlineStr">
        <is>
          <t>Copiar en Flexxus: Tipo=MB-EXT | Movimiento=GRAVAMEN LEY 25.413 S/DEB | Monto=35,61 | Fecha: 20/04/2026</t>
        </is>
      </c>
    </row>
    <row r="555">
      <c r="A555" s="8" t="inlineStr">
        <is>
          <t>Administración/Banco</t>
        </is>
      </c>
      <c r="B555" s="8" t="inlineStr">
        <is>
          <t>Banco egreso no Flexxus</t>
        </is>
      </c>
      <c r="C555" s="8" t="inlineStr">
        <is>
          <t>Anticipo Ganancias Ley 25.413 débitos</t>
        </is>
      </c>
      <c r="D555" s="9" t="n">
        <v>6.22</v>
      </c>
      <c r="E555" s="8" t="inlineStr">
        <is>
          <t>ABIERTO_NUEVO</t>
        </is>
      </c>
      <c r="F555" s="8" t="inlineStr">
        <is>
          <t>Banco / impuesto / gasto</t>
        </is>
      </c>
      <c r="G555" s="8" t="inlineStr">
        <is>
          <t>Copiar en Flexxus: Tipo=MB-EXT | Movimiento=GRAVAMEN LEY 25.413 S/DEB | Monto=6,22 | Fecha: 20/04/2026</t>
        </is>
      </c>
    </row>
    <row r="556">
      <c r="A556" s="8" t="inlineStr">
        <is>
          <t>Administración/Banco</t>
        </is>
      </c>
      <c r="B556" s="8" t="inlineStr">
        <is>
          <t>Banco egreso no Flexxus</t>
        </is>
      </c>
      <c r="C556" s="8" t="inlineStr">
        <is>
          <t>Anticipo Ganancias Ley 25.413 débitos</t>
        </is>
      </c>
      <c r="D556" s="9" t="n">
        <v>18.07</v>
      </c>
      <c r="E556" s="8" t="inlineStr">
        <is>
          <t>ABIERTO_NUEVO</t>
        </is>
      </c>
      <c r="F556" s="8" t="inlineStr">
        <is>
          <t>Banco / impuesto / gasto</t>
        </is>
      </c>
      <c r="G556" s="8" t="inlineStr">
        <is>
          <t>Copiar en Flexxus: Tipo=MB-EXT | Movimiento=GRAVAMEN LEY 25.413 S/DEB | Monto=18,07 | Fecha: 20/04/2026</t>
        </is>
      </c>
    </row>
    <row r="557">
      <c r="A557" s="8" t="inlineStr">
        <is>
          <t>Administración/Banco</t>
        </is>
      </c>
      <c r="B557" s="8" t="inlineStr">
        <is>
          <t>Banco egreso no Flexxus</t>
        </is>
      </c>
      <c r="C557" s="8" t="inlineStr">
        <is>
          <t>Anticipo Ganancias Ley 25.413 débitos</t>
        </is>
      </c>
      <c r="D557" s="9" t="n">
        <v>5.93</v>
      </c>
      <c r="E557" s="8" t="inlineStr">
        <is>
          <t>ABIERTO_NUEVO</t>
        </is>
      </c>
      <c r="F557" s="8" t="inlineStr">
        <is>
          <t>Banco / impuesto / gasto</t>
        </is>
      </c>
      <c r="G557" s="8" t="inlineStr">
        <is>
          <t>Copiar en Flexxus: Tipo=MB-EXT | Movimiento=GRAVAMEN LEY 25.413 S/DEB | Monto=5,93 | Fecha: 20/04/2026</t>
        </is>
      </c>
    </row>
    <row r="558">
      <c r="A558" s="8" t="inlineStr">
        <is>
          <t>Administración/Banco</t>
        </is>
      </c>
      <c r="B558" s="8" t="inlineStr">
        <is>
          <t>Banco egreso no Flexxus</t>
        </is>
      </c>
      <c r="C558" s="8" t="inlineStr">
        <is>
          <t>Anticipo Ganancias Ley 25.413 débitos</t>
        </is>
      </c>
      <c r="D558" s="9" t="n">
        <v>2.98</v>
      </c>
      <c r="E558" s="8" t="inlineStr">
        <is>
          <t>ABIERTO_NUEVO</t>
        </is>
      </c>
      <c r="F558" s="8" t="inlineStr">
        <is>
          <t>Banco / impuesto / gasto</t>
        </is>
      </c>
      <c r="G558" s="8" t="inlineStr">
        <is>
          <t>Copiar en Flexxus: Tipo=MB-EXT | Movimiento=GRAVAMEN LEY 25.413 S/DEB | Monto=2,98 | Fecha: 20/04/2026</t>
        </is>
      </c>
    </row>
    <row r="559">
      <c r="A559" s="8" t="inlineStr">
        <is>
          <t>Administración/Banco</t>
        </is>
      </c>
      <c r="B559" s="8" t="inlineStr">
        <is>
          <t>Banco egreso no Flexxus</t>
        </is>
      </c>
      <c r="C559" s="8" t="inlineStr">
        <is>
          <t>Anticipo Ganancias Ley 25.413 débitos</t>
        </is>
      </c>
      <c r="D559" s="9" t="n">
        <v>0.68</v>
      </c>
      <c r="E559" s="8" t="inlineStr">
        <is>
          <t>ABIERTO_NUEVO</t>
        </is>
      </c>
      <c r="F559" s="8" t="inlineStr">
        <is>
          <t>Banco / impuesto / gasto</t>
        </is>
      </c>
      <c r="G559" s="8" t="inlineStr">
        <is>
          <t>Copiar en Flexxus: Tipo=MB-EXT | Movimiento=GRAVAMEN LEY 25.413 S/DEB | Monto=0,68 | Fecha: 20/04/2026</t>
        </is>
      </c>
    </row>
    <row r="560">
      <c r="A560" s="8" t="inlineStr">
        <is>
          <t>Administración/Banco</t>
        </is>
      </c>
      <c r="B560" s="8" t="inlineStr">
        <is>
          <t>Banco egreso no Flexxus</t>
        </is>
      </c>
      <c r="C560" s="8" t="inlineStr">
        <is>
          <t>Anticipo Ganancias Ley 25.413 débitos</t>
        </is>
      </c>
      <c r="D560" s="9" t="n">
        <v>2.05</v>
      </c>
      <c r="E560" s="8" t="inlineStr">
        <is>
          <t>ABIERTO_NUEVO</t>
        </is>
      </c>
      <c r="F560" s="8" t="inlineStr">
        <is>
          <t>Banco / impuesto / gasto</t>
        </is>
      </c>
      <c r="G560" s="8" t="inlineStr">
        <is>
          <t>Copiar en Flexxus: Tipo=MB-EXT | Movimiento=GRAVAMEN LEY 25.413 S/DEB | Monto=2,05 | Fecha: 20/04/2026</t>
        </is>
      </c>
    </row>
    <row r="561">
      <c r="A561" s="8" t="inlineStr">
        <is>
          <t>Administración/Banco</t>
        </is>
      </c>
      <c r="B561" s="8" t="inlineStr">
        <is>
          <t>Banco egreso no Flexxus</t>
        </is>
      </c>
      <c r="C561" s="8" t="inlineStr">
        <is>
          <t>Anticipo Ganancias Ley 25.413 débitos</t>
        </is>
      </c>
      <c r="D561" s="9" t="n">
        <v>24.31</v>
      </c>
      <c r="E561" s="8" t="inlineStr">
        <is>
          <t>ABIERTO_NUEVO</t>
        </is>
      </c>
      <c r="F561" s="8" t="inlineStr">
        <is>
          <t>Banco / impuesto / gasto</t>
        </is>
      </c>
      <c r="G561" s="8" t="inlineStr">
        <is>
          <t>Copiar en Flexxus: Tipo=MB-EXT | Movimiento=GRAVAMEN LEY 25.413 S/DEB | Monto=24,31 | Fecha: 20/04/2026</t>
        </is>
      </c>
    </row>
    <row r="562">
      <c r="A562" s="8" t="inlineStr">
        <is>
          <t>Administración/Banco</t>
        </is>
      </c>
      <c r="B562" s="8" t="inlineStr">
        <is>
          <t>Banco egreso no Flexxus</t>
        </is>
      </c>
      <c r="C562" s="8" t="inlineStr">
        <is>
          <t>Anticipo Ganancias Ley 25.413 débitos</t>
        </is>
      </c>
      <c r="D562" s="9" t="n">
        <v>0.74</v>
      </c>
      <c r="E562" s="8" t="inlineStr">
        <is>
          <t>ABIERTO_NUEVO</t>
        </is>
      </c>
      <c r="F562" s="8" t="inlineStr">
        <is>
          <t>Banco / impuesto / gasto</t>
        </is>
      </c>
      <c r="G562" s="8" t="inlineStr">
        <is>
          <t>Copiar en Flexxus: Tipo=MB-EXT | Movimiento=GRAVAMEN LEY 25.413 S/DEB | Monto=0,74 | Fecha: 20/04/2026</t>
        </is>
      </c>
    </row>
    <row r="563">
      <c r="A563" s="8" t="inlineStr">
        <is>
          <t>Administración/Banco</t>
        </is>
      </c>
      <c r="B563" s="8" t="inlineStr">
        <is>
          <t>Banco egreso no Flexxus</t>
        </is>
      </c>
      <c r="C563" s="8" t="inlineStr">
        <is>
          <t>Anticipo Ganancias Ley 25.413 débitos</t>
        </is>
      </c>
      <c r="D563" s="9" t="n">
        <v>2.15</v>
      </c>
      <c r="E563" s="8" t="inlineStr">
        <is>
          <t>ABIERTO_NUEVO</t>
        </is>
      </c>
      <c r="F563" s="8" t="inlineStr">
        <is>
          <t>Banco / impuesto / gasto</t>
        </is>
      </c>
      <c r="G563" s="8" t="inlineStr">
        <is>
          <t>Copiar en Flexxus: Tipo=MB-EXT | Movimiento=GRAVAMEN LEY 25.413 S/DEB | Monto=2,15 | Fecha: 20/04/2026</t>
        </is>
      </c>
    </row>
    <row r="564">
      <c r="A564" s="8" t="inlineStr">
        <is>
          <t>Administración/Banco</t>
        </is>
      </c>
      <c r="B564" s="8" t="inlineStr">
        <is>
          <t>Banco egreso no Flexxus</t>
        </is>
      </c>
      <c r="C564" s="8" t="inlineStr">
        <is>
          <t>Anticipo Ganancias Ley 25.413 débitos</t>
        </is>
      </c>
      <c r="D564" s="9" t="n">
        <v>1.49</v>
      </c>
      <c r="E564" s="8" t="inlineStr">
        <is>
          <t>ABIERTO_NUEVO</t>
        </is>
      </c>
      <c r="F564" s="8" t="inlineStr">
        <is>
          <t>Banco / impuesto / gasto</t>
        </is>
      </c>
      <c r="G564" s="8" t="inlineStr">
        <is>
          <t>Copiar en Flexxus: Tipo=MB-EXT | Movimiento=GRAVAMEN LEY 25.413 S/DEB | Monto=1,49 | Fecha: 20/04/2026</t>
        </is>
      </c>
    </row>
    <row r="565">
      <c r="A565" s="8" t="inlineStr">
        <is>
          <t>Administración/Banco</t>
        </is>
      </c>
      <c r="B565" s="8" t="inlineStr">
        <is>
          <t>Banco egreso no Flexxus</t>
        </is>
      </c>
      <c r="C565" s="8" t="inlineStr">
        <is>
          <t>Anticipo Ganancias Ley 25.413 débitos</t>
        </is>
      </c>
      <c r="D565" s="9" t="n">
        <v>37.83</v>
      </c>
      <c r="E565" s="8" t="inlineStr">
        <is>
          <t>ABIERTO_NUEVO</t>
        </is>
      </c>
      <c r="F565" s="8" t="inlineStr">
        <is>
          <t>Banco / impuesto / gasto</t>
        </is>
      </c>
      <c r="G565" s="8" t="inlineStr">
        <is>
          <t>Copiar en Flexxus: Tipo=MB-EXT | Movimiento=GRAVAMEN LEY 25.413 S/DEB | Monto=37,83 | Fecha: 20/04/2026</t>
        </is>
      </c>
    </row>
    <row r="566">
      <c r="A566" s="8" t="inlineStr">
        <is>
          <t>Administración/Banco</t>
        </is>
      </c>
      <c r="B566" s="8" t="inlineStr">
        <is>
          <t>Banco egreso no Flexxus</t>
        </is>
      </c>
      <c r="C566" s="8" t="inlineStr">
        <is>
          <t>Anticipo Ganancias Ley 25.413 débitos</t>
        </is>
      </c>
      <c r="D566" s="9" t="n">
        <v>7.32</v>
      </c>
      <c r="E566" s="8" t="inlineStr">
        <is>
          <t>ABIERTO_NUEVO</t>
        </is>
      </c>
      <c r="F566" s="8" t="inlineStr">
        <is>
          <t>Banco / impuesto / gasto</t>
        </is>
      </c>
      <c r="G566" s="8" t="inlineStr">
        <is>
          <t>Copiar en Flexxus: Tipo=MB-EXT | Movimiento=GRAVAMEN LEY 25.413 S/DEB | Monto=7,32 | Fecha: 20/04/2026</t>
        </is>
      </c>
    </row>
    <row r="567">
      <c r="A567" s="8" t="inlineStr">
        <is>
          <t>Administración/Banco</t>
        </is>
      </c>
      <c r="B567" s="8" t="inlineStr">
        <is>
          <t>Banco egreso no Flexxus</t>
        </is>
      </c>
      <c r="C567" s="8" t="inlineStr">
        <is>
          <t>Anticipo Ganancias Ley 25.413 débitos</t>
        </is>
      </c>
      <c r="D567" s="9" t="n">
        <v>1.88</v>
      </c>
      <c r="E567" s="8" t="inlineStr">
        <is>
          <t>ABIERTO_NUEVO</t>
        </is>
      </c>
      <c r="F567" s="8" t="inlineStr">
        <is>
          <t>Banco / impuesto / gasto</t>
        </is>
      </c>
      <c r="G567" s="8" t="inlineStr">
        <is>
          <t>Copiar en Flexxus: Tipo=MB-EXT | Movimiento=GRAVAMEN LEY 25.413 S/DEB | Monto=1,88 | Fecha: 20/04/2026</t>
        </is>
      </c>
    </row>
    <row r="568">
      <c r="A568" s="8" t="inlineStr">
        <is>
          <t>Administración/Banco</t>
        </is>
      </c>
      <c r="B568" s="8" t="inlineStr">
        <is>
          <t>Banco egreso no Flexxus</t>
        </is>
      </c>
      <c r="C568" s="8" t="inlineStr">
        <is>
          <t>Anticipo Ganancias Ley 25.413 débitos</t>
        </is>
      </c>
      <c r="D568" s="9" t="n">
        <v>3.13</v>
      </c>
      <c r="E568" s="8" t="inlineStr">
        <is>
          <t>ABIERTO_NUEVO</t>
        </is>
      </c>
      <c r="F568" s="8" t="inlineStr">
        <is>
          <t>Banco / impuesto / gasto</t>
        </is>
      </c>
      <c r="G568" s="8" t="inlineStr">
        <is>
          <t>Copiar en Flexxus: Tipo=MB-EXT | Movimiento=GRAVAMEN LEY 25.413 S/DEB | Monto=3,13 | Fecha: 20/04/2026</t>
        </is>
      </c>
    </row>
    <row r="569">
      <c r="A569" s="8" t="inlineStr">
        <is>
          <t>Administración/Banco</t>
        </is>
      </c>
      <c r="B569" s="8" t="inlineStr">
        <is>
          <t>Banco egreso no Flexxus</t>
        </is>
      </c>
      <c r="C569" s="8" t="inlineStr">
        <is>
          <t>Anticipo Ganancias Ley 25.413 débitos</t>
        </is>
      </c>
      <c r="D569" s="9" t="n">
        <v>5.5</v>
      </c>
      <c r="E569" s="8" t="inlineStr">
        <is>
          <t>ABIERTO_NUEVO</t>
        </is>
      </c>
      <c r="F569" s="8" t="inlineStr">
        <is>
          <t>Banco / impuesto / gasto</t>
        </is>
      </c>
      <c r="G569" s="8" t="inlineStr">
        <is>
          <t>Copiar en Flexxus: Tipo=MB-EXT | Movimiento=GRAVAMEN LEY 25.413 S/DEB | Monto=5,50 | Fecha: 20/04/2026</t>
        </is>
      </c>
    </row>
    <row r="570">
      <c r="A570" s="8" t="inlineStr">
        <is>
          <t>Administración/Banco</t>
        </is>
      </c>
      <c r="B570" s="8" t="inlineStr">
        <is>
          <t>Banco egreso no Flexxus</t>
        </is>
      </c>
      <c r="C570" s="8" t="inlineStr">
        <is>
          <t>Anticipo Ganancias Ley 25.413 débitos</t>
        </is>
      </c>
      <c r="D570" s="9" t="n">
        <v>135.19</v>
      </c>
      <c r="E570" s="8" t="inlineStr">
        <is>
          <t>ABIERTO_NUEVO</t>
        </is>
      </c>
      <c r="F570" s="8" t="inlineStr">
        <is>
          <t>Banco / impuesto / gasto</t>
        </is>
      </c>
      <c r="G570" s="8" t="inlineStr">
        <is>
          <t>Copiar en Flexxus: Tipo=MB-EXT | Movimiento=GRAVAMEN LEY 25.413 S/DEB | Monto=135,19 | Fecha: 20/04/2026</t>
        </is>
      </c>
    </row>
    <row r="571">
      <c r="A571" s="8" t="inlineStr">
        <is>
          <t>Administración/Banco</t>
        </is>
      </c>
      <c r="B571" s="8" t="inlineStr">
        <is>
          <t>Banco egreso no Flexxus</t>
        </is>
      </c>
      <c r="C571" s="8" t="inlineStr">
        <is>
          <t>Anticipo Ganancias Ley 25.413 débitos</t>
        </is>
      </c>
      <c r="D571" s="9" t="n">
        <v>1.9</v>
      </c>
      <c r="E571" s="8" t="inlineStr">
        <is>
          <t>ABIERTO_NUEVO</t>
        </is>
      </c>
      <c r="F571" s="8" t="inlineStr">
        <is>
          <t>Banco / impuesto / gasto</t>
        </is>
      </c>
      <c r="G571" s="8" t="inlineStr">
        <is>
          <t>Copiar en Flexxus: Tipo=MB-EXT | Movimiento=GRAVAMEN LEY 25.413 S/DEB | Monto=1,90 | Fecha: 20/04/2026</t>
        </is>
      </c>
    </row>
    <row r="572">
      <c r="A572" s="8" t="inlineStr">
        <is>
          <t>Administración/Banco</t>
        </is>
      </c>
      <c r="B572" s="8" t="inlineStr">
        <is>
          <t>Banco egreso no Flexxus</t>
        </is>
      </c>
      <c r="C572" s="8" t="inlineStr">
        <is>
          <t>Anticipo Ganancias Ley 25.413 débitos</t>
        </is>
      </c>
      <c r="D572" s="9" t="n">
        <v>0.49</v>
      </c>
      <c r="E572" s="8" t="inlineStr">
        <is>
          <t>ABIERTO_NUEVO</t>
        </is>
      </c>
      <c r="F572" s="8" t="inlineStr">
        <is>
          <t>Banco / impuesto / gasto</t>
        </is>
      </c>
      <c r="G572" s="8" t="inlineStr">
        <is>
          <t>Copiar en Flexxus: Tipo=MB-EXT | Movimiento=GRAVAMEN LEY 25.413 S/DEB | Monto=0,49 | Fecha: 20/04/2026</t>
        </is>
      </c>
    </row>
    <row r="573">
      <c r="A573" s="8" t="inlineStr">
        <is>
          <t>Administración/Banco</t>
        </is>
      </c>
      <c r="B573" s="8" t="inlineStr">
        <is>
          <t>Banco egreso no Flexxus</t>
        </is>
      </c>
      <c r="C573" s="8" t="inlineStr">
        <is>
          <t>Anticipo Ganancias Ley 25.413 débitos</t>
        </is>
      </c>
      <c r="D573" s="9" t="n">
        <v>0.85</v>
      </c>
      <c r="E573" s="8" t="inlineStr">
        <is>
          <t>ABIERTO_NUEVO</t>
        </is>
      </c>
      <c r="F573" s="8" t="inlineStr">
        <is>
          <t>Banco / impuesto / gasto</t>
        </is>
      </c>
      <c r="G573" s="8" t="inlineStr">
        <is>
          <t>Copiar en Flexxus: Tipo=MB-EXT | Movimiento=GRAVAMEN LEY 25.413 S/DEB | Monto=0,85 | Fecha: 20/04/2026</t>
        </is>
      </c>
    </row>
    <row r="574">
      <c r="A574" s="8" t="inlineStr">
        <is>
          <t>Administración/Banco</t>
        </is>
      </c>
      <c r="B574" s="8" t="inlineStr">
        <is>
          <t>Banco egreso no Flexxus</t>
        </is>
      </c>
      <c r="C574" s="8" t="inlineStr">
        <is>
          <t>Anticipo Ganancias Ley 25.413 débitos</t>
        </is>
      </c>
      <c r="D574" s="9" t="n">
        <v>5.73</v>
      </c>
      <c r="E574" s="8" t="inlineStr">
        <is>
          <t>ABIERTO_NUEVO</t>
        </is>
      </c>
      <c r="F574" s="8" t="inlineStr">
        <is>
          <t>Banco / impuesto / gasto</t>
        </is>
      </c>
      <c r="G574" s="8" t="inlineStr">
        <is>
          <t>Copiar en Flexxus: Tipo=MB-EXT | Movimiento=GRAVAMEN LEY 25.413 S/DEB | Monto=5,73 | Fecha: 20/04/2026</t>
        </is>
      </c>
    </row>
    <row r="575">
      <c r="A575" s="8" t="inlineStr">
        <is>
          <t>Administración/Banco</t>
        </is>
      </c>
      <c r="B575" s="8" t="inlineStr">
        <is>
          <t>Banco egreso no Flexxus</t>
        </is>
      </c>
      <c r="C575" s="8" t="inlineStr">
        <is>
          <t>Anticipo Ganancias Ley 25.413 débitos</t>
        </is>
      </c>
      <c r="D575" s="9" t="n">
        <v>3.13</v>
      </c>
      <c r="E575" s="8" t="inlineStr">
        <is>
          <t>ABIERTO_NUEVO</t>
        </is>
      </c>
      <c r="F575" s="8" t="inlineStr">
        <is>
          <t>Banco / impuesto / gasto</t>
        </is>
      </c>
      <c r="G575" s="8" t="inlineStr">
        <is>
          <t>Copiar en Flexxus: Tipo=MB-EXT | Movimiento=GRAVAMEN LEY 25.413 S/DEB | Monto=3,13 | Fecha: 20/04/2026</t>
        </is>
      </c>
    </row>
    <row r="576">
      <c r="A576" s="8" t="inlineStr">
        <is>
          <t>Administración/Banco</t>
        </is>
      </c>
      <c r="B576" s="8" t="inlineStr">
        <is>
          <t>Banco egreso no Flexxus</t>
        </is>
      </c>
      <c r="C576" s="8" t="inlineStr">
        <is>
          <t>Anticipo Ganancias Ley 25.413 débitos</t>
        </is>
      </c>
      <c r="D576" s="9" t="n">
        <v>18.97</v>
      </c>
      <c r="E576" s="8" t="inlineStr">
        <is>
          <t>ABIERTO_NUEVO</t>
        </is>
      </c>
      <c r="F576" s="8" t="inlineStr">
        <is>
          <t>Banco / impuesto / gasto</t>
        </is>
      </c>
      <c r="G576" s="8" t="inlineStr">
        <is>
          <t>Copiar en Flexxus: Tipo=MB-EXT | Movimiento=GRAVAMEN LEY 25.413 S/DEB | Monto=18,97 | Fecha: 20/04/2026</t>
        </is>
      </c>
    </row>
    <row r="577">
      <c r="A577" s="8" t="inlineStr">
        <is>
          <t>Administración/Banco</t>
        </is>
      </c>
      <c r="B577" s="8" t="inlineStr">
        <is>
          <t>Banco egreso no Flexxus</t>
        </is>
      </c>
      <c r="C577" s="8" t="inlineStr">
        <is>
          <t>Anticipo Ganancias Ley 25.413 débitos</t>
        </is>
      </c>
      <c r="D577" s="9" t="n">
        <v>2.11</v>
      </c>
      <c r="E577" s="8" t="inlineStr">
        <is>
          <t>ABIERTO_NUEVO</t>
        </is>
      </c>
      <c r="F577" s="8" t="inlineStr">
        <is>
          <t>Banco / impuesto / gasto</t>
        </is>
      </c>
      <c r="G577" s="8" t="inlineStr">
        <is>
          <t>Copiar en Flexxus: Tipo=MB-EXT | Movimiento=GRAVAMEN LEY 25.413 S/DEB | Monto=2,11 | Fecha: 20/04/2026</t>
        </is>
      </c>
    </row>
    <row r="578">
      <c r="A578" s="8" t="inlineStr">
        <is>
          <t>Administración/Banco</t>
        </is>
      </c>
      <c r="B578" s="8" t="inlineStr">
        <is>
          <t>Banco egreso no Flexxus</t>
        </is>
      </c>
      <c r="C578" s="8" t="inlineStr">
        <is>
          <t>Anticipo Ganancias Ley 25.413 débitos</t>
        </is>
      </c>
      <c r="D578" s="9" t="n">
        <v>1.97</v>
      </c>
      <c r="E578" s="8" t="inlineStr">
        <is>
          <t>ABIERTO_NUEVO</t>
        </is>
      </c>
      <c r="F578" s="8" t="inlineStr">
        <is>
          <t>Banco / impuesto / gasto</t>
        </is>
      </c>
      <c r="G578" s="8" t="inlineStr">
        <is>
          <t>Copiar en Flexxus: Tipo=MB-EXT | Movimiento=GRAVAMEN LEY 25.413 S/DEB | Monto=1,97 | Fecha: 20/04/2026</t>
        </is>
      </c>
    </row>
    <row r="579">
      <c r="A579" s="8" t="inlineStr">
        <is>
          <t>Administración/Banco</t>
        </is>
      </c>
      <c r="B579" s="8" t="inlineStr">
        <is>
          <t>Banco egreso no Flexxus</t>
        </is>
      </c>
      <c r="C579" s="8" t="inlineStr">
        <is>
          <t>Anticipo Ganancias Ley 25.413 débitos</t>
        </is>
      </c>
      <c r="D579" s="9" t="n">
        <v>1.5</v>
      </c>
      <c r="E579" s="8" t="inlineStr">
        <is>
          <t>ABIERTO_NUEVO</t>
        </is>
      </c>
      <c r="F579" s="8" t="inlineStr">
        <is>
          <t>Banco / impuesto / gasto</t>
        </is>
      </c>
      <c r="G579" s="8" t="inlineStr">
        <is>
          <t>Copiar en Flexxus: Tipo=MB-EXT | Movimiento=GRAVAMEN LEY 25.413 S/DEB | Monto=1,50 | Fecha: 20/04/2026</t>
        </is>
      </c>
    </row>
    <row r="580">
      <c r="A580" s="8" t="inlineStr">
        <is>
          <t>Administración/Banco</t>
        </is>
      </c>
      <c r="B580" s="8" t="inlineStr">
        <is>
          <t>Banco egreso no Flexxus</t>
        </is>
      </c>
      <c r="C580" s="8" t="inlineStr">
        <is>
          <t>Anticipo Ganancias Ley 25.413 débitos</t>
        </is>
      </c>
      <c r="D580" s="9" t="n">
        <v>1.59</v>
      </c>
      <c r="E580" s="8" t="inlineStr">
        <is>
          <t>ABIERTO_NUEVO</t>
        </is>
      </c>
      <c r="F580" s="8" t="inlineStr">
        <is>
          <t>Banco / impuesto / gasto</t>
        </is>
      </c>
      <c r="G580" s="8" t="inlineStr">
        <is>
          <t>Copiar en Flexxus: Tipo=MB-EXT | Movimiento=GRAVAMEN LEY 25.413 S/DEB | Monto=1,59 | Fecha: 20/04/2026</t>
        </is>
      </c>
    </row>
    <row r="581">
      <c r="A581" s="8" t="inlineStr">
        <is>
          <t>Administración/Banco</t>
        </is>
      </c>
      <c r="B581" s="8" t="inlineStr">
        <is>
          <t>Banco egreso no Flexxus</t>
        </is>
      </c>
      <c r="C581" s="8" t="inlineStr">
        <is>
          <t>Anticipo Ganancias Ley 25.413 débitos</t>
        </is>
      </c>
      <c r="D581" s="9" t="n">
        <v>1.37</v>
      </c>
      <c r="E581" s="8" t="inlineStr">
        <is>
          <t>ABIERTO_NUEVO</t>
        </is>
      </c>
      <c r="F581" s="8" t="inlineStr">
        <is>
          <t>Banco / impuesto / gasto</t>
        </is>
      </c>
      <c r="G581" s="8" t="inlineStr">
        <is>
          <t>Copiar en Flexxus: Tipo=MB-EXT | Movimiento=GRAVAMEN LEY 25.413 S/DEB | Monto=1,37 | Fecha: 20/04/2026</t>
        </is>
      </c>
    </row>
    <row r="582">
      <c r="A582" s="8" t="inlineStr">
        <is>
          <t>Administración/Banco</t>
        </is>
      </c>
      <c r="B582" s="8" t="inlineStr">
        <is>
          <t>Banco egreso no Flexxus</t>
        </is>
      </c>
      <c r="C582" s="8" t="inlineStr">
        <is>
          <t>Anticipo Ganancias Ley 25.413 débitos</t>
        </is>
      </c>
      <c r="D582" s="9" t="n">
        <v>0.68</v>
      </c>
      <c r="E582" s="8" t="inlineStr">
        <is>
          <t>ABIERTO_NUEVO</t>
        </is>
      </c>
      <c r="F582" s="8" t="inlineStr">
        <is>
          <t>Banco / impuesto / gasto</t>
        </is>
      </c>
      <c r="G582" s="8" t="inlineStr">
        <is>
          <t>Copiar en Flexxus: Tipo=MB-EXT | Movimiento=GRAVAMEN LEY 25.413 S/DEB | Monto=0,68 | Fecha: 20/04/2026</t>
        </is>
      </c>
    </row>
    <row r="583">
      <c r="A583" s="8" t="inlineStr">
        <is>
          <t>Administración/Banco</t>
        </is>
      </c>
      <c r="B583" s="8" t="inlineStr">
        <is>
          <t>Banco egreso no Flexxus</t>
        </is>
      </c>
      <c r="C583" s="8" t="inlineStr">
        <is>
          <t>Anticipo Ganancias Ley 25.413 débitos</t>
        </is>
      </c>
      <c r="D583" s="9" t="n">
        <v>1.08</v>
      </c>
      <c r="E583" s="8" t="inlineStr">
        <is>
          <t>ABIERTO_NUEVO</t>
        </is>
      </c>
      <c r="F583" s="8" t="inlineStr">
        <is>
          <t>Banco / impuesto / gasto</t>
        </is>
      </c>
      <c r="G583" s="8" t="inlineStr">
        <is>
          <t>Copiar en Flexxus: Tipo=MB-EXT | Movimiento=GRAVAMEN LEY 25.413 S/DEB | Monto=1,08 | Fecha: 20/04/2026</t>
        </is>
      </c>
    </row>
    <row r="584">
      <c r="A584" s="8" t="inlineStr">
        <is>
          <t>Administración/Banco</t>
        </is>
      </c>
      <c r="B584" s="8" t="inlineStr">
        <is>
          <t>Banco egreso no Flexxus</t>
        </is>
      </c>
      <c r="C584" s="8" t="inlineStr">
        <is>
          <t>Anticipo Ganancias Ley 25.413 débitos</t>
        </is>
      </c>
      <c r="D584" s="9" t="n">
        <v>1.01</v>
      </c>
      <c r="E584" s="8" t="inlineStr">
        <is>
          <t>ABIERTO_NUEVO</t>
        </is>
      </c>
      <c r="F584" s="8" t="inlineStr">
        <is>
          <t>Banco / impuesto / gasto</t>
        </is>
      </c>
      <c r="G584" s="8" t="inlineStr">
        <is>
          <t>Copiar en Flexxus: Tipo=MB-EXT | Movimiento=GRAVAMEN LEY 25.413 S/DEB | Monto=1,01 | Fecha: 20/04/2026</t>
        </is>
      </c>
    </row>
    <row r="585">
      <c r="A585" s="8" t="inlineStr">
        <is>
          <t>Administración/Banco</t>
        </is>
      </c>
      <c r="B585" s="8" t="inlineStr">
        <is>
          <t>Banco egreso no Flexxus</t>
        </is>
      </c>
      <c r="C585" s="8" t="inlineStr">
        <is>
          <t>Anticipo Ganancias Ley 25.413 débitos</t>
        </is>
      </c>
      <c r="D585" s="9" t="n">
        <v>1.38</v>
      </c>
      <c r="E585" s="8" t="inlineStr">
        <is>
          <t>ABIERTO_NUEVO</t>
        </is>
      </c>
      <c r="F585" s="8" t="inlineStr">
        <is>
          <t>Banco / impuesto / gasto</t>
        </is>
      </c>
      <c r="G585" s="8" t="inlineStr">
        <is>
          <t>Copiar en Flexxus: Tipo=MB-EXT | Movimiento=GRAVAMEN LEY 25.413 S/DEB | Monto=1,38 | Fecha: 20/04/2026</t>
        </is>
      </c>
    </row>
    <row r="586">
      <c r="A586" s="8" t="inlineStr">
        <is>
          <t>Administración/Banco</t>
        </is>
      </c>
      <c r="B586" s="8" t="inlineStr">
        <is>
          <t>Banco egreso no Flexxus</t>
        </is>
      </c>
      <c r="C586" s="8" t="inlineStr">
        <is>
          <t>Anticipo Ganancias Ley 25.413 débitos</t>
        </is>
      </c>
      <c r="D586" s="9" t="n">
        <v>3.16</v>
      </c>
      <c r="E586" s="8" t="inlineStr">
        <is>
          <t>ABIERTO_NUEVO</t>
        </is>
      </c>
      <c r="F586" s="8" t="inlineStr">
        <is>
          <t>Banco / impuesto / gasto</t>
        </is>
      </c>
      <c r="G586" s="8" t="inlineStr">
        <is>
          <t>Copiar en Flexxus: Tipo=MB-EXT | Movimiento=GRAVAMEN LEY 25.413 S/DEB | Monto=3,16 | Fecha: 20/04/2026</t>
        </is>
      </c>
    </row>
    <row r="587">
      <c r="A587" s="8" t="inlineStr">
        <is>
          <t>Administración/Banco</t>
        </is>
      </c>
      <c r="B587" s="8" t="inlineStr">
        <is>
          <t>Banco egreso no Flexxus</t>
        </is>
      </c>
      <c r="C587" s="8" t="inlineStr">
        <is>
          <t>Anticipo Ganancias Ley 25.413 débitos</t>
        </is>
      </c>
      <c r="D587" s="9" t="n">
        <v>3.16</v>
      </c>
      <c r="E587" s="8" t="inlineStr">
        <is>
          <t>ABIERTO_NUEVO</t>
        </is>
      </c>
      <c r="F587" s="8" t="inlineStr">
        <is>
          <t>Banco / impuesto / gasto</t>
        </is>
      </c>
      <c r="G587" s="8" t="inlineStr">
        <is>
          <t>Copiar en Flexxus: Tipo=MB-EXT | Movimiento=GRAVAMEN LEY 25.413 S/DEB | Monto=3,16 | Fecha: 20/04/2026</t>
        </is>
      </c>
    </row>
    <row r="588">
      <c r="A588" s="8" t="inlineStr">
        <is>
          <t>Administración/Banco</t>
        </is>
      </c>
      <c r="B588" s="8" t="inlineStr">
        <is>
          <t>Banco egreso no Flexxus</t>
        </is>
      </c>
      <c r="C588" s="8" t="inlineStr">
        <is>
          <t>Anticipo Ganancias Ley 25.413 débitos</t>
        </is>
      </c>
      <c r="D588" s="9" t="n">
        <v>1.4</v>
      </c>
      <c r="E588" s="8" t="inlineStr">
        <is>
          <t>ABIERTO_NUEVO</t>
        </is>
      </c>
      <c r="F588" s="8" t="inlineStr">
        <is>
          <t>Banco / impuesto / gasto</t>
        </is>
      </c>
      <c r="G588" s="8" t="inlineStr">
        <is>
          <t>Copiar en Flexxus: Tipo=MB-EXT | Movimiento=GRAVAMEN LEY 25.413 S/DEB | Monto=1,40 | Fecha: 20/04/2026</t>
        </is>
      </c>
    </row>
    <row r="589">
      <c r="A589" s="8" t="inlineStr">
        <is>
          <t>Administración/Banco</t>
        </is>
      </c>
      <c r="B589" s="8" t="inlineStr">
        <is>
          <t>Banco egreso no Flexxus</t>
        </is>
      </c>
      <c r="C589" s="8" t="inlineStr">
        <is>
          <t>Anticipo Ganancias Ley 25.413 débitos</t>
        </is>
      </c>
      <c r="D589" s="9" t="n">
        <v>17.84</v>
      </c>
      <c r="E589" s="8" t="inlineStr">
        <is>
          <t>ABIERTO_NUEVO</t>
        </is>
      </c>
      <c r="F589" s="8" t="inlineStr">
        <is>
          <t>Banco / impuesto / gasto</t>
        </is>
      </c>
      <c r="G589" s="8" t="inlineStr">
        <is>
          <t>Copiar en Flexxus: Tipo=MB-EXT | Movimiento=GRAVAMEN LEY 25.413 S/DEB | Monto=17,84 | Fecha: 20/04/2026</t>
        </is>
      </c>
    </row>
    <row r="590">
      <c r="A590" s="8" t="inlineStr">
        <is>
          <t>Administración/Banco</t>
        </is>
      </c>
      <c r="B590" s="8" t="inlineStr">
        <is>
          <t>Banco egreso no Flexxus</t>
        </is>
      </c>
      <c r="C590" s="8" t="inlineStr">
        <is>
          <t>Anticipo Ganancias Ley 25.413 débitos</t>
        </is>
      </c>
      <c r="D590" s="9" t="n">
        <v>9.550000000000001</v>
      </c>
      <c r="E590" s="8" t="inlineStr">
        <is>
          <t>ABIERTO_NUEVO</t>
        </is>
      </c>
      <c r="F590" s="8" t="inlineStr">
        <is>
          <t>Banco / impuesto / gasto</t>
        </is>
      </c>
      <c r="G590" s="8" t="inlineStr">
        <is>
          <t>Copiar en Flexxus: Tipo=MB-EXT | Movimiento=GRAVAMEN LEY 25.413 S/DEB | Monto=9,55 | Fecha: 20/04/2026</t>
        </is>
      </c>
    </row>
    <row r="591">
      <c r="A591" s="8" t="inlineStr">
        <is>
          <t>Administración/Banco</t>
        </is>
      </c>
      <c r="B591" s="8" t="inlineStr">
        <is>
          <t>Banco egreso no Flexxus</t>
        </is>
      </c>
      <c r="C591" s="8" t="inlineStr">
        <is>
          <t>Anticipo Ganancias Ley 25.413 débitos</t>
        </is>
      </c>
      <c r="D591" s="9" t="n">
        <v>8.66</v>
      </c>
      <c r="E591" s="8" t="inlineStr">
        <is>
          <t>ABIERTO_NUEVO</t>
        </is>
      </c>
      <c r="F591" s="8" t="inlineStr">
        <is>
          <t>Banco / impuesto / gasto</t>
        </is>
      </c>
      <c r="G591" s="8" t="inlineStr">
        <is>
          <t>Copiar en Flexxus: Tipo=MB-EXT | Movimiento=GRAVAMEN LEY 25.413 S/DEB | Monto=8,66 | Fecha: 20/04/2026</t>
        </is>
      </c>
    </row>
    <row r="592">
      <c r="A592" s="8" t="inlineStr">
        <is>
          <t>Administración/Banco</t>
        </is>
      </c>
      <c r="B592" s="8" t="inlineStr">
        <is>
          <t>Banco egreso no Flexxus</t>
        </is>
      </c>
      <c r="C592" s="8" t="inlineStr">
        <is>
          <t>Anticipo Ganancias Ley 25.413 débitos</t>
        </is>
      </c>
      <c r="D592" s="9" t="n">
        <v>2.06</v>
      </c>
      <c r="E592" s="8" t="inlineStr">
        <is>
          <t>ABIERTO_NUEVO</t>
        </is>
      </c>
      <c r="F592" s="8" t="inlineStr">
        <is>
          <t>Banco / impuesto / gasto</t>
        </is>
      </c>
      <c r="G592" s="8" t="inlineStr">
        <is>
          <t>Copiar en Flexxus: Tipo=MB-EXT | Movimiento=GRAVAMEN LEY 25.413 S/DEB | Monto=2,06 | Fecha: 20/04/2026</t>
        </is>
      </c>
    </row>
    <row r="593">
      <c r="A593" s="8" t="inlineStr">
        <is>
          <t>Administración/Banco</t>
        </is>
      </c>
      <c r="B593" s="8" t="inlineStr">
        <is>
          <t>Banco egreso no Flexxus</t>
        </is>
      </c>
      <c r="C593" s="8" t="inlineStr">
        <is>
          <t>Anticipo Ganancias Ley 25.413 débitos</t>
        </is>
      </c>
      <c r="D593" s="9" t="n">
        <v>2.1</v>
      </c>
      <c r="E593" s="8" t="inlineStr">
        <is>
          <t>ABIERTO_NUEVO</t>
        </is>
      </c>
      <c r="F593" s="8" t="inlineStr">
        <is>
          <t>Banco / impuesto / gasto</t>
        </is>
      </c>
      <c r="G593" s="8" t="inlineStr">
        <is>
          <t>Copiar en Flexxus: Tipo=MB-EXT | Movimiento=GRAVAMEN LEY 25.413 S/DEB | Monto=2,10 | Fecha: 20/04/2026</t>
        </is>
      </c>
    </row>
    <row r="594">
      <c r="A594" s="8" t="inlineStr">
        <is>
          <t>Administración/Banco</t>
        </is>
      </c>
      <c r="B594" s="8" t="inlineStr">
        <is>
          <t>Banco egreso no Flexxus</t>
        </is>
      </c>
      <c r="C594" s="8" t="inlineStr">
        <is>
          <t>Anticipo Ganancias Ley 25.413 débitos</t>
        </is>
      </c>
      <c r="D594" s="9" t="n">
        <v>2.44</v>
      </c>
      <c r="E594" s="8" t="inlineStr">
        <is>
          <t>ABIERTO_NUEVO</t>
        </is>
      </c>
      <c r="F594" s="8" t="inlineStr">
        <is>
          <t>Banco / impuesto / gasto</t>
        </is>
      </c>
      <c r="G594" s="8" t="inlineStr">
        <is>
          <t>Copiar en Flexxus: Tipo=MB-EXT | Movimiento=GRAVAMEN LEY 25.413 S/DEB | Monto=2,44 | Fecha: 20/04/2026</t>
        </is>
      </c>
    </row>
    <row r="595">
      <c r="A595" s="8" t="inlineStr">
        <is>
          <t>Administración/Banco</t>
        </is>
      </c>
      <c r="B595" s="8" t="inlineStr">
        <is>
          <t>Banco egreso no Flexxus</t>
        </is>
      </c>
      <c r="C595" s="8" t="inlineStr">
        <is>
          <t>Anticipo Ganancias Ley 25.413 débitos</t>
        </is>
      </c>
      <c r="D595" s="9" t="n">
        <v>1.89</v>
      </c>
      <c r="E595" s="8" t="inlineStr">
        <is>
          <t>ABIERTO_NUEVO</t>
        </is>
      </c>
      <c r="F595" s="8" t="inlineStr">
        <is>
          <t>Banco / impuesto / gasto</t>
        </is>
      </c>
      <c r="G595" s="8" t="inlineStr">
        <is>
          <t>Copiar en Flexxus: Tipo=MB-EXT | Movimiento=GRAVAMEN LEY 25.413 S/DEB | Monto=1,89 | Fecha: 20/04/2026</t>
        </is>
      </c>
    </row>
    <row r="596">
      <c r="A596" s="8" t="inlineStr">
        <is>
          <t>Administración/Banco</t>
        </is>
      </c>
      <c r="B596" s="8" t="inlineStr">
        <is>
          <t>Banco egreso no Flexxus</t>
        </is>
      </c>
      <c r="C596" s="8" t="inlineStr">
        <is>
          <t>Anticipo Ganancias Ley 25.413 débitos</t>
        </is>
      </c>
      <c r="D596" s="9" t="n">
        <v>2.26</v>
      </c>
      <c r="E596" s="8" t="inlineStr">
        <is>
          <t>ABIERTO_NUEVO</t>
        </is>
      </c>
      <c r="F596" s="8" t="inlineStr">
        <is>
          <t>Banco / impuesto / gasto</t>
        </is>
      </c>
      <c r="G596" s="8" t="inlineStr">
        <is>
          <t>Copiar en Flexxus: Tipo=MB-EXT | Movimiento=GRAVAMEN LEY 25.413 S/DEB | Monto=2,26 | Fecha: 20/04/2026</t>
        </is>
      </c>
    </row>
    <row r="597">
      <c r="A597" s="8" t="inlineStr">
        <is>
          <t>Administración/Banco</t>
        </is>
      </c>
      <c r="B597" s="8" t="inlineStr">
        <is>
          <t>Banco egreso no Flexxus</t>
        </is>
      </c>
      <c r="C597" s="8" t="inlineStr">
        <is>
          <t>Anticipo Ganancias Ley 25.413 débitos</t>
        </is>
      </c>
      <c r="D597" s="9" t="n">
        <v>0.2</v>
      </c>
      <c r="E597" s="8" t="inlineStr">
        <is>
          <t>ABIERTO_NUEVO</t>
        </is>
      </c>
      <c r="F597" s="8" t="inlineStr">
        <is>
          <t>Banco / impuesto / gasto</t>
        </is>
      </c>
      <c r="G597" s="8" t="inlineStr">
        <is>
          <t>Copiar en Flexxus: Tipo=MB-EXT | Movimiento=GRAVAMEN LEY 25.413 S/DEB | Monto=0,20 | Fecha: 20/04/2026</t>
        </is>
      </c>
    </row>
    <row r="598">
      <c r="A598" s="8" t="inlineStr">
        <is>
          <t>Administración/Banco</t>
        </is>
      </c>
      <c r="B598" s="8" t="inlineStr">
        <is>
          <t>Banco egreso no Flexxus</t>
        </is>
      </c>
      <c r="C598" s="8" t="inlineStr">
        <is>
          <t>Anticipo Ganancias Ley 25.413 débitos</t>
        </is>
      </c>
      <c r="D598" s="9" t="n">
        <v>1.66</v>
      </c>
      <c r="E598" s="8" t="inlineStr">
        <is>
          <t>ABIERTO_NUEVO</t>
        </is>
      </c>
      <c r="F598" s="8" t="inlineStr">
        <is>
          <t>Banco / impuesto / gasto</t>
        </is>
      </c>
      <c r="G598" s="8" t="inlineStr">
        <is>
          <t>Copiar en Flexxus: Tipo=MB-EXT | Movimiento=GRAVAMEN LEY 25.413 S/DEB | Monto=1,66 | Fecha: 20/04/2026</t>
        </is>
      </c>
    </row>
    <row r="599">
      <c r="A599" s="8" t="inlineStr">
        <is>
          <t>Administración/Banco</t>
        </is>
      </c>
      <c r="B599" s="8" t="inlineStr">
        <is>
          <t>Banco egreso no Flexxus</t>
        </is>
      </c>
      <c r="C599" s="8" t="inlineStr">
        <is>
          <t>Anticipo Ganancias Ley 25.413 débitos</t>
        </is>
      </c>
      <c r="D599" s="9" t="n">
        <v>0.8</v>
      </c>
      <c r="E599" s="8" t="inlineStr">
        <is>
          <t>ABIERTO_NUEVO</t>
        </is>
      </c>
      <c r="F599" s="8" t="inlineStr">
        <is>
          <t>Banco / impuesto / gasto</t>
        </is>
      </c>
      <c r="G599" s="8" t="inlineStr">
        <is>
          <t>Copiar en Flexxus: Tipo=MB-EXT | Movimiento=GRAVAMEN LEY 25.413 S/DEB | Monto=0,80 | Fecha: 20/04/2026</t>
        </is>
      </c>
    </row>
    <row r="600">
      <c r="A600" s="8" t="inlineStr">
        <is>
          <t>Administración/Banco</t>
        </is>
      </c>
      <c r="B600" s="8" t="inlineStr">
        <is>
          <t>Banco egreso no Flexxus</t>
        </is>
      </c>
      <c r="C600" s="8" t="inlineStr">
        <is>
          <t>Anticipo Ganancias Ley 25.413 débitos</t>
        </is>
      </c>
      <c r="D600" s="9" t="n">
        <v>2.62</v>
      </c>
      <c r="E600" s="8" t="inlineStr">
        <is>
          <t>ABIERTO_NUEVO</t>
        </is>
      </c>
      <c r="F600" s="8" t="inlineStr">
        <is>
          <t>Banco / impuesto / gasto</t>
        </is>
      </c>
      <c r="G600" s="8" t="inlineStr">
        <is>
          <t>Copiar en Flexxus: Tipo=MB-EXT | Movimiento=GRAVAMEN LEY 25.413 S/DEB | Monto=2,62 | Fecha: 20/04/2026</t>
        </is>
      </c>
    </row>
    <row r="601">
      <c r="A601" s="8" t="inlineStr">
        <is>
          <t>Administración/Banco</t>
        </is>
      </c>
      <c r="B601" s="8" t="inlineStr">
        <is>
          <t>Banco egreso no Flexxus</t>
        </is>
      </c>
      <c r="C601" s="8" t="inlineStr">
        <is>
          <t>Anticipo Ganancias Ley 25.413 débitos</t>
        </is>
      </c>
      <c r="D601" s="9" t="n">
        <v>2.73</v>
      </c>
      <c r="E601" s="8" t="inlineStr">
        <is>
          <t>ABIERTO_NUEVO</t>
        </is>
      </c>
      <c r="F601" s="8" t="inlineStr">
        <is>
          <t>Banco / impuesto / gasto</t>
        </is>
      </c>
      <c r="G601" s="8" t="inlineStr">
        <is>
          <t>Copiar en Flexxus: Tipo=MB-EXT | Movimiento=GRAVAMEN LEY 25.413 S/DEB | Monto=2,73 | Fecha: 20/04/2026</t>
        </is>
      </c>
    </row>
    <row r="602">
      <c r="A602" s="8" t="inlineStr">
        <is>
          <t>Administración/Banco</t>
        </is>
      </c>
      <c r="B602" s="8" t="inlineStr">
        <is>
          <t>Banco egreso no Flexxus</t>
        </is>
      </c>
      <c r="C602" s="8" t="inlineStr">
        <is>
          <t>Anticipo Ganancias Ley 25.413 débitos</t>
        </is>
      </c>
      <c r="D602" s="9" t="n">
        <v>1.11</v>
      </c>
      <c r="E602" s="8" t="inlineStr">
        <is>
          <t>ABIERTO_NUEVO</t>
        </is>
      </c>
      <c r="F602" s="8" t="inlineStr">
        <is>
          <t>Banco / impuesto / gasto</t>
        </is>
      </c>
      <c r="G602" s="8" t="inlineStr">
        <is>
          <t>Copiar en Flexxus: Tipo=MB-EXT | Movimiento=GRAVAMEN LEY 25.413 S/DEB | Monto=1,11 | Fecha: 20/04/2026</t>
        </is>
      </c>
    </row>
    <row r="603">
      <c r="A603" s="8" t="inlineStr">
        <is>
          <t>Administración/Banco</t>
        </is>
      </c>
      <c r="B603" s="8" t="inlineStr">
        <is>
          <t>Banco egreso no Flexxus</t>
        </is>
      </c>
      <c r="C603" s="8" t="inlineStr">
        <is>
          <t>Anticipo Ganancias Ley 25.413 débitos</t>
        </is>
      </c>
      <c r="D603" s="9" t="n">
        <v>1.59</v>
      </c>
      <c r="E603" s="8" t="inlineStr">
        <is>
          <t>ABIERTO_NUEVO</t>
        </is>
      </c>
      <c r="F603" s="8" t="inlineStr">
        <is>
          <t>Banco / impuesto / gasto</t>
        </is>
      </c>
      <c r="G603" s="8" t="inlineStr">
        <is>
          <t>Copiar en Flexxus: Tipo=MB-EXT | Movimiento=GRAVAMEN LEY 25.413 S/DEB | Monto=1,59 | Fecha: 20/04/2026</t>
        </is>
      </c>
    </row>
    <row r="604">
      <c r="A604" s="8" t="inlineStr">
        <is>
          <t>Administración/Banco</t>
        </is>
      </c>
      <c r="B604" s="8" t="inlineStr">
        <is>
          <t>Banco egreso no Flexxus</t>
        </is>
      </c>
      <c r="C604" s="8" t="inlineStr">
        <is>
          <t>Anticipo Ganancias Ley 25.413 débitos</t>
        </is>
      </c>
      <c r="D604" s="9" t="n">
        <v>0.92</v>
      </c>
      <c r="E604" s="8" t="inlineStr">
        <is>
          <t>ABIERTO_NUEVO</t>
        </is>
      </c>
      <c r="F604" s="8" t="inlineStr">
        <is>
          <t>Banco / impuesto / gasto</t>
        </is>
      </c>
      <c r="G604" s="8" t="inlineStr">
        <is>
          <t>Copiar en Flexxus: Tipo=MB-EXT | Movimiento=GRAVAMEN LEY 25.413 S/DEB | Monto=0,92 | Fecha: 20/04/2026</t>
        </is>
      </c>
    </row>
    <row r="605">
      <c r="A605" s="8" t="inlineStr">
        <is>
          <t>Administración/Banco</t>
        </is>
      </c>
      <c r="B605" s="8" t="inlineStr">
        <is>
          <t>Banco egreso no Flexxus</t>
        </is>
      </c>
      <c r="C605" s="8" t="inlineStr">
        <is>
          <t>Anticipo Ganancias Ley 25.413 débitos</t>
        </is>
      </c>
      <c r="D605" s="9" t="n">
        <v>1.49</v>
      </c>
      <c r="E605" s="8" t="inlineStr">
        <is>
          <t>ABIERTO_NUEVO</t>
        </is>
      </c>
      <c r="F605" s="8" t="inlineStr">
        <is>
          <t>Banco / impuesto / gasto</t>
        </is>
      </c>
      <c r="G605" s="8" t="inlineStr">
        <is>
          <t>Copiar en Flexxus: Tipo=MB-EXT | Movimiento=GRAVAMEN LEY 25.413 S/DEB | Monto=1,49 | Fecha: 20/04/2026</t>
        </is>
      </c>
    </row>
    <row r="606">
      <c r="A606" s="8" t="inlineStr">
        <is>
          <t>Administración/Banco</t>
        </is>
      </c>
      <c r="B606" s="8" t="inlineStr">
        <is>
          <t>Banco egreso no Flexxus</t>
        </is>
      </c>
      <c r="C606" s="8" t="inlineStr">
        <is>
          <t>Anticipo Ganancias Ley 25.413 débitos</t>
        </is>
      </c>
      <c r="D606" s="9" t="n">
        <v>1.02</v>
      </c>
      <c r="E606" s="8" t="inlineStr">
        <is>
          <t>ABIERTO_NUEVO</t>
        </is>
      </c>
      <c r="F606" s="8" t="inlineStr">
        <is>
          <t>Banco / impuesto / gasto</t>
        </is>
      </c>
      <c r="G606" s="8" t="inlineStr">
        <is>
          <t>Copiar en Flexxus: Tipo=MB-EXT | Movimiento=GRAVAMEN LEY 25.413 S/DEB | Monto=1,02 | Fecha: 20/04/2026</t>
        </is>
      </c>
    </row>
    <row r="607">
      <c r="A607" s="8" t="inlineStr">
        <is>
          <t>Administración/Banco</t>
        </is>
      </c>
      <c r="B607" s="8" t="inlineStr">
        <is>
          <t>Banco egreso no Flexxus</t>
        </is>
      </c>
      <c r="C607" s="8" t="inlineStr">
        <is>
          <t>Anticipo Ganancias Ley 25.413 débitos</t>
        </is>
      </c>
      <c r="D607" s="9" t="n">
        <v>1.08</v>
      </c>
      <c r="E607" s="8" t="inlineStr">
        <is>
          <t>ABIERTO_NUEVO</t>
        </is>
      </c>
      <c r="F607" s="8" t="inlineStr">
        <is>
          <t>Banco / impuesto / gasto</t>
        </is>
      </c>
      <c r="G607" s="8" t="inlineStr">
        <is>
          <t>Copiar en Flexxus: Tipo=MB-EXT | Movimiento=GRAVAMEN LEY 25.413 S/DEB | Monto=1,08 | Fecha: 20/04/2026</t>
        </is>
      </c>
    </row>
    <row r="608">
      <c r="A608" s="8" t="inlineStr">
        <is>
          <t>Administración/Banco</t>
        </is>
      </c>
      <c r="B608" s="8" t="inlineStr">
        <is>
          <t>Banco egreso no Flexxus</t>
        </is>
      </c>
      <c r="C608" s="8" t="inlineStr">
        <is>
          <t>Anticipo Ganancias Ley 25.413 débitos</t>
        </is>
      </c>
      <c r="D608" s="9" t="n">
        <v>0.33</v>
      </c>
      <c r="E608" s="8" t="inlineStr">
        <is>
          <t>ABIERTO_NUEVO</t>
        </is>
      </c>
      <c r="F608" s="8" t="inlineStr">
        <is>
          <t>Banco / impuesto / gasto</t>
        </is>
      </c>
      <c r="G608" s="8" t="inlineStr">
        <is>
          <t>Copiar en Flexxus: Tipo=MB-EXT | Movimiento=GRAVAMEN LEY 25.413 S/DEB | Monto=0,33 | Fecha: 20/04/2026</t>
        </is>
      </c>
    </row>
    <row r="609">
      <c r="A609" s="8" t="inlineStr">
        <is>
          <t>Administración/Banco</t>
        </is>
      </c>
      <c r="B609" s="8" t="inlineStr">
        <is>
          <t>Banco egreso no Flexxus</t>
        </is>
      </c>
      <c r="C609" s="8" t="inlineStr">
        <is>
          <t>Anticipo Ganancias Ley 25.413 débitos</t>
        </is>
      </c>
      <c r="D609" s="9" t="n">
        <v>1.15</v>
      </c>
      <c r="E609" s="8" t="inlineStr">
        <is>
          <t>ABIERTO_NUEVO</t>
        </is>
      </c>
      <c r="F609" s="8" t="inlineStr">
        <is>
          <t>Banco / impuesto / gasto</t>
        </is>
      </c>
      <c r="G609" s="8" t="inlineStr">
        <is>
          <t>Copiar en Flexxus: Tipo=MB-EXT | Movimiento=GRAVAMEN LEY 25.413 S/DEB | Monto=1,15 | Fecha: 20/04/2026</t>
        </is>
      </c>
    </row>
    <row r="610">
      <c r="A610" s="8" t="inlineStr">
        <is>
          <t>Administración/Banco</t>
        </is>
      </c>
      <c r="B610" s="8" t="inlineStr">
        <is>
          <t>Banco egreso no Flexxus</t>
        </is>
      </c>
      <c r="C610" s="8" t="inlineStr">
        <is>
          <t>Anticipo Ganancias Ley 25.413 débitos</t>
        </is>
      </c>
      <c r="D610" s="9" t="n">
        <v>2.29</v>
      </c>
      <c r="E610" s="8" t="inlineStr">
        <is>
          <t>ABIERTO_NUEVO</t>
        </is>
      </c>
      <c r="F610" s="8" t="inlineStr">
        <is>
          <t>Banco / impuesto / gasto</t>
        </is>
      </c>
      <c r="G610" s="8" t="inlineStr">
        <is>
          <t>Copiar en Flexxus: Tipo=MB-EXT | Movimiento=GRAVAMEN LEY 25.413 S/DEB | Monto=2,29 | Fecha: 20/04/2026</t>
        </is>
      </c>
    </row>
    <row r="611">
      <c r="A611" s="8" t="inlineStr">
        <is>
          <t>Administración/Banco</t>
        </is>
      </c>
      <c r="B611" s="8" t="inlineStr">
        <is>
          <t>Banco egreso no Flexxus</t>
        </is>
      </c>
      <c r="C611" s="8" t="inlineStr">
        <is>
          <t>Anticipo Ganancias Ley 25.413 débitos</t>
        </is>
      </c>
      <c r="D611" s="9" t="n">
        <v>1.37</v>
      </c>
      <c r="E611" s="8" t="inlineStr">
        <is>
          <t>ABIERTO_NUEVO</t>
        </is>
      </c>
      <c r="F611" s="8" t="inlineStr">
        <is>
          <t>Banco / impuesto / gasto</t>
        </is>
      </c>
      <c r="G611" s="8" t="inlineStr">
        <is>
          <t>Copiar en Flexxus: Tipo=MB-EXT | Movimiento=GRAVAMEN LEY 25.413 S/DEB | Monto=1,37 | Fecha: 20/04/2026</t>
        </is>
      </c>
    </row>
    <row r="612">
      <c r="A612" s="8" t="inlineStr">
        <is>
          <t>Administración/Banco</t>
        </is>
      </c>
      <c r="B612" s="8" t="inlineStr">
        <is>
          <t>Banco egreso no Flexxus</t>
        </is>
      </c>
      <c r="C612" s="8" t="inlineStr">
        <is>
          <t>Anticipo Ganancias Ley 25.413 débitos</t>
        </is>
      </c>
      <c r="D612" s="9" t="n">
        <v>0.53</v>
      </c>
      <c r="E612" s="8" t="inlineStr">
        <is>
          <t>ABIERTO_NUEVO</t>
        </is>
      </c>
      <c r="F612" s="8" t="inlineStr">
        <is>
          <t>Banco / impuesto / gasto</t>
        </is>
      </c>
      <c r="G612" s="8" t="inlineStr">
        <is>
          <t>Copiar en Flexxus: Tipo=MB-EXT | Movimiento=GRAVAMEN LEY 25.413 S/DEB | Monto=0,53 | Fecha: 20/04/2026</t>
        </is>
      </c>
    </row>
    <row r="613">
      <c r="A613" s="8" t="inlineStr">
        <is>
          <t>Administración/Banco</t>
        </is>
      </c>
      <c r="B613" s="8" t="inlineStr">
        <is>
          <t>Banco egreso no Flexxus</t>
        </is>
      </c>
      <c r="C613" s="8" t="inlineStr">
        <is>
          <t>Anticipo Ganancias Ley 25.413 débitos</t>
        </is>
      </c>
      <c r="D613" s="9" t="n">
        <v>2.51</v>
      </c>
      <c r="E613" s="8" t="inlineStr">
        <is>
          <t>ABIERTO_NUEVO</t>
        </is>
      </c>
      <c r="F613" s="8" t="inlineStr">
        <is>
          <t>Banco / impuesto / gasto</t>
        </is>
      </c>
      <c r="G613" s="8" t="inlineStr">
        <is>
          <t>Copiar en Flexxus: Tipo=MB-EXT | Movimiento=GRAVAMEN LEY 25.413 S/DEB | Monto=2,51 | Fecha: 20/04/2026</t>
        </is>
      </c>
    </row>
    <row r="614">
      <c r="A614" s="8" t="inlineStr">
        <is>
          <t>Administración/Banco</t>
        </is>
      </c>
      <c r="B614" s="8" t="inlineStr">
        <is>
          <t>Banco egreso no Flexxus</t>
        </is>
      </c>
      <c r="C614" s="8" t="inlineStr">
        <is>
          <t>Anticipo Ganancias Ley 25.413 débitos</t>
        </is>
      </c>
      <c r="D614" s="9" t="n">
        <v>2.34</v>
      </c>
      <c r="E614" s="8" t="inlineStr">
        <is>
          <t>ABIERTO_NUEVO</t>
        </is>
      </c>
      <c r="F614" s="8" t="inlineStr">
        <is>
          <t>Banco / impuesto / gasto</t>
        </is>
      </c>
      <c r="G614" s="8" t="inlineStr">
        <is>
          <t>Copiar en Flexxus: Tipo=MB-EXT | Movimiento=GRAVAMEN LEY 25.413 S/DEB | Monto=2,34 | Fecha: 20/04/2026</t>
        </is>
      </c>
    </row>
    <row r="615">
      <c r="A615" s="8" t="inlineStr">
        <is>
          <t>Administración/Banco</t>
        </is>
      </c>
      <c r="B615" s="8" t="inlineStr">
        <is>
          <t>Banco egreso no Flexxus</t>
        </is>
      </c>
      <c r="C615" s="8" t="inlineStr">
        <is>
          <t>Anticipo Ganancias Ley 25.413 débitos</t>
        </is>
      </c>
      <c r="D615" s="9" t="n">
        <v>3.27</v>
      </c>
      <c r="E615" s="8" t="inlineStr">
        <is>
          <t>ABIERTO_NUEVO</t>
        </is>
      </c>
      <c r="F615" s="8" t="inlineStr">
        <is>
          <t>Banco / impuesto / gasto</t>
        </is>
      </c>
      <c r="G615" s="8" t="inlineStr">
        <is>
          <t>Copiar en Flexxus: Tipo=MB-EXT | Movimiento=GRAVAMEN LEY 25.413 S/DEB | Monto=3,27 | Fecha: 20/04/2026</t>
        </is>
      </c>
    </row>
    <row r="616">
      <c r="A616" s="8" t="inlineStr">
        <is>
          <t>Administración/Banco</t>
        </is>
      </c>
      <c r="B616" s="8" t="inlineStr">
        <is>
          <t>Banco egreso no Flexxus</t>
        </is>
      </c>
      <c r="C616" s="8" t="inlineStr">
        <is>
          <t>Anticipo Ganancias Ley 25.413 débitos</t>
        </is>
      </c>
      <c r="D616" s="9" t="n">
        <v>6</v>
      </c>
      <c r="E616" s="8" t="inlineStr">
        <is>
          <t>ABIERTO_NUEVO</t>
        </is>
      </c>
      <c r="F616" s="8" t="inlineStr">
        <is>
          <t>Banco / impuesto / gasto</t>
        </is>
      </c>
      <c r="G616" s="8" t="inlineStr">
        <is>
          <t>Copiar en Flexxus: Tipo=MB-EXT | Movimiento=GRAVAMEN LEY 25.413 S/DEB | Monto=6,00 | Fecha: 20/04/2026</t>
        </is>
      </c>
    </row>
    <row r="617">
      <c r="A617" s="8" t="inlineStr">
        <is>
          <t>Administración/Banco</t>
        </is>
      </c>
      <c r="B617" s="8" t="inlineStr">
        <is>
          <t>Banco egreso no Flexxus</t>
        </is>
      </c>
      <c r="C617" s="8" t="inlineStr">
        <is>
          <t>Anticipo Ganancias Ley 25.413 débitos</t>
        </is>
      </c>
      <c r="D617" s="9" t="n">
        <v>1.69</v>
      </c>
      <c r="E617" s="8" t="inlineStr">
        <is>
          <t>ABIERTO_NUEVO</t>
        </is>
      </c>
      <c r="F617" s="8" t="inlineStr">
        <is>
          <t>Banco / impuesto / gasto</t>
        </is>
      </c>
      <c r="G617" s="8" t="inlineStr">
        <is>
          <t>Copiar en Flexxus: Tipo=MB-EXT | Movimiento=GRAVAMEN LEY 25.413 S/DEB | Monto=1,69 | Fecha: 20/04/2026</t>
        </is>
      </c>
    </row>
    <row r="618">
      <c r="A618" s="8" t="inlineStr">
        <is>
          <t>Administración/Banco</t>
        </is>
      </c>
      <c r="B618" s="8" t="inlineStr">
        <is>
          <t>Banco egreso no Flexxus</t>
        </is>
      </c>
      <c r="C618" s="8" t="inlineStr">
        <is>
          <t>Anticipo Ganancias Ley 25.413 débitos</t>
        </is>
      </c>
      <c r="D618" s="9" t="n">
        <v>0.68</v>
      </c>
      <c r="E618" s="8" t="inlineStr">
        <is>
          <t>ABIERTO_NUEVO</t>
        </is>
      </c>
      <c r="F618" s="8" t="inlineStr">
        <is>
          <t>Banco / impuesto / gasto</t>
        </is>
      </c>
      <c r="G618" s="8" t="inlineStr">
        <is>
          <t>Copiar en Flexxus: Tipo=MB-EXT | Movimiento=GRAVAMEN LEY 25.413 S/DEB | Monto=0,68 | Fecha: 20/04/2026</t>
        </is>
      </c>
    </row>
    <row r="619">
      <c r="A619" s="8" t="inlineStr">
        <is>
          <t>Administración/Banco</t>
        </is>
      </c>
      <c r="B619" s="8" t="inlineStr">
        <is>
          <t>Banco egreso no Flexxus</t>
        </is>
      </c>
      <c r="C619" s="8" t="inlineStr">
        <is>
          <t>Anticipo Ganancias Ley 25.413 débitos</t>
        </is>
      </c>
      <c r="D619" s="9" t="n">
        <v>3.18</v>
      </c>
      <c r="E619" s="8" t="inlineStr">
        <is>
          <t>ABIERTO_NUEVO</t>
        </is>
      </c>
      <c r="F619" s="8" t="inlineStr">
        <is>
          <t>Banco / impuesto / gasto</t>
        </is>
      </c>
      <c r="G619" s="8" t="inlineStr">
        <is>
          <t>Copiar en Flexxus: Tipo=MB-EXT | Movimiento=GRAVAMEN LEY 25.413 S/DEB | Monto=3,18 | Fecha: 20/04/2026</t>
        </is>
      </c>
    </row>
    <row r="620">
      <c r="A620" s="8" t="inlineStr">
        <is>
          <t>Administración/Banco</t>
        </is>
      </c>
      <c r="B620" s="8" t="inlineStr">
        <is>
          <t>Banco egreso no Flexxus</t>
        </is>
      </c>
      <c r="C620" s="8" t="inlineStr">
        <is>
          <t>Anticipo Ganancias Ley 25.413 débitos</t>
        </is>
      </c>
      <c r="D620" s="9" t="n">
        <v>2.85</v>
      </c>
      <c r="E620" s="8" t="inlineStr">
        <is>
          <t>ABIERTO_NUEVO</t>
        </is>
      </c>
      <c r="F620" s="8" t="inlineStr">
        <is>
          <t>Banco / impuesto / gasto</t>
        </is>
      </c>
      <c r="G620" s="8" t="inlineStr">
        <is>
          <t>Copiar en Flexxus: Tipo=MB-EXT | Movimiento=GRAVAMEN LEY 25.413 S/DEB | Monto=2,85 | Fecha: 20/04/2026</t>
        </is>
      </c>
    </row>
    <row r="621">
      <c r="A621" s="8" t="inlineStr">
        <is>
          <t>Administración/Banco</t>
        </is>
      </c>
      <c r="B621" s="8" t="inlineStr">
        <is>
          <t>Banco egreso no Flexxus</t>
        </is>
      </c>
      <c r="C621" s="8" t="inlineStr">
        <is>
          <t>Anticipo Ganancias Ley 25.413 débitos</t>
        </is>
      </c>
      <c r="D621" s="9" t="n">
        <v>2.83</v>
      </c>
      <c r="E621" s="8" t="inlineStr">
        <is>
          <t>ABIERTO_NUEVO</t>
        </is>
      </c>
      <c r="F621" s="8" t="inlineStr">
        <is>
          <t>Banco / impuesto / gasto</t>
        </is>
      </c>
      <c r="G621" s="8" t="inlineStr">
        <is>
          <t>Copiar en Flexxus: Tipo=MB-EXT | Movimiento=GRAVAMEN LEY 25.413 S/DEB | Monto=2,83 | Fecha: 20/04/2026</t>
        </is>
      </c>
    </row>
    <row r="622">
      <c r="A622" s="8" t="inlineStr">
        <is>
          <t>Administración/Banco</t>
        </is>
      </c>
      <c r="B622" s="8" t="inlineStr">
        <is>
          <t>Banco egreso no Flexxus</t>
        </is>
      </c>
      <c r="C622" s="8" t="inlineStr">
        <is>
          <t>Anticipo Ganancias Ley 25.413 débitos</t>
        </is>
      </c>
      <c r="D622" s="9" t="n">
        <v>1.99</v>
      </c>
      <c r="E622" s="8" t="inlineStr">
        <is>
          <t>ABIERTO_NUEVO</t>
        </is>
      </c>
      <c r="F622" s="8" t="inlineStr">
        <is>
          <t>Banco / impuesto / gasto</t>
        </is>
      </c>
      <c r="G622" s="8" t="inlineStr">
        <is>
          <t>Copiar en Flexxus: Tipo=MB-EXT | Movimiento=GRAVAMEN LEY 25.413 S/DEB | Monto=1,99 | Fecha: 20/04/2026</t>
        </is>
      </c>
    </row>
    <row r="623">
      <c r="A623" s="8" t="inlineStr">
        <is>
          <t>Administración/Banco</t>
        </is>
      </c>
      <c r="B623" s="8" t="inlineStr">
        <is>
          <t>Banco egreso no Flexxus</t>
        </is>
      </c>
      <c r="C623" s="8" t="inlineStr">
        <is>
          <t>Anticipo Ganancias Ley 25.413 débitos</t>
        </is>
      </c>
      <c r="D623" s="9" t="n">
        <v>2.05</v>
      </c>
      <c r="E623" s="8" t="inlineStr">
        <is>
          <t>ABIERTO_NUEVO</t>
        </is>
      </c>
      <c r="F623" s="8" t="inlineStr">
        <is>
          <t>Banco / impuesto / gasto</t>
        </is>
      </c>
      <c r="G623" s="8" t="inlineStr">
        <is>
          <t>Copiar en Flexxus: Tipo=MB-EXT | Movimiento=GRAVAMEN LEY 25.413 S/DEB | Monto=2,05 | Fecha: 20/04/2026</t>
        </is>
      </c>
    </row>
    <row r="624">
      <c r="A624" s="8" t="inlineStr">
        <is>
          <t>Administración/Banco</t>
        </is>
      </c>
      <c r="B624" s="8" t="inlineStr">
        <is>
          <t>Banco egreso no Flexxus</t>
        </is>
      </c>
      <c r="C624" s="8" t="inlineStr">
        <is>
          <t>Anticipo Ganancias Ley 25.413 débitos</t>
        </is>
      </c>
      <c r="D624" s="9" t="n">
        <v>1.72</v>
      </c>
      <c r="E624" s="8" t="inlineStr">
        <is>
          <t>ABIERTO_NUEVO</t>
        </is>
      </c>
      <c r="F624" s="8" t="inlineStr">
        <is>
          <t>Banco / impuesto / gasto</t>
        </is>
      </c>
      <c r="G624" s="8" t="inlineStr">
        <is>
          <t>Copiar en Flexxus: Tipo=MB-EXT | Movimiento=GRAVAMEN LEY 25.413 S/DEB | Monto=1,72 | Fecha: 20/04/2026</t>
        </is>
      </c>
    </row>
    <row r="625">
      <c r="A625" s="8" t="inlineStr">
        <is>
          <t>Administración/Banco</t>
        </is>
      </c>
      <c r="B625" s="8" t="inlineStr">
        <is>
          <t>Banco egreso no Flexxus</t>
        </is>
      </c>
      <c r="C625" s="8" t="inlineStr">
        <is>
          <t>Anticipo Ganancias Ley 25.413 débitos</t>
        </is>
      </c>
      <c r="D625" s="9" t="n">
        <v>1.33</v>
      </c>
      <c r="E625" s="8" t="inlineStr">
        <is>
          <t>ABIERTO_NUEVO</t>
        </is>
      </c>
      <c r="F625" s="8" t="inlineStr">
        <is>
          <t>Banco / impuesto / gasto</t>
        </is>
      </c>
      <c r="G625" s="8" t="inlineStr">
        <is>
          <t>Copiar en Flexxus: Tipo=MB-EXT | Movimiento=GRAVAMEN LEY 25.413 S/DEB | Monto=1,33 | Fecha: 20/04/2026</t>
        </is>
      </c>
    </row>
    <row r="626">
      <c r="A626" s="8" t="inlineStr">
        <is>
          <t>Administración/Banco</t>
        </is>
      </c>
      <c r="B626" s="8" t="inlineStr">
        <is>
          <t>Banco egreso no Flexxus</t>
        </is>
      </c>
      <c r="C626" s="8" t="inlineStr">
        <is>
          <t>Anticipo Ganancias Ley 25.413 débitos</t>
        </is>
      </c>
      <c r="D626" s="9" t="n">
        <v>0.48</v>
      </c>
      <c r="E626" s="8" t="inlineStr">
        <is>
          <t>ABIERTO_NUEVO</t>
        </is>
      </c>
      <c r="F626" s="8" t="inlineStr">
        <is>
          <t>Banco / impuesto / gasto</t>
        </is>
      </c>
      <c r="G626" s="8" t="inlineStr">
        <is>
          <t>Copiar en Flexxus: Tipo=MB-EXT | Movimiento=GRAVAMEN LEY 25.413 S/DEB | Monto=0,48 | Fecha: 20/04/2026</t>
        </is>
      </c>
    </row>
    <row r="627">
      <c r="A627" s="8" t="inlineStr">
        <is>
          <t>Administración/Banco</t>
        </is>
      </c>
      <c r="B627" s="8" t="inlineStr">
        <is>
          <t>Banco egreso no Flexxus</t>
        </is>
      </c>
      <c r="C627" s="8" t="inlineStr">
        <is>
          <t>Anticipo Ganancias Ley 25.413 débitos</t>
        </is>
      </c>
      <c r="D627" s="9" t="n">
        <v>0.93</v>
      </c>
      <c r="E627" s="8" t="inlineStr">
        <is>
          <t>ABIERTO_NUEVO</t>
        </is>
      </c>
      <c r="F627" s="8" t="inlineStr">
        <is>
          <t>Banco / impuesto / gasto</t>
        </is>
      </c>
      <c r="G627" s="8" t="inlineStr">
        <is>
          <t>Copiar en Flexxus: Tipo=MB-EXT | Movimiento=GRAVAMEN LEY 25.413 S/DEB | Monto=0,93 | Fecha: 20/04/2026</t>
        </is>
      </c>
    </row>
    <row r="628">
      <c r="A628" s="8" t="inlineStr">
        <is>
          <t>Administración/Banco</t>
        </is>
      </c>
      <c r="B628" s="8" t="inlineStr">
        <is>
          <t>Banco egreso no Flexxus</t>
        </is>
      </c>
      <c r="C628" s="8" t="inlineStr">
        <is>
          <t>Anticipo Ganancias Ley 25.413 débitos</t>
        </is>
      </c>
      <c r="D628" s="9" t="n">
        <v>1.6</v>
      </c>
      <c r="E628" s="8" t="inlineStr">
        <is>
          <t>ABIERTO_NUEVO</t>
        </is>
      </c>
      <c r="F628" s="8" t="inlineStr">
        <is>
          <t>Banco / impuesto / gasto</t>
        </is>
      </c>
      <c r="G628" s="8" t="inlineStr">
        <is>
          <t>Copiar en Flexxus: Tipo=MB-EXT | Movimiento=GRAVAMEN LEY 25.413 S/DEB | Monto=1,60 | Fecha: 20/04/2026</t>
        </is>
      </c>
    </row>
    <row r="629">
      <c r="A629" s="8" t="inlineStr">
        <is>
          <t>Administración/Banco</t>
        </is>
      </c>
      <c r="B629" s="8" t="inlineStr">
        <is>
          <t>Banco egreso no Flexxus</t>
        </is>
      </c>
      <c r="C629" s="8" t="inlineStr">
        <is>
          <t>Anticipo Ganancias Ley 25.413 débitos</t>
        </is>
      </c>
      <c r="D629" s="9" t="n">
        <v>2.1</v>
      </c>
      <c r="E629" s="8" t="inlineStr">
        <is>
          <t>ABIERTO_NUEVO</t>
        </is>
      </c>
      <c r="F629" s="8" t="inlineStr">
        <is>
          <t>Banco / impuesto / gasto</t>
        </is>
      </c>
      <c r="G629" s="8" t="inlineStr">
        <is>
          <t>Copiar en Flexxus: Tipo=MB-EXT | Movimiento=GRAVAMEN LEY 25.413 S/DEB | Monto=2,10 | Fecha: 20/04/2026</t>
        </is>
      </c>
    </row>
    <row r="630">
      <c r="A630" s="8" t="inlineStr">
        <is>
          <t>Administración/Banco</t>
        </is>
      </c>
      <c r="B630" s="8" t="inlineStr">
        <is>
          <t>Banco egreso no Flexxus</t>
        </is>
      </c>
      <c r="C630" s="8" t="inlineStr">
        <is>
          <t>Anticipo Ganancias Ley 25.413 débitos</t>
        </is>
      </c>
      <c r="D630" s="9" t="n">
        <v>4.74</v>
      </c>
      <c r="E630" s="8" t="inlineStr">
        <is>
          <t>ABIERTO_NUEVO</t>
        </is>
      </c>
      <c r="F630" s="8" t="inlineStr">
        <is>
          <t>Banco / impuesto / gasto</t>
        </is>
      </c>
      <c r="G630" s="8" t="inlineStr">
        <is>
          <t>Copiar en Flexxus: Tipo=MB-EXT | Movimiento=GRAVAMEN LEY 25.413 S/DEB | Monto=4,74 | Fecha: 20/04/2026</t>
        </is>
      </c>
    </row>
    <row r="631">
      <c r="A631" s="8" t="inlineStr">
        <is>
          <t>Administración/Banco</t>
        </is>
      </c>
      <c r="B631" s="8" t="inlineStr">
        <is>
          <t>Banco egreso no Flexxus</t>
        </is>
      </c>
      <c r="C631" s="8" t="inlineStr">
        <is>
          <t>Anticipo Ganancias Ley 25.413 débitos</t>
        </is>
      </c>
      <c r="D631" s="9" t="n">
        <v>0.27</v>
      </c>
      <c r="E631" s="8" t="inlineStr">
        <is>
          <t>ABIERTO_NUEVO</t>
        </is>
      </c>
      <c r="F631" s="8" t="inlineStr">
        <is>
          <t>Banco / impuesto / gasto</t>
        </is>
      </c>
      <c r="G631" s="8" t="inlineStr">
        <is>
          <t>Copiar en Flexxus: Tipo=MB-EXT | Movimiento=GRAVAMEN LEY 25.413 S/DEB | Monto=0,27 | Fecha: 20/04/2026</t>
        </is>
      </c>
    </row>
    <row r="632">
      <c r="A632" s="8" t="inlineStr">
        <is>
          <t>Administración/Banco</t>
        </is>
      </c>
      <c r="B632" s="8" t="inlineStr">
        <is>
          <t>Banco egreso no Flexxus</t>
        </is>
      </c>
      <c r="C632" s="8" t="inlineStr">
        <is>
          <t>Anticipo Ganancias Ley 25.413 débitos</t>
        </is>
      </c>
      <c r="D632" s="9" t="n">
        <v>1.37</v>
      </c>
      <c r="E632" s="8" t="inlineStr">
        <is>
          <t>ABIERTO_NUEVO</t>
        </is>
      </c>
      <c r="F632" s="8" t="inlineStr">
        <is>
          <t>Banco / impuesto / gasto</t>
        </is>
      </c>
      <c r="G632" s="8" t="inlineStr">
        <is>
          <t>Copiar en Flexxus: Tipo=MB-EXT | Movimiento=GRAVAMEN LEY 25.413 S/DEB | Monto=1,37 | Fecha: 20/04/2026</t>
        </is>
      </c>
    </row>
    <row r="633">
      <c r="A633" s="8" t="inlineStr">
        <is>
          <t>Administración/Banco</t>
        </is>
      </c>
      <c r="B633" s="8" t="inlineStr">
        <is>
          <t>Banco egreso no Flexxus</t>
        </is>
      </c>
      <c r="C633" s="8" t="inlineStr">
        <is>
          <t>Anticipo Ganancias Ley 25.413 débitos</t>
        </is>
      </c>
      <c r="D633" s="9" t="n">
        <v>3.9</v>
      </c>
      <c r="E633" s="8" t="inlineStr">
        <is>
          <t>ABIERTO_NUEVO</t>
        </is>
      </c>
      <c r="F633" s="8" t="inlineStr">
        <is>
          <t>Banco / impuesto / gasto</t>
        </is>
      </c>
      <c r="G633" s="8" t="inlineStr">
        <is>
          <t>Copiar en Flexxus: Tipo=MB-EXT | Movimiento=GRAVAMEN LEY 25.413 S/DEB | Monto=3,90 | Fecha: 20/04/2026</t>
        </is>
      </c>
    </row>
    <row r="634">
      <c r="A634" s="8" t="inlineStr">
        <is>
          <t>Administración/Banco</t>
        </is>
      </c>
      <c r="B634" s="8" t="inlineStr">
        <is>
          <t>Banco egreso no Flexxus</t>
        </is>
      </c>
      <c r="C634" s="8" t="inlineStr">
        <is>
          <t>Anticipo Ganancias Ley 25.413 débitos</t>
        </is>
      </c>
      <c r="D634" s="9" t="n">
        <v>1.72</v>
      </c>
      <c r="E634" s="8" t="inlineStr">
        <is>
          <t>ABIERTO_NUEVO</t>
        </is>
      </c>
      <c r="F634" s="8" t="inlineStr">
        <is>
          <t>Banco / impuesto / gasto</t>
        </is>
      </c>
      <c r="G634" s="8" t="inlineStr">
        <is>
          <t>Copiar en Flexxus: Tipo=MB-EXT | Movimiento=GRAVAMEN LEY 25.413 S/DEB | Monto=1,72 | Fecha: 20/04/2026</t>
        </is>
      </c>
    </row>
    <row r="635">
      <c r="A635" s="8" t="inlineStr">
        <is>
          <t>Administración/Banco</t>
        </is>
      </c>
      <c r="B635" s="8" t="inlineStr">
        <is>
          <t>Banco egreso no Flexxus</t>
        </is>
      </c>
      <c r="C635" s="8" t="inlineStr">
        <is>
          <t>Anticipo Ganancias Ley 25.413 débitos</t>
        </is>
      </c>
      <c r="D635" s="9" t="n">
        <v>1.43</v>
      </c>
      <c r="E635" s="8" t="inlineStr">
        <is>
          <t>ABIERTO_NUEVO</t>
        </is>
      </c>
      <c r="F635" s="8" t="inlineStr">
        <is>
          <t>Banco / impuesto / gasto</t>
        </is>
      </c>
      <c r="G635" s="8" t="inlineStr">
        <is>
          <t>Copiar en Flexxus: Tipo=MB-EXT | Movimiento=GRAVAMEN LEY 25.413 S/DEB | Monto=1,43 | Fecha: 20/04/2026</t>
        </is>
      </c>
    </row>
    <row r="636">
      <c r="A636" s="8" t="inlineStr">
        <is>
          <t>Administración/Banco</t>
        </is>
      </c>
      <c r="B636" s="8" t="inlineStr">
        <is>
          <t>Banco egreso no Flexxus</t>
        </is>
      </c>
      <c r="C636" s="8" t="inlineStr">
        <is>
          <t>Anticipo Ganancias Ley 25.413 débitos</t>
        </is>
      </c>
      <c r="D636" s="9" t="n">
        <v>1.49</v>
      </c>
      <c r="E636" s="8" t="inlineStr">
        <is>
          <t>ABIERTO_NUEVO</t>
        </is>
      </c>
      <c r="F636" s="8" t="inlineStr">
        <is>
          <t>Banco / impuesto / gasto</t>
        </is>
      </c>
      <c r="G636" s="8" t="inlineStr">
        <is>
          <t>Copiar en Flexxus: Tipo=MB-EXT | Movimiento=GRAVAMEN LEY 25.413 S/DEB | Monto=1,49 | Fecha: 20/04/2026</t>
        </is>
      </c>
    </row>
    <row r="637">
      <c r="A637" s="8" t="inlineStr">
        <is>
          <t>Administración/Banco</t>
        </is>
      </c>
      <c r="B637" s="8" t="inlineStr">
        <is>
          <t>Banco egreso no Flexxus</t>
        </is>
      </c>
      <c r="C637" s="8" t="inlineStr">
        <is>
          <t>Anticipo Ganancias Ley 25.413 débitos</t>
        </is>
      </c>
      <c r="D637" s="9" t="n">
        <v>1.37</v>
      </c>
      <c r="E637" s="8" t="inlineStr">
        <is>
          <t>ABIERTO_NUEVO</t>
        </is>
      </c>
      <c r="F637" s="8" t="inlineStr">
        <is>
          <t>Banco / impuesto / gasto</t>
        </is>
      </c>
      <c r="G637" s="8" t="inlineStr">
        <is>
          <t>Copiar en Flexxus: Tipo=MB-EXT | Movimiento=GRAVAMEN LEY 25.413 S/DEB | Monto=1,37 | Fecha: 20/04/2026</t>
        </is>
      </c>
    </row>
    <row r="638">
      <c r="A638" s="8" t="inlineStr">
        <is>
          <t>Administración/Banco</t>
        </is>
      </c>
      <c r="B638" s="8" t="inlineStr">
        <is>
          <t>Banco egreso no Flexxus</t>
        </is>
      </c>
      <c r="C638" s="8" t="inlineStr">
        <is>
          <t>Anticipo Ganancias Ley 25.413 débitos</t>
        </is>
      </c>
      <c r="D638" s="9" t="n">
        <v>2.22</v>
      </c>
      <c r="E638" s="8" t="inlineStr">
        <is>
          <t>ABIERTO_NUEVO</t>
        </is>
      </c>
      <c r="F638" s="8" t="inlineStr">
        <is>
          <t>Banco / impuesto / gasto</t>
        </is>
      </c>
      <c r="G638" s="8" t="inlineStr">
        <is>
          <t>Copiar en Flexxus: Tipo=MB-EXT | Movimiento=GRAVAMEN LEY 25.413 S/DEB | Monto=2,22 | Fecha: 20/04/2026</t>
        </is>
      </c>
    </row>
    <row r="639">
      <c r="A639" s="8" t="inlineStr">
        <is>
          <t>Administración/Banco</t>
        </is>
      </c>
      <c r="B639" s="8" t="inlineStr">
        <is>
          <t>Banco egreso no Flexxus</t>
        </is>
      </c>
      <c r="C639" s="8" t="inlineStr">
        <is>
          <t>Anticipo Ganancias Ley 25.413 débitos</t>
        </is>
      </c>
      <c r="D639" s="9" t="n">
        <v>1.77</v>
      </c>
      <c r="E639" s="8" t="inlineStr">
        <is>
          <t>ABIERTO_NUEVO</t>
        </is>
      </c>
      <c r="F639" s="8" t="inlineStr">
        <is>
          <t>Banco / impuesto / gasto</t>
        </is>
      </c>
      <c r="G639" s="8" t="inlineStr">
        <is>
          <t>Copiar en Flexxus: Tipo=MB-EXT | Movimiento=GRAVAMEN LEY 25.413 S/DEB | Monto=1,77 | Fecha: 20/04/2026</t>
        </is>
      </c>
    </row>
    <row r="640">
      <c r="A640" s="8" t="inlineStr">
        <is>
          <t>Administración/Banco</t>
        </is>
      </c>
      <c r="B640" s="8" t="inlineStr">
        <is>
          <t>Banco egreso no Flexxus</t>
        </is>
      </c>
      <c r="C640" s="8" t="inlineStr">
        <is>
          <t>Anticipo Ganancias Ley 25.413 débitos</t>
        </is>
      </c>
      <c r="D640" s="9" t="n">
        <v>0.93</v>
      </c>
      <c r="E640" s="8" t="inlineStr">
        <is>
          <t>ABIERTO_NUEVO</t>
        </is>
      </c>
      <c r="F640" s="8" t="inlineStr">
        <is>
          <t>Banco / impuesto / gasto</t>
        </is>
      </c>
      <c r="G640" s="8" t="inlineStr">
        <is>
          <t>Copiar en Flexxus: Tipo=MB-EXT | Movimiento=GRAVAMEN LEY 25.413 S/DEB | Monto=0,93 | Fecha: 20/04/2026</t>
        </is>
      </c>
    </row>
    <row r="641">
      <c r="A641" s="8" t="inlineStr">
        <is>
          <t>Administración/Banco</t>
        </is>
      </c>
      <c r="B641" s="8" t="inlineStr">
        <is>
          <t>Banco egreso no Flexxus</t>
        </is>
      </c>
      <c r="C641" s="8" t="inlineStr">
        <is>
          <t>Anticipo Ganancias Ley 25.413 débitos</t>
        </is>
      </c>
      <c r="D641" s="9" t="n">
        <v>0.97</v>
      </c>
      <c r="E641" s="8" t="inlineStr">
        <is>
          <t>ABIERTO_NUEVO</t>
        </is>
      </c>
      <c r="F641" s="8" t="inlineStr">
        <is>
          <t>Banco / impuesto / gasto</t>
        </is>
      </c>
      <c r="G641" s="8" t="inlineStr">
        <is>
          <t>Copiar en Flexxus: Tipo=MB-EXT | Movimiento=GRAVAMEN LEY 25.413 S/DEB | Monto=0,97 | Fecha: 20/04/2026</t>
        </is>
      </c>
    </row>
    <row r="642">
      <c r="A642" s="8" t="inlineStr">
        <is>
          <t>Administración/Banco</t>
        </is>
      </c>
      <c r="B642" s="8" t="inlineStr">
        <is>
          <t>Banco egreso no Flexxus</t>
        </is>
      </c>
      <c r="C642" s="8" t="inlineStr">
        <is>
          <t>Anticipo Ganancias Ley 25.413 débitos</t>
        </is>
      </c>
      <c r="D642" s="9" t="n">
        <v>1.19</v>
      </c>
      <c r="E642" s="8" t="inlineStr">
        <is>
          <t>ABIERTO_NUEVO</t>
        </is>
      </c>
      <c r="F642" s="8" t="inlineStr">
        <is>
          <t>Banco / impuesto / gasto</t>
        </is>
      </c>
      <c r="G642" s="8" t="inlineStr">
        <is>
          <t>Copiar en Flexxus: Tipo=MB-EXT | Movimiento=GRAVAMEN LEY 25.413 S/DEB | Monto=1,19 | Fecha: 20/04/2026</t>
        </is>
      </c>
    </row>
    <row r="643">
      <c r="A643" s="8" t="inlineStr">
        <is>
          <t>Administración/Banco</t>
        </is>
      </c>
      <c r="B643" s="8" t="inlineStr">
        <is>
          <t>Banco egreso no Flexxus</t>
        </is>
      </c>
      <c r="C643" s="8" t="inlineStr">
        <is>
          <t>Anticipo Ganancias Ley 25.413 débitos</t>
        </is>
      </c>
      <c r="D643" s="9" t="n">
        <v>1.13</v>
      </c>
      <c r="E643" s="8" t="inlineStr">
        <is>
          <t>ABIERTO_NUEVO</t>
        </is>
      </c>
      <c r="F643" s="8" t="inlineStr">
        <is>
          <t>Banco / impuesto / gasto</t>
        </is>
      </c>
      <c r="G643" s="8" t="inlineStr">
        <is>
          <t>Copiar en Flexxus: Tipo=MB-EXT | Movimiento=GRAVAMEN LEY 25.413 S/DEB | Monto=1,13 | Fecha: 20/04/2026</t>
        </is>
      </c>
    </row>
    <row r="644">
      <c r="A644" s="8" t="inlineStr">
        <is>
          <t>Administración/Banco</t>
        </is>
      </c>
      <c r="B644" s="8" t="inlineStr">
        <is>
          <t>Banco egreso no Flexxus</t>
        </is>
      </c>
      <c r="C644" s="8" t="inlineStr">
        <is>
          <t>Anticipo Ganancias Ley 25.413 débitos</t>
        </is>
      </c>
      <c r="D644" s="9" t="n">
        <v>0.89</v>
      </c>
      <c r="E644" s="8" t="inlineStr">
        <is>
          <t>ABIERTO_NUEVO</t>
        </is>
      </c>
      <c r="F644" s="8" t="inlineStr">
        <is>
          <t>Banco / impuesto / gasto</t>
        </is>
      </c>
      <c r="G644" s="8" t="inlineStr">
        <is>
          <t>Copiar en Flexxus: Tipo=MB-EXT | Movimiento=GRAVAMEN LEY 25.413 S/DEB | Monto=0,89 | Fecha: 20/04/2026</t>
        </is>
      </c>
    </row>
    <row r="645">
      <c r="A645" s="8" t="inlineStr">
        <is>
          <t>Administración/Banco</t>
        </is>
      </c>
      <c r="B645" s="8" t="inlineStr">
        <is>
          <t>Banco egreso no Flexxus</t>
        </is>
      </c>
      <c r="C645" s="8" t="inlineStr">
        <is>
          <t>Anticipo Ganancias Ley 25.413 débitos</t>
        </is>
      </c>
      <c r="D645" s="9" t="n">
        <v>4.35</v>
      </c>
      <c r="E645" s="8" t="inlineStr">
        <is>
          <t>ABIERTO_NUEVO</t>
        </is>
      </c>
      <c r="F645" s="8" t="inlineStr">
        <is>
          <t>Banco / impuesto / gasto</t>
        </is>
      </c>
      <c r="G645" s="8" t="inlineStr">
        <is>
          <t>Copiar en Flexxus: Tipo=MB-EXT | Movimiento=GRAVAMEN LEY 25.413 S/DEB | Monto=4,35 | Fecha: 20/04/2026</t>
        </is>
      </c>
    </row>
    <row r="646">
      <c r="A646" s="8" t="inlineStr">
        <is>
          <t>Administración/Banco</t>
        </is>
      </c>
      <c r="B646" s="8" t="inlineStr">
        <is>
          <t>Banco egreso no Flexxus</t>
        </is>
      </c>
      <c r="C646" s="8" t="inlineStr">
        <is>
          <t>Anticipo Ganancias Ley 25.413 débitos</t>
        </is>
      </c>
      <c r="D646" s="9" t="n">
        <v>4.01</v>
      </c>
      <c r="E646" s="8" t="inlineStr">
        <is>
          <t>ABIERTO_NUEVO</t>
        </is>
      </c>
      <c r="F646" s="8" t="inlineStr">
        <is>
          <t>Banco / impuesto / gasto</t>
        </is>
      </c>
      <c r="G646" s="8" t="inlineStr">
        <is>
          <t>Copiar en Flexxus: Tipo=MB-EXT | Movimiento=GRAVAMEN LEY 25.413 S/DEB | Monto=4,01 | Fecha: 20/04/2026</t>
        </is>
      </c>
    </row>
    <row r="647">
      <c r="A647" s="8" t="inlineStr">
        <is>
          <t>Administración/Banco</t>
        </is>
      </c>
      <c r="B647" s="8" t="inlineStr">
        <is>
          <t>Banco egreso no Flexxus</t>
        </is>
      </c>
      <c r="C647" s="8" t="inlineStr">
        <is>
          <t>Anticipo Ganancias Ley 25.413 débitos</t>
        </is>
      </c>
      <c r="D647" s="9" t="n">
        <v>3.54</v>
      </c>
      <c r="E647" s="8" t="inlineStr">
        <is>
          <t>ABIERTO_NUEVO</t>
        </is>
      </c>
      <c r="F647" s="8" t="inlineStr">
        <is>
          <t>Banco / impuesto / gasto</t>
        </is>
      </c>
      <c r="G647" s="8" t="inlineStr">
        <is>
          <t>Copiar en Flexxus: Tipo=MB-EXT | Movimiento=GRAVAMEN LEY 25.413 S/DEB | Monto=3,54 | Fecha: 20/04/2026</t>
        </is>
      </c>
    </row>
    <row r="648">
      <c r="A648" s="8" t="inlineStr">
        <is>
          <t>Administración/Banco</t>
        </is>
      </c>
      <c r="B648" s="8" t="inlineStr">
        <is>
          <t>Banco egreso no Flexxus</t>
        </is>
      </c>
      <c r="C648" s="8" t="inlineStr">
        <is>
          <t>Anticipo Ganancias Ley 25.413 débitos</t>
        </is>
      </c>
      <c r="D648" s="9" t="n">
        <v>6.6</v>
      </c>
      <c r="E648" s="8" t="inlineStr">
        <is>
          <t>ABIERTO_NUEVO</t>
        </is>
      </c>
      <c r="F648" s="8" t="inlineStr">
        <is>
          <t>Banco / impuesto / gasto</t>
        </is>
      </c>
      <c r="G648" s="8" t="inlineStr">
        <is>
          <t>Copiar en Flexxus: Tipo=MB-EXT | Movimiento=GRAVAMEN LEY 25.413 S/DEB | Monto=6,60 | Fecha: 20/04/2026</t>
        </is>
      </c>
    </row>
    <row r="649">
      <c r="A649" s="8" t="inlineStr">
        <is>
          <t>Administración/Banco</t>
        </is>
      </c>
      <c r="B649" s="8" t="inlineStr">
        <is>
          <t>Banco egreso no Flexxus</t>
        </is>
      </c>
      <c r="C649" s="8" t="inlineStr">
        <is>
          <t>Anticipo Ganancias Ley 25.413 débitos</t>
        </is>
      </c>
      <c r="D649" s="9" t="n">
        <v>3.09</v>
      </c>
      <c r="E649" s="8" t="inlineStr">
        <is>
          <t>ABIERTO_NUEVO</t>
        </is>
      </c>
      <c r="F649" s="8" t="inlineStr">
        <is>
          <t>Banco / impuesto / gasto</t>
        </is>
      </c>
      <c r="G649" s="8" t="inlineStr">
        <is>
          <t>Copiar en Flexxus: Tipo=MB-EXT | Movimiento=GRAVAMEN LEY 25.413 S/DEB | Monto=3,09 | Fecha: 20/04/2026</t>
        </is>
      </c>
    </row>
    <row r="650">
      <c r="A650" s="8" t="inlineStr">
        <is>
          <t>Administración/Banco</t>
        </is>
      </c>
      <c r="B650" s="8" t="inlineStr">
        <is>
          <t>Banco egreso no Flexxus</t>
        </is>
      </c>
      <c r="C650" s="8" t="inlineStr">
        <is>
          <t>Anticipo Ganancias Ley 25.413 débitos</t>
        </is>
      </c>
      <c r="D650" s="9" t="n">
        <v>3.33</v>
      </c>
      <c r="E650" s="8" t="inlineStr">
        <is>
          <t>ABIERTO_NUEVO</t>
        </is>
      </c>
      <c r="F650" s="8" t="inlineStr">
        <is>
          <t>Banco / impuesto / gasto</t>
        </is>
      </c>
      <c r="G650" s="8" t="inlineStr">
        <is>
          <t>Copiar en Flexxus: Tipo=MB-EXT | Movimiento=GRAVAMEN LEY 25.413 S/DEB | Monto=3,33 | Fecha: 20/04/2026</t>
        </is>
      </c>
    </row>
    <row r="651">
      <c r="A651" s="8" t="inlineStr">
        <is>
          <t>Administración/Banco</t>
        </is>
      </c>
      <c r="B651" s="8" t="inlineStr">
        <is>
          <t>Banco egreso no Flexxus</t>
        </is>
      </c>
      <c r="C651" s="8" t="inlineStr">
        <is>
          <t>Anticipo Ganancias Ley 25.413 débitos</t>
        </is>
      </c>
      <c r="D651" s="9" t="n">
        <v>1.93</v>
      </c>
      <c r="E651" s="8" t="inlineStr">
        <is>
          <t>ABIERTO_NUEVO</t>
        </is>
      </c>
      <c r="F651" s="8" t="inlineStr">
        <is>
          <t>Banco / impuesto / gasto</t>
        </is>
      </c>
      <c r="G651" s="8" t="inlineStr">
        <is>
          <t>Copiar en Flexxus: Tipo=MB-EXT | Movimiento=GRAVAMEN LEY 25.413 S/DEB | Monto=1,93 | Fecha: 20/04/2026</t>
        </is>
      </c>
    </row>
    <row r="652">
      <c r="A652" s="8" t="inlineStr">
        <is>
          <t>Administración/Banco</t>
        </is>
      </c>
      <c r="B652" s="8" t="inlineStr">
        <is>
          <t>Banco egreso no Flexxus</t>
        </is>
      </c>
      <c r="C652" s="8" t="inlineStr">
        <is>
          <t>Anticipo Ganancias Ley 25.413 débitos</t>
        </is>
      </c>
      <c r="D652" s="9" t="n">
        <v>0.5</v>
      </c>
      <c r="E652" s="8" t="inlineStr">
        <is>
          <t>ABIERTO_NUEVO</t>
        </is>
      </c>
      <c r="F652" s="8" t="inlineStr">
        <is>
          <t>Banco / impuesto / gasto</t>
        </is>
      </c>
      <c r="G652" s="8" t="inlineStr">
        <is>
          <t>Copiar en Flexxus: Tipo=MB-EXT | Movimiento=GRAVAMEN LEY 25.413 S/DEB | Monto=0,50 | Fecha: 20/04/2026</t>
        </is>
      </c>
    </row>
    <row r="653">
      <c r="A653" s="8" t="inlineStr">
        <is>
          <t>Administración/Banco</t>
        </is>
      </c>
      <c r="B653" s="8" t="inlineStr">
        <is>
          <t>Banco egreso no Flexxus</t>
        </is>
      </c>
      <c r="C653" s="8" t="inlineStr">
        <is>
          <t>Anticipo Ganancias Ley 25.413 débitos</t>
        </is>
      </c>
      <c r="D653" s="9" t="n">
        <v>0.8</v>
      </c>
      <c r="E653" s="8" t="inlineStr">
        <is>
          <t>ABIERTO_NUEVO</t>
        </is>
      </c>
      <c r="F653" s="8" t="inlineStr">
        <is>
          <t>Banco / impuesto / gasto</t>
        </is>
      </c>
      <c r="G653" s="8" t="inlineStr">
        <is>
          <t>Copiar en Flexxus: Tipo=MB-EXT | Movimiento=GRAVAMEN LEY 25.413 S/DEB | Monto=0,80 | Fecha: 20/04/2026</t>
        </is>
      </c>
    </row>
    <row r="654">
      <c r="A654" s="8" t="inlineStr">
        <is>
          <t>Administración/Banco</t>
        </is>
      </c>
      <c r="B654" s="8" t="inlineStr">
        <is>
          <t>Banco egreso no Flexxus</t>
        </is>
      </c>
      <c r="C654" s="8" t="inlineStr">
        <is>
          <t>Anticipo Ganancias Ley 25.413 débitos</t>
        </is>
      </c>
      <c r="D654" s="9" t="n">
        <v>0.68</v>
      </c>
      <c r="E654" s="8" t="inlineStr">
        <is>
          <t>ABIERTO_NUEVO</t>
        </is>
      </c>
      <c r="F654" s="8" t="inlineStr">
        <is>
          <t>Banco / impuesto / gasto</t>
        </is>
      </c>
      <c r="G654" s="8" t="inlineStr">
        <is>
          <t>Copiar en Flexxus: Tipo=MB-EXT | Movimiento=GRAVAMEN LEY 25.413 S/DEB | Monto=0,68 | Fecha: 20/04/2026</t>
        </is>
      </c>
    </row>
    <row r="655">
      <c r="A655" s="8" t="inlineStr">
        <is>
          <t>Administración/Banco</t>
        </is>
      </c>
      <c r="B655" s="8" t="inlineStr">
        <is>
          <t>Banco egreso no Flexxus</t>
        </is>
      </c>
      <c r="C655" s="8" t="inlineStr">
        <is>
          <t>Anticipo Ganancias Ley 25.413 débitos</t>
        </is>
      </c>
      <c r="D655" s="9" t="n">
        <v>2.41</v>
      </c>
      <c r="E655" s="8" t="inlineStr">
        <is>
          <t>ABIERTO_NUEVO</t>
        </is>
      </c>
      <c r="F655" s="8" t="inlineStr">
        <is>
          <t>Banco / impuesto / gasto</t>
        </is>
      </c>
      <c r="G655" s="8" t="inlineStr">
        <is>
          <t>Copiar en Flexxus: Tipo=MB-EXT | Movimiento=GRAVAMEN LEY 25.413 S/DEB | Monto=2,41 | Fecha: 20/04/2026</t>
        </is>
      </c>
    </row>
    <row r="656">
      <c r="A656" s="8" t="inlineStr">
        <is>
          <t>Administración/Banco</t>
        </is>
      </c>
      <c r="B656" s="8" t="inlineStr">
        <is>
          <t>Banco egreso no Flexxus</t>
        </is>
      </c>
      <c r="C656" s="8" t="inlineStr">
        <is>
          <t>Anticipo Ganancias Ley 25.413 débitos</t>
        </is>
      </c>
      <c r="D656" s="9" t="n">
        <v>0.41</v>
      </c>
      <c r="E656" s="8" t="inlineStr">
        <is>
          <t>ABIERTO_NUEVO</t>
        </is>
      </c>
      <c r="F656" s="8" t="inlineStr">
        <is>
          <t>Banco / impuesto / gasto</t>
        </is>
      </c>
      <c r="G656" s="8" t="inlineStr">
        <is>
          <t>Copiar en Flexxus: Tipo=MB-EXT | Movimiento=GRAVAMEN LEY 25.413 S/DEB | Monto=0,41 | Fecha: 20/04/2026</t>
        </is>
      </c>
    </row>
    <row r="657">
      <c r="A657" s="8" t="inlineStr">
        <is>
          <t>Administración/Banco</t>
        </is>
      </c>
      <c r="B657" s="8" t="inlineStr">
        <is>
          <t>Banco egreso no Flexxus</t>
        </is>
      </c>
      <c r="C657" s="8" t="inlineStr">
        <is>
          <t>Anticipo Ganancias Ley 25.413 débitos</t>
        </is>
      </c>
      <c r="D657" s="9" t="n">
        <v>1.37</v>
      </c>
      <c r="E657" s="8" t="inlineStr">
        <is>
          <t>ABIERTO_NUEVO</t>
        </is>
      </c>
      <c r="F657" s="8" t="inlineStr">
        <is>
          <t>Banco / impuesto / gasto</t>
        </is>
      </c>
      <c r="G657" s="8" t="inlineStr">
        <is>
          <t>Copiar en Flexxus: Tipo=MB-EXT | Movimiento=GRAVAMEN LEY 25.413 S/DEB | Monto=1,37 | Fecha: 20/04/2026</t>
        </is>
      </c>
    </row>
    <row r="658">
      <c r="A658" s="8" t="inlineStr">
        <is>
          <t>Administración/Banco</t>
        </is>
      </c>
      <c r="B658" s="8" t="inlineStr">
        <is>
          <t>Banco egreso no Flexxus</t>
        </is>
      </c>
      <c r="C658" s="8" t="inlineStr">
        <is>
          <t>Anticipo Ganancias Ley 25.413 débitos</t>
        </is>
      </c>
      <c r="D658" s="9" t="n">
        <v>4.27</v>
      </c>
      <c r="E658" s="8" t="inlineStr">
        <is>
          <t>ABIERTO_NUEVO</t>
        </is>
      </c>
      <c r="F658" s="8" t="inlineStr">
        <is>
          <t>Banco / impuesto / gasto</t>
        </is>
      </c>
      <c r="G658" s="8" t="inlineStr">
        <is>
          <t>Copiar en Flexxus: Tipo=MB-EXT | Movimiento=GRAVAMEN LEY 25.413 S/DEB | Monto=4,27 | Fecha: 20/04/2026</t>
        </is>
      </c>
    </row>
    <row r="659">
      <c r="A659" s="8" t="inlineStr">
        <is>
          <t>Administración/Banco</t>
        </is>
      </c>
      <c r="B659" s="8" t="inlineStr">
        <is>
          <t>Banco egreso no Flexxus</t>
        </is>
      </c>
      <c r="C659" s="8" t="inlineStr">
        <is>
          <t>Anticipo Ganancias Ley 25.413 débitos</t>
        </is>
      </c>
      <c r="D659" s="9" t="n">
        <v>1.37</v>
      </c>
      <c r="E659" s="8" t="inlineStr">
        <is>
          <t>ABIERTO_NUEVO</t>
        </is>
      </c>
      <c r="F659" s="8" t="inlineStr">
        <is>
          <t>Banco / impuesto / gasto</t>
        </is>
      </c>
      <c r="G659" s="8" t="inlineStr">
        <is>
          <t>Copiar en Flexxus: Tipo=MB-EXT | Movimiento=GRAVAMEN LEY 25.413 S/DEB | Monto=1,37 | Fecha: 20/04/2026</t>
        </is>
      </c>
    </row>
    <row r="660">
      <c r="A660" s="8" t="inlineStr">
        <is>
          <t>Administración/Banco</t>
        </is>
      </c>
      <c r="B660" s="8" t="inlineStr">
        <is>
          <t>Banco egreso no Flexxus</t>
        </is>
      </c>
      <c r="C660" s="8" t="inlineStr">
        <is>
          <t>Anticipo Ganancias Ley 25.413 débitos</t>
        </is>
      </c>
      <c r="D660" s="9" t="n">
        <v>4.28</v>
      </c>
      <c r="E660" s="8" t="inlineStr">
        <is>
          <t>ABIERTO_NUEVO</t>
        </is>
      </c>
      <c r="F660" s="8" t="inlineStr">
        <is>
          <t>Banco / impuesto / gasto</t>
        </is>
      </c>
      <c r="G660" s="8" t="inlineStr">
        <is>
          <t>Copiar en Flexxus: Tipo=MB-EXT | Movimiento=GRAVAMEN LEY 25.413 S/DEB | Monto=4,28 | Fecha: 20/04/2026</t>
        </is>
      </c>
    </row>
    <row r="661">
      <c r="A661" s="8" t="inlineStr">
        <is>
          <t>Administración/Banco</t>
        </is>
      </c>
      <c r="B661" s="8" t="inlineStr">
        <is>
          <t>Banco egreso no Flexxus</t>
        </is>
      </c>
      <c r="C661" s="8" t="inlineStr">
        <is>
          <t>Anticipo Ganancias Ley 25.413 débitos</t>
        </is>
      </c>
      <c r="D661" s="9" t="n">
        <v>2.48</v>
      </c>
      <c r="E661" s="8" t="inlineStr">
        <is>
          <t>ABIERTO_NUEVO</t>
        </is>
      </c>
      <c r="F661" s="8" t="inlineStr">
        <is>
          <t>Banco / impuesto / gasto</t>
        </is>
      </c>
      <c r="G661" s="8" t="inlineStr">
        <is>
          <t>Copiar en Flexxus: Tipo=MB-EXT | Movimiento=GRAVAMEN LEY 25.413 S/DEB | Monto=2,48 | Fecha: 20/04/2026</t>
        </is>
      </c>
    </row>
    <row r="662">
      <c r="A662" s="8" t="inlineStr">
        <is>
          <t>Administración/Banco</t>
        </is>
      </c>
      <c r="B662" s="8" t="inlineStr">
        <is>
          <t>Banco egreso no Flexxus</t>
        </is>
      </c>
      <c r="C662" s="8" t="inlineStr">
        <is>
          <t>Anticipo Ganancias Ley 25.413 débitos</t>
        </is>
      </c>
      <c r="D662" s="9" t="n">
        <v>0.5</v>
      </c>
      <c r="E662" s="8" t="inlineStr">
        <is>
          <t>ABIERTO_NUEVO</t>
        </is>
      </c>
      <c r="F662" s="8" t="inlineStr">
        <is>
          <t>Banco / impuesto / gasto</t>
        </is>
      </c>
      <c r="G662" s="8" t="inlineStr">
        <is>
          <t>Copiar en Flexxus: Tipo=MB-EXT | Movimiento=GRAVAMEN LEY 25.413 S/DEB | Monto=0,50 | Fecha: 20/04/2026</t>
        </is>
      </c>
    </row>
    <row r="663">
      <c r="A663" s="8" t="inlineStr">
        <is>
          <t>Administración/Banco</t>
        </is>
      </c>
      <c r="B663" s="8" t="inlineStr">
        <is>
          <t>Banco egreso no Flexxus</t>
        </is>
      </c>
      <c r="C663" s="8" t="inlineStr">
        <is>
          <t>Anticipo Ganancias Ley 25.413 débitos</t>
        </is>
      </c>
      <c r="D663" s="9" t="n">
        <v>1.89</v>
      </c>
      <c r="E663" s="8" t="inlineStr">
        <is>
          <t>ABIERTO_NUEVO</t>
        </is>
      </c>
      <c r="F663" s="8" t="inlineStr">
        <is>
          <t>Banco / impuesto / gasto</t>
        </is>
      </c>
      <c r="G663" s="8" t="inlineStr">
        <is>
          <t>Copiar en Flexxus: Tipo=MB-EXT | Movimiento=GRAVAMEN LEY 25.413 S/DEB | Monto=1,89 | Fecha: 20/04/2026</t>
        </is>
      </c>
    </row>
    <row r="664">
      <c r="A664" s="8" t="inlineStr">
        <is>
          <t>Administración/Banco</t>
        </is>
      </c>
      <c r="B664" s="8" t="inlineStr">
        <is>
          <t>Banco egreso no Flexxus</t>
        </is>
      </c>
      <c r="C664" s="8" t="inlineStr">
        <is>
          <t>Anticipo Ganancias Ley 25.413 débitos</t>
        </is>
      </c>
      <c r="D664" s="9" t="n">
        <v>1.49</v>
      </c>
      <c r="E664" s="8" t="inlineStr">
        <is>
          <t>ABIERTO_NUEVO</t>
        </is>
      </c>
      <c r="F664" s="8" t="inlineStr">
        <is>
          <t>Banco / impuesto / gasto</t>
        </is>
      </c>
      <c r="G664" s="8" t="inlineStr">
        <is>
          <t>Copiar en Flexxus: Tipo=MB-EXT | Movimiento=GRAVAMEN LEY 25.413 S/DEB | Monto=1,49 | Fecha: 20/04/2026</t>
        </is>
      </c>
    </row>
    <row r="665">
      <c r="A665" s="8" t="inlineStr">
        <is>
          <t>Administración/Banco</t>
        </is>
      </c>
      <c r="B665" s="8" t="inlineStr">
        <is>
          <t>Banco egreso no Flexxus</t>
        </is>
      </c>
      <c r="C665" s="8" t="inlineStr">
        <is>
          <t>Anticipo Ganancias Ley 25.413 débitos</t>
        </is>
      </c>
      <c r="D665" s="9" t="n">
        <v>1.6</v>
      </c>
      <c r="E665" s="8" t="inlineStr">
        <is>
          <t>ABIERTO_NUEVO</t>
        </is>
      </c>
      <c r="F665" s="8" t="inlineStr">
        <is>
          <t>Banco / impuesto / gasto</t>
        </is>
      </c>
      <c r="G665" s="8" t="inlineStr">
        <is>
          <t>Copiar en Flexxus: Tipo=MB-EXT | Movimiento=GRAVAMEN LEY 25.413 S/DEB | Monto=1,60 | Fecha: 20/04/2026</t>
        </is>
      </c>
    </row>
    <row r="666">
      <c r="A666" s="8" t="inlineStr">
        <is>
          <t>Administración/Banco</t>
        </is>
      </c>
      <c r="B666" s="8" t="inlineStr">
        <is>
          <t>Banco egreso no Flexxus</t>
        </is>
      </c>
      <c r="C666" s="8" t="inlineStr">
        <is>
          <t>Anticipo Ganancias Ley 25.413 débitos</t>
        </is>
      </c>
      <c r="D666" s="9" t="n">
        <v>0.46</v>
      </c>
      <c r="E666" s="8" t="inlineStr">
        <is>
          <t>ABIERTO_NUEVO</t>
        </is>
      </c>
      <c r="F666" s="8" t="inlineStr">
        <is>
          <t>Banco / impuesto / gasto</t>
        </is>
      </c>
      <c r="G666" s="8" t="inlineStr">
        <is>
          <t>Copiar en Flexxus: Tipo=MB-EXT | Movimiento=GRAVAMEN LEY 25.413 S/DEB | Monto=0,46 | Fecha: 20/04/2026</t>
        </is>
      </c>
    </row>
    <row r="667">
      <c r="A667" s="8" t="inlineStr">
        <is>
          <t>Administración/Banco</t>
        </is>
      </c>
      <c r="B667" s="8" t="inlineStr">
        <is>
          <t>Banco egreso no Flexxus</t>
        </is>
      </c>
      <c r="C667" s="8" t="inlineStr">
        <is>
          <t>Anticipo Ganancias Ley 25.413 débitos</t>
        </is>
      </c>
      <c r="D667" s="9" t="n">
        <v>1.6</v>
      </c>
      <c r="E667" s="8" t="inlineStr">
        <is>
          <t>ABIERTO_NUEVO</t>
        </is>
      </c>
      <c r="F667" s="8" t="inlineStr">
        <is>
          <t>Banco / impuesto / gasto</t>
        </is>
      </c>
      <c r="G667" s="8" t="inlineStr">
        <is>
          <t>Copiar en Flexxus: Tipo=MB-EXT | Movimiento=GRAVAMEN LEY 25.413 S/DEB | Monto=1,60 | Fecha: 20/04/2026</t>
        </is>
      </c>
    </row>
    <row r="668">
      <c r="A668" s="8" t="inlineStr">
        <is>
          <t>Administración/Banco</t>
        </is>
      </c>
      <c r="B668" s="8" t="inlineStr">
        <is>
          <t>Banco egreso no Flexxus</t>
        </is>
      </c>
      <c r="C668" s="8" t="inlineStr">
        <is>
          <t>Anticipo Ganancias Ley 25.413 débitos</t>
        </is>
      </c>
      <c r="D668" s="9" t="n">
        <v>1.6</v>
      </c>
      <c r="E668" s="8" t="inlineStr">
        <is>
          <t>ABIERTO_NUEVO</t>
        </is>
      </c>
      <c r="F668" s="8" t="inlineStr">
        <is>
          <t>Banco / impuesto / gasto</t>
        </is>
      </c>
      <c r="G668" s="8" t="inlineStr">
        <is>
          <t>Copiar en Flexxus: Tipo=MB-EXT | Movimiento=GRAVAMEN LEY 25.413 S/DEB | Monto=1,60 | Fecha: 20/04/2026</t>
        </is>
      </c>
    </row>
    <row r="669">
      <c r="A669" s="8" t="inlineStr">
        <is>
          <t>Administración/Banco</t>
        </is>
      </c>
      <c r="B669" s="8" t="inlineStr">
        <is>
          <t>Banco egreso no Flexxus</t>
        </is>
      </c>
      <c r="C669" s="8" t="inlineStr">
        <is>
          <t>Anticipo Ganancias Ley 25.413 débitos</t>
        </is>
      </c>
      <c r="D669" s="9" t="n">
        <v>1.6</v>
      </c>
      <c r="E669" s="8" t="inlineStr">
        <is>
          <t>ABIERTO_NUEVO</t>
        </is>
      </c>
      <c r="F669" s="8" t="inlineStr">
        <is>
          <t>Banco / impuesto / gasto</t>
        </is>
      </c>
      <c r="G669" s="8" t="inlineStr">
        <is>
          <t>Copiar en Flexxus: Tipo=MB-EXT | Movimiento=GRAVAMEN LEY 25.413 S/DEB | Monto=1,60 | Fecha: 20/04/2026</t>
        </is>
      </c>
    </row>
    <row r="670">
      <c r="A670" s="8" t="inlineStr">
        <is>
          <t>Administración/Banco</t>
        </is>
      </c>
      <c r="B670" s="8" t="inlineStr">
        <is>
          <t>Banco egreso no Flexxus</t>
        </is>
      </c>
      <c r="C670" s="8" t="inlineStr">
        <is>
          <t>Anticipo Ganancias Ley 25.413 débitos</t>
        </is>
      </c>
      <c r="D670" s="9" t="n">
        <v>0.68</v>
      </c>
      <c r="E670" s="8" t="inlineStr">
        <is>
          <t>ABIERTO_NUEVO</t>
        </is>
      </c>
      <c r="F670" s="8" t="inlineStr">
        <is>
          <t>Banco / impuesto / gasto</t>
        </is>
      </c>
      <c r="G670" s="8" t="inlineStr">
        <is>
          <t>Copiar en Flexxus: Tipo=MB-EXT | Movimiento=GRAVAMEN LEY 25.413 S/DEB | Monto=0,68 | Fecha: 20/04/2026</t>
        </is>
      </c>
    </row>
    <row r="671">
      <c r="A671" s="8" t="inlineStr">
        <is>
          <t>Administración/Banco</t>
        </is>
      </c>
      <c r="B671" s="8" t="inlineStr">
        <is>
          <t>Banco egreso no Flexxus</t>
        </is>
      </c>
      <c r="C671" s="8" t="inlineStr">
        <is>
          <t>Anticipo Ganancias Ley 25.413 débitos</t>
        </is>
      </c>
      <c r="D671" s="9" t="n">
        <v>1.58</v>
      </c>
      <c r="E671" s="8" t="inlineStr">
        <is>
          <t>ABIERTO_NUEVO</t>
        </is>
      </c>
      <c r="F671" s="8" t="inlineStr">
        <is>
          <t>Banco / impuesto / gasto</t>
        </is>
      </c>
      <c r="G671" s="8" t="inlineStr">
        <is>
          <t>Copiar en Flexxus: Tipo=MB-EXT | Movimiento=GRAVAMEN LEY 25.413 S/DEB | Monto=1,58 | Fecha: 20/04/2026</t>
        </is>
      </c>
    </row>
    <row r="672">
      <c r="A672" s="8" t="inlineStr">
        <is>
          <t>Administración/Banco</t>
        </is>
      </c>
      <c r="B672" s="8" t="inlineStr">
        <is>
          <t>Banco egreso no Flexxus</t>
        </is>
      </c>
      <c r="C672" s="8" t="inlineStr">
        <is>
          <t>Anticipo Ganancias Ley 25.413 débitos</t>
        </is>
      </c>
      <c r="D672" s="9" t="n">
        <v>1.6</v>
      </c>
      <c r="E672" s="8" t="inlineStr">
        <is>
          <t>ABIERTO_NUEVO</t>
        </is>
      </c>
      <c r="F672" s="8" t="inlineStr">
        <is>
          <t>Banco / impuesto / gasto</t>
        </is>
      </c>
      <c r="G672" s="8" t="inlineStr">
        <is>
          <t>Copiar en Flexxus: Tipo=MB-EXT | Movimiento=GRAVAMEN LEY 25.413 S/DEB | Monto=1,60 | Fecha: 20/04/2026</t>
        </is>
      </c>
    </row>
    <row r="673">
      <c r="A673" s="8" t="inlineStr">
        <is>
          <t>Administración/Banco</t>
        </is>
      </c>
      <c r="B673" s="8" t="inlineStr">
        <is>
          <t>Banco egreso no Flexxus</t>
        </is>
      </c>
      <c r="C673" s="8" t="inlineStr">
        <is>
          <t>Anticipo Ganancias Ley 25.413 débitos</t>
        </is>
      </c>
      <c r="D673" s="9" t="n">
        <v>4.18</v>
      </c>
      <c r="E673" s="8" t="inlineStr">
        <is>
          <t>ABIERTO_NUEVO</t>
        </is>
      </c>
      <c r="F673" s="8" t="inlineStr">
        <is>
          <t>Banco / impuesto / gasto</t>
        </is>
      </c>
      <c r="G673" s="8" t="inlineStr">
        <is>
          <t>Copiar en Flexxus: Tipo=MB-EXT | Movimiento=GRAVAMEN LEY 25.413 S/DEB | Monto=4,18 | Fecha: 20/04/2026</t>
        </is>
      </c>
    </row>
    <row r="674">
      <c r="A674" s="8" t="inlineStr">
        <is>
          <t>Administración/Banco</t>
        </is>
      </c>
      <c r="B674" s="8" t="inlineStr">
        <is>
          <t>Banco egreso no Flexxus</t>
        </is>
      </c>
      <c r="C674" s="8" t="inlineStr">
        <is>
          <t>Anticipo Ganancias Ley 25.413 débitos</t>
        </is>
      </c>
      <c r="D674" s="9" t="n">
        <v>1.93</v>
      </c>
      <c r="E674" s="8" t="inlineStr">
        <is>
          <t>ABIERTO_NUEVO</t>
        </is>
      </c>
      <c r="F674" s="8" t="inlineStr">
        <is>
          <t>Banco / impuesto / gasto</t>
        </is>
      </c>
      <c r="G674" s="8" t="inlineStr">
        <is>
          <t>Copiar en Flexxus: Tipo=MB-EXT | Movimiento=GRAVAMEN LEY 25.413 S/DEB | Monto=1,93 | Fecha: 20/04/2026</t>
        </is>
      </c>
    </row>
    <row r="675">
      <c r="A675" s="8" t="inlineStr">
        <is>
          <t>Administración/Banco</t>
        </is>
      </c>
      <c r="B675" s="8" t="inlineStr">
        <is>
          <t>Banco egreso no Flexxus</t>
        </is>
      </c>
      <c r="C675" s="8" t="inlineStr">
        <is>
          <t>Anticipo Ganancias Ley 25.413 débitos</t>
        </is>
      </c>
      <c r="D675" s="9" t="n">
        <v>0.68</v>
      </c>
      <c r="E675" s="8" t="inlineStr">
        <is>
          <t>ABIERTO_NUEVO</t>
        </is>
      </c>
      <c r="F675" s="8" t="inlineStr">
        <is>
          <t>Banco / impuesto / gasto</t>
        </is>
      </c>
      <c r="G675" s="8" t="inlineStr">
        <is>
          <t>Copiar en Flexxus: Tipo=MB-EXT | Movimiento=GRAVAMEN LEY 25.413 S/DEB | Monto=0,68 | Fecha: 20/04/2026</t>
        </is>
      </c>
    </row>
    <row r="676">
      <c r="A676" s="8" t="inlineStr">
        <is>
          <t>Administración/Banco</t>
        </is>
      </c>
      <c r="B676" s="8" t="inlineStr">
        <is>
          <t>Banco egreso no Flexxus</t>
        </is>
      </c>
      <c r="C676" s="8" t="inlineStr">
        <is>
          <t>Anticipo Ganancias Ley 25.413 débitos</t>
        </is>
      </c>
      <c r="D676" s="9" t="n">
        <v>3.62</v>
      </c>
      <c r="E676" s="8" t="inlineStr">
        <is>
          <t>ABIERTO_NUEVO</t>
        </is>
      </c>
      <c r="F676" s="8" t="inlineStr">
        <is>
          <t>Banco / impuesto / gasto</t>
        </is>
      </c>
      <c r="G676" s="8" t="inlineStr">
        <is>
          <t>Copiar en Flexxus: Tipo=MB-EXT | Movimiento=GRAVAMEN LEY 25.413 S/DEB | Monto=3,62 | Fecha: 20/04/2026</t>
        </is>
      </c>
    </row>
    <row r="677">
      <c r="A677" s="8" t="inlineStr">
        <is>
          <t>Administración/Banco</t>
        </is>
      </c>
      <c r="B677" s="8" t="inlineStr">
        <is>
          <t>Banco egreso no Flexxus</t>
        </is>
      </c>
      <c r="C677" s="8" t="inlineStr">
        <is>
          <t>Anticipo Ganancias Ley 25.413 débitos</t>
        </is>
      </c>
      <c r="D677" s="9" t="n">
        <v>1.98</v>
      </c>
      <c r="E677" s="8" t="inlineStr">
        <is>
          <t>ABIERTO_NUEVO</t>
        </is>
      </c>
      <c r="F677" s="8" t="inlineStr">
        <is>
          <t>Banco / impuesto / gasto</t>
        </is>
      </c>
      <c r="G677" s="8" t="inlineStr">
        <is>
          <t>Copiar en Flexxus: Tipo=MB-EXT | Movimiento=GRAVAMEN LEY 25.413 S/DEB | Monto=1,98 | Fecha: 20/04/2026</t>
        </is>
      </c>
    </row>
    <row r="678">
      <c r="A678" s="8" t="inlineStr">
        <is>
          <t>Administración/Banco</t>
        </is>
      </c>
      <c r="B678" s="8" t="inlineStr">
        <is>
          <t>Banco egreso no Flexxus</t>
        </is>
      </c>
      <c r="C678" s="8" t="inlineStr">
        <is>
          <t>Anticipo Ganancias Ley 25.413 débitos</t>
        </is>
      </c>
      <c r="D678" s="9" t="n">
        <v>0.96</v>
      </c>
      <c r="E678" s="8" t="inlineStr">
        <is>
          <t>ABIERTO_NUEVO</t>
        </is>
      </c>
      <c r="F678" s="8" t="inlineStr">
        <is>
          <t>Banco / impuesto / gasto</t>
        </is>
      </c>
      <c r="G678" s="8" t="inlineStr">
        <is>
          <t>Copiar en Flexxus: Tipo=MB-EXT | Movimiento=GRAVAMEN LEY 25.413 S/DEB | Monto=0,96 | Fecha: 20/04/2026</t>
        </is>
      </c>
    </row>
    <row r="679">
      <c r="A679" s="8" t="inlineStr">
        <is>
          <t>Administración/Banco</t>
        </is>
      </c>
      <c r="B679" s="8" t="inlineStr">
        <is>
          <t>Banco egreso no Flexxus</t>
        </is>
      </c>
      <c r="C679" s="8" t="inlineStr">
        <is>
          <t>Anticipo Ganancias Ley 25.413 débitos</t>
        </is>
      </c>
      <c r="D679" s="9" t="n">
        <v>0.46</v>
      </c>
      <c r="E679" s="8" t="inlineStr">
        <is>
          <t>ABIERTO_NUEVO</t>
        </is>
      </c>
      <c r="F679" s="8" t="inlineStr">
        <is>
          <t>Banco / impuesto / gasto</t>
        </is>
      </c>
      <c r="G679" s="8" t="inlineStr">
        <is>
          <t>Copiar en Flexxus: Tipo=MB-EXT | Movimiento=GRAVAMEN LEY 25.413 S/DEB | Monto=0,46 | Fecha: 20/04/2026</t>
        </is>
      </c>
    </row>
    <row r="680">
      <c r="A680" s="8" t="inlineStr">
        <is>
          <t>Administración/Banco</t>
        </is>
      </c>
      <c r="B680" s="8" t="inlineStr">
        <is>
          <t>Banco egreso no Flexxus</t>
        </is>
      </c>
      <c r="C680" s="8" t="inlineStr">
        <is>
          <t>Anticipo Ganancias Ley 25.413 débitos</t>
        </is>
      </c>
      <c r="D680" s="9" t="n">
        <v>1.4</v>
      </c>
      <c r="E680" s="8" t="inlineStr">
        <is>
          <t>ABIERTO_NUEVO</t>
        </is>
      </c>
      <c r="F680" s="8" t="inlineStr">
        <is>
          <t>Banco / impuesto / gasto</t>
        </is>
      </c>
      <c r="G680" s="8" t="inlineStr">
        <is>
          <t>Copiar en Flexxus: Tipo=MB-EXT | Movimiento=GRAVAMEN LEY 25.413 S/DEB | Monto=1,40 | Fecha: 20/04/2026</t>
        </is>
      </c>
    </row>
    <row r="681">
      <c r="A681" s="8" t="inlineStr">
        <is>
          <t>Administración/Banco</t>
        </is>
      </c>
      <c r="B681" s="8" t="inlineStr">
        <is>
          <t>Banco egreso no Flexxus</t>
        </is>
      </c>
      <c r="C681" s="8" t="inlineStr">
        <is>
          <t>Anticipo Ganancias Ley 25.413 débitos</t>
        </is>
      </c>
      <c r="D681" s="9" t="n">
        <v>1.64</v>
      </c>
      <c r="E681" s="8" t="inlineStr">
        <is>
          <t>ABIERTO_NUEVO</t>
        </is>
      </c>
      <c r="F681" s="8" t="inlineStr">
        <is>
          <t>Banco / impuesto / gasto</t>
        </is>
      </c>
      <c r="G681" s="8" t="inlineStr">
        <is>
          <t>Copiar en Flexxus: Tipo=MB-EXT | Movimiento=GRAVAMEN LEY 25.413 S/DEB | Monto=1,64 | Fecha: 20/04/2026</t>
        </is>
      </c>
    </row>
    <row r="682">
      <c r="A682" s="8" t="inlineStr">
        <is>
          <t>Administración/Banco</t>
        </is>
      </c>
      <c r="B682" s="8" t="inlineStr">
        <is>
          <t>Banco egreso no Flexxus</t>
        </is>
      </c>
      <c r="C682" s="8" t="inlineStr">
        <is>
          <t>Anticipo Ganancias Ley 25.413 débitos</t>
        </is>
      </c>
      <c r="D682" s="9" t="n">
        <v>2.89</v>
      </c>
      <c r="E682" s="8" t="inlineStr">
        <is>
          <t>ABIERTO_NUEVO</t>
        </is>
      </c>
      <c r="F682" s="8" t="inlineStr">
        <is>
          <t>Banco / impuesto / gasto</t>
        </is>
      </c>
      <c r="G682" s="8" t="inlineStr">
        <is>
          <t>Copiar en Flexxus: Tipo=MB-EXT | Movimiento=GRAVAMEN LEY 25.413 S/DEB | Monto=2,89 | Fecha: 20/04/2026</t>
        </is>
      </c>
    </row>
    <row r="683">
      <c r="A683" s="8" t="inlineStr">
        <is>
          <t>Administración/Banco</t>
        </is>
      </c>
      <c r="B683" s="8" t="inlineStr">
        <is>
          <t>Banco egreso no Flexxus</t>
        </is>
      </c>
      <c r="C683" s="8" t="inlineStr">
        <is>
          <t>Anticipo Ganancias Ley 25.413 débitos</t>
        </is>
      </c>
      <c r="D683" s="9" t="n">
        <v>0.68</v>
      </c>
      <c r="E683" s="8" t="inlineStr">
        <is>
          <t>ABIERTO_NUEVO</t>
        </is>
      </c>
      <c r="F683" s="8" t="inlineStr">
        <is>
          <t>Banco / impuesto / gasto</t>
        </is>
      </c>
      <c r="G683" s="8" t="inlineStr">
        <is>
          <t>Copiar en Flexxus: Tipo=MB-EXT | Movimiento=GRAVAMEN LEY 25.413 S/DEB | Monto=0,68 | Fecha: 20/04/2026</t>
        </is>
      </c>
    </row>
    <row r="684">
      <c r="A684" s="8" t="inlineStr">
        <is>
          <t>Administración/Banco</t>
        </is>
      </c>
      <c r="B684" s="8" t="inlineStr">
        <is>
          <t>Banco egreso no Flexxus</t>
        </is>
      </c>
      <c r="C684" s="8" t="inlineStr">
        <is>
          <t>Anticipo Ganancias Ley 25.413 débitos</t>
        </is>
      </c>
      <c r="D684" s="9" t="n">
        <v>2.44</v>
      </c>
      <c r="E684" s="8" t="inlineStr">
        <is>
          <t>ABIERTO_NUEVO</t>
        </is>
      </c>
      <c r="F684" s="8" t="inlineStr">
        <is>
          <t>Banco / impuesto / gasto</t>
        </is>
      </c>
      <c r="G684" s="8" t="inlineStr">
        <is>
          <t>Copiar en Flexxus: Tipo=MB-EXT | Movimiento=GRAVAMEN LEY 25.413 S/DEB | Monto=2,44 | Fecha: 20/04/2026</t>
        </is>
      </c>
    </row>
    <row r="685">
      <c r="A685" s="8" t="inlineStr">
        <is>
          <t>Administración/Banco</t>
        </is>
      </c>
      <c r="B685" s="8" t="inlineStr">
        <is>
          <t>Banco egreso no Flexxus</t>
        </is>
      </c>
      <c r="C685" s="8" t="inlineStr">
        <is>
          <t>Anticipo Ganancias Ley 25.413 débitos</t>
        </is>
      </c>
      <c r="D685" s="9" t="n">
        <v>2.05</v>
      </c>
      <c r="E685" s="8" t="inlineStr">
        <is>
          <t>ABIERTO_NUEVO</t>
        </is>
      </c>
      <c r="F685" s="8" t="inlineStr">
        <is>
          <t>Banco / impuesto / gasto</t>
        </is>
      </c>
      <c r="G685" s="8" t="inlineStr">
        <is>
          <t>Copiar en Flexxus: Tipo=MB-EXT | Movimiento=GRAVAMEN LEY 25.413 S/DEB | Monto=2,05 | Fecha: 20/04/2026</t>
        </is>
      </c>
    </row>
    <row r="686">
      <c r="A686" s="8" t="inlineStr">
        <is>
          <t>Administración/Banco</t>
        </is>
      </c>
      <c r="B686" s="8" t="inlineStr">
        <is>
          <t>Banco egreso no Flexxus</t>
        </is>
      </c>
      <c r="C686" s="8" t="inlineStr">
        <is>
          <t>Anticipo Ganancias Ley 25.413 débitos</t>
        </is>
      </c>
      <c r="D686" s="9" t="n">
        <v>3.65</v>
      </c>
      <c r="E686" s="8" t="inlineStr">
        <is>
          <t>ABIERTO_NUEVO</t>
        </is>
      </c>
      <c r="F686" s="8" t="inlineStr">
        <is>
          <t>Banco / impuesto / gasto</t>
        </is>
      </c>
      <c r="G686" s="8" t="inlineStr">
        <is>
          <t>Copiar en Flexxus: Tipo=MB-EXT | Movimiento=GRAVAMEN LEY 25.413 S/DEB | Monto=3,65 | Fecha: 20/04/2026</t>
        </is>
      </c>
    </row>
    <row r="687">
      <c r="A687" s="8" t="inlineStr">
        <is>
          <t>Administración/Banco</t>
        </is>
      </c>
      <c r="B687" s="8" t="inlineStr">
        <is>
          <t>Banco egreso no Flexxus</t>
        </is>
      </c>
      <c r="C687" s="8" t="inlineStr">
        <is>
          <t>Anticipo Ganancias Ley 25.413 débitos</t>
        </is>
      </c>
      <c r="D687" s="9" t="n">
        <v>1.19</v>
      </c>
      <c r="E687" s="8" t="inlineStr">
        <is>
          <t>ABIERTO_NUEVO</t>
        </is>
      </c>
      <c r="F687" s="8" t="inlineStr">
        <is>
          <t>Banco / impuesto / gasto</t>
        </is>
      </c>
      <c r="G687" s="8" t="inlineStr">
        <is>
          <t>Copiar en Flexxus: Tipo=MB-EXT | Movimiento=GRAVAMEN LEY 25.413 S/DEB | Monto=1,19 | Fecha: 20/04/2026</t>
        </is>
      </c>
    </row>
    <row r="688">
      <c r="A688" s="8" t="inlineStr">
        <is>
          <t>Administración/Banco</t>
        </is>
      </c>
      <c r="B688" s="8" t="inlineStr">
        <is>
          <t>Banco egreso no Flexxus</t>
        </is>
      </c>
      <c r="C688" s="8" t="inlineStr">
        <is>
          <t>Anticipo Ganancias Ley 25.413 débitos</t>
        </is>
      </c>
      <c r="D688" s="9" t="n">
        <v>5.85</v>
      </c>
      <c r="E688" s="8" t="inlineStr">
        <is>
          <t>ABIERTO_NUEVO</t>
        </is>
      </c>
      <c r="F688" s="8" t="inlineStr">
        <is>
          <t>Banco / impuesto / gasto</t>
        </is>
      </c>
      <c r="G688" s="8" t="inlineStr">
        <is>
          <t>Copiar en Flexxus: Tipo=MB-EXT | Movimiento=GRAVAMEN LEY 25.413 S/DEB | Monto=5,85 | Fecha: 20/04/2026</t>
        </is>
      </c>
    </row>
    <row r="689">
      <c r="A689" s="8" t="inlineStr">
        <is>
          <t>Administración/Banco</t>
        </is>
      </c>
      <c r="B689" s="8" t="inlineStr">
        <is>
          <t>Banco egreso no Flexxus</t>
        </is>
      </c>
      <c r="C689" s="8" t="inlineStr">
        <is>
          <t>Anticipo Ganancias Ley 25.413 débitos</t>
        </is>
      </c>
      <c r="D689" s="9" t="n">
        <v>4.07</v>
      </c>
      <c r="E689" s="8" t="inlineStr">
        <is>
          <t>ABIERTO_NUEVO</t>
        </is>
      </c>
      <c r="F689" s="8" t="inlineStr">
        <is>
          <t>Banco / impuesto / gasto</t>
        </is>
      </c>
      <c r="G689" s="8" t="inlineStr">
        <is>
          <t>Copiar en Flexxus: Tipo=MB-EXT | Movimiento=GRAVAMEN LEY 25.413 S/DEB | Monto=4,07 | Fecha: 20/04/2026</t>
        </is>
      </c>
    </row>
    <row r="690">
      <c r="A690" s="8" t="inlineStr">
        <is>
          <t>Administración/Banco</t>
        </is>
      </c>
      <c r="B690" s="8" t="inlineStr">
        <is>
          <t>Banco egreso no Flexxus</t>
        </is>
      </c>
      <c r="C690" s="8" t="inlineStr">
        <is>
          <t>Anticipo Ganancias Ley 25.413 débitos</t>
        </is>
      </c>
      <c r="D690" s="9" t="n">
        <v>1.96</v>
      </c>
      <c r="E690" s="8" t="inlineStr">
        <is>
          <t>ABIERTO_NUEVO</t>
        </is>
      </c>
      <c r="F690" s="8" t="inlineStr">
        <is>
          <t>Banco / impuesto / gasto</t>
        </is>
      </c>
      <c r="G690" s="8" t="inlineStr">
        <is>
          <t>Copiar en Flexxus: Tipo=MB-EXT | Movimiento=GRAVAMEN LEY 25.413 S/DEB | Monto=1,96 | Fecha: 20/04/2026</t>
        </is>
      </c>
    </row>
    <row r="691">
      <c r="A691" s="8" t="inlineStr">
        <is>
          <t>Administración/Banco</t>
        </is>
      </c>
      <c r="B691" s="8" t="inlineStr">
        <is>
          <t>Banco egreso no Flexxus</t>
        </is>
      </c>
      <c r="C691" s="8" t="inlineStr">
        <is>
          <t>Anticipo Ganancias Ley 25.413 débitos</t>
        </is>
      </c>
      <c r="D691" s="9" t="n">
        <v>1.85</v>
      </c>
      <c r="E691" s="8" t="inlineStr">
        <is>
          <t>ABIERTO_NUEVO</t>
        </is>
      </c>
      <c r="F691" s="8" t="inlineStr">
        <is>
          <t>Banco / impuesto / gasto</t>
        </is>
      </c>
      <c r="G691" s="8" t="inlineStr">
        <is>
          <t>Copiar en Flexxus: Tipo=MB-EXT | Movimiento=GRAVAMEN LEY 25.413 S/DEB | Monto=1,85 | Fecha: 20/04/2026</t>
        </is>
      </c>
    </row>
    <row r="692">
      <c r="A692" s="8" t="inlineStr">
        <is>
          <t>Administración/Banco</t>
        </is>
      </c>
      <c r="B692" s="8" t="inlineStr">
        <is>
          <t>Banco egreso no Flexxus</t>
        </is>
      </c>
      <c r="C692" s="8" t="inlineStr">
        <is>
          <t>Anticipo Ganancias Ley 25.413 débitos</t>
        </is>
      </c>
      <c r="D692" s="9" t="n">
        <v>1.77</v>
      </c>
      <c r="E692" s="8" t="inlineStr">
        <is>
          <t>ABIERTO_NUEVO</t>
        </is>
      </c>
      <c r="F692" s="8" t="inlineStr">
        <is>
          <t>Banco / impuesto / gasto</t>
        </is>
      </c>
      <c r="G692" s="8" t="inlineStr">
        <is>
          <t>Copiar en Flexxus: Tipo=MB-EXT | Movimiento=GRAVAMEN LEY 25.413 S/DEB | Monto=1,77 | Fecha: 20/04/2026</t>
        </is>
      </c>
    </row>
    <row r="693">
      <c r="A693" s="8" t="inlineStr">
        <is>
          <t>Administración/Banco</t>
        </is>
      </c>
      <c r="B693" s="8" t="inlineStr">
        <is>
          <t>Banco egreso no Flexxus</t>
        </is>
      </c>
      <c r="C693" s="8" t="inlineStr">
        <is>
          <t>Anticipo Ganancias Ley 25.413 débitos</t>
        </is>
      </c>
      <c r="D693" s="9" t="n">
        <v>2.08</v>
      </c>
      <c r="E693" s="8" t="inlineStr">
        <is>
          <t>ABIERTO_NUEVO</t>
        </is>
      </c>
      <c r="F693" s="8" t="inlineStr">
        <is>
          <t>Banco / impuesto / gasto</t>
        </is>
      </c>
      <c r="G693" s="8" t="inlineStr">
        <is>
          <t>Copiar en Flexxus: Tipo=MB-EXT | Movimiento=GRAVAMEN LEY 25.413 S/DEB | Monto=2,08 | Fecha: 20/04/2026</t>
        </is>
      </c>
    </row>
    <row r="694">
      <c r="A694" s="8" t="inlineStr">
        <is>
          <t>Administración/Banco</t>
        </is>
      </c>
      <c r="B694" s="8" t="inlineStr">
        <is>
          <t>Banco egreso no Flexxus</t>
        </is>
      </c>
      <c r="C694" s="8" t="inlineStr">
        <is>
          <t>Anticipo Ganancias Ley 25.413 débitos</t>
        </is>
      </c>
      <c r="D694" s="9" t="n">
        <v>4.32</v>
      </c>
      <c r="E694" s="8" t="inlineStr">
        <is>
          <t>ABIERTO_NUEVO</t>
        </is>
      </c>
      <c r="F694" s="8" t="inlineStr">
        <is>
          <t>Banco / impuesto / gasto</t>
        </is>
      </c>
      <c r="G694" s="8" t="inlineStr">
        <is>
          <t>Copiar en Flexxus: Tipo=MB-EXT | Movimiento=GRAVAMEN LEY 25.413 S/DEB | Monto=4,32 | Fecha: 20/04/2026</t>
        </is>
      </c>
    </row>
    <row r="695">
      <c r="A695" s="8" t="inlineStr">
        <is>
          <t>Administración/Banco</t>
        </is>
      </c>
      <c r="B695" s="8" t="inlineStr">
        <is>
          <t>Banco egreso no Flexxus</t>
        </is>
      </c>
      <c r="C695" s="8" t="inlineStr">
        <is>
          <t>Anticipo Ganancias Ley 25.413 débitos</t>
        </is>
      </c>
      <c r="D695" s="9" t="n">
        <v>1.81</v>
      </c>
      <c r="E695" s="8" t="inlineStr">
        <is>
          <t>ABIERTO_NUEVO</t>
        </is>
      </c>
      <c r="F695" s="8" t="inlineStr">
        <is>
          <t>Banco / impuesto / gasto</t>
        </is>
      </c>
      <c r="G695" s="8" t="inlineStr">
        <is>
          <t>Copiar en Flexxus: Tipo=MB-EXT | Movimiento=GRAVAMEN LEY 25.413 S/DEB | Monto=1,81 | Fecha: 20/04/2026</t>
        </is>
      </c>
    </row>
    <row r="696">
      <c r="A696" s="8" t="inlineStr">
        <is>
          <t>Administración/Banco</t>
        </is>
      </c>
      <c r="B696" s="8" t="inlineStr">
        <is>
          <t>Banco egreso no Flexxus</t>
        </is>
      </c>
      <c r="C696" s="8" t="inlineStr">
        <is>
          <t>Anticipo Ganancias Ley 25.413 débitos</t>
        </is>
      </c>
      <c r="D696" s="9" t="n">
        <v>1.56</v>
      </c>
      <c r="E696" s="8" t="inlineStr">
        <is>
          <t>ABIERTO_NUEVO</t>
        </is>
      </c>
      <c r="F696" s="8" t="inlineStr">
        <is>
          <t>Banco / impuesto / gasto</t>
        </is>
      </c>
      <c r="G696" s="8" t="inlineStr">
        <is>
          <t>Copiar en Flexxus: Tipo=MB-EXT | Movimiento=GRAVAMEN LEY 25.413 S/DEB | Monto=1,56 | Fecha: 20/04/2026</t>
        </is>
      </c>
    </row>
    <row r="697">
      <c r="A697" s="8" t="inlineStr">
        <is>
          <t>Administración/Banco</t>
        </is>
      </c>
      <c r="B697" s="8" t="inlineStr">
        <is>
          <t>Banco egreso no Flexxus</t>
        </is>
      </c>
      <c r="C697" s="8" t="inlineStr">
        <is>
          <t>Anticipo Ganancias Ley 25.413 débitos</t>
        </is>
      </c>
      <c r="D697" s="9" t="n">
        <v>3.89</v>
      </c>
      <c r="E697" s="8" t="inlineStr">
        <is>
          <t>ABIERTO_NUEVO</t>
        </is>
      </c>
      <c r="F697" s="8" t="inlineStr">
        <is>
          <t>Banco / impuesto / gasto</t>
        </is>
      </c>
      <c r="G697" s="8" t="inlineStr">
        <is>
          <t>Copiar en Flexxus: Tipo=MB-EXT | Movimiento=GRAVAMEN LEY 25.413 S/DEB | Monto=3,89 | Fecha: 20/04/2026</t>
        </is>
      </c>
    </row>
    <row r="698">
      <c r="A698" s="8" t="inlineStr">
        <is>
          <t>Administración/Banco</t>
        </is>
      </c>
      <c r="B698" s="8" t="inlineStr">
        <is>
          <t>Banco egreso no Flexxus</t>
        </is>
      </c>
      <c r="C698" s="8" t="inlineStr">
        <is>
          <t>Anticipo Ganancias Ley 25.413 débitos</t>
        </is>
      </c>
      <c r="D698" s="9" t="n">
        <v>0.87</v>
      </c>
      <c r="E698" s="8" t="inlineStr">
        <is>
          <t>ABIERTO_NUEVO</t>
        </is>
      </c>
      <c r="F698" s="8" t="inlineStr">
        <is>
          <t>Banco / impuesto / gasto</t>
        </is>
      </c>
      <c r="G698" s="8" t="inlineStr">
        <is>
          <t>Copiar en Flexxus: Tipo=MB-EXT | Movimiento=GRAVAMEN LEY 25.413 S/DEB | Monto=0,87 | Fecha: 20/04/2026</t>
        </is>
      </c>
    </row>
    <row r="699">
      <c r="A699" s="8" t="inlineStr">
        <is>
          <t>Administración/Banco</t>
        </is>
      </c>
      <c r="B699" s="8" t="inlineStr">
        <is>
          <t>Banco egreso no Flexxus</t>
        </is>
      </c>
      <c r="C699" s="8" t="inlineStr">
        <is>
          <t>Anticipo Ganancias Ley 25.413 débitos</t>
        </is>
      </c>
      <c r="D699" s="9" t="n">
        <v>2.1</v>
      </c>
      <c r="E699" s="8" t="inlineStr">
        <is>
          <t>ABIERTO_NUEVO</t>
        </is>
      </c>
      <c r="F699" s="8" t="inlineStr">
        <is>
          <t>Banco / impuesto / gasto</t>
        </is>
      </c>
      <c r="G699" s="8" t="inlineStr">
        <is>
          <t>Copiar en Flexxus: Tipo=MB-EXT | Movimiento=GRAVAMEN LEY 25.413 S/DEB | Monto=2,10 | Fecha: 20/04/2026</t>
        </is>
      </c>
    </row>
    <row r="700">
      <c r="A700" s="8" t="inlineStr">
        <is>
          <t>Administración/Banco</t>
        </is>
      </c>
      <c r="B700" s="8" t="inlineStr">
        <is>
          <t>Banco egreso no Flexxus</t>
        </is>
      </c>
      <c r="C700" s="8" t="inlineStr">
        <is>
          <t>Anticipo Ganancias Ley 25.413 débitos</t>
        </is>
      </c>
      <c r="D700" s="9" t="n">
        <v>0.68</v>
      </c>
      <c r="E700" s="8" t="inlineStr">
        <is>
          <t>ABIERTO_NUEVO</t>
        </is>
      </c>
      <c r="F700" s="8" t="inlineStr">
        <is>
          <t>Banco / impuesto / gasto</t>
        </is>
      </c>
      <c r="G700" s="8" t="inlineStr">
        <is>
          <t>Copiar en Flexxus: Tipo=MB-EXT | Movimiento=GRAVAMEN LEY 25.413 S/DEB | Monto=0,68 | Fecha: 20/04/2026</t>
        </is>
      </c>
    </row>
    <row r="701">
      <c r="A701" s="8" t="inlineStr">
        <is>
          <t>Administración/Banco</t>
        </is>
      </c>
      <c r="B701" s="8" t="inlineStr">
        <is>
          <t>Banco egreso no Flexxus</t>
        </is>
      </c>
      <c r="C701" s="8" t="inlineStr">
        <is>
          <t>Anticipo Ganancias Ley 25.413 débitos</t>
        </is>
      </c>
      <c r="D701" s="9" t="n">
        <v>0.8</v>
      </c>
      <c r="E701" s="8" t="inlineStr">
        <is>
          <t>ABIERTO_NUEVO</t>
        </is>
      </c>
      <c r="F701" s="8" t="inlineStr">
        <is>
          <t>Banco / impuesto / gasto</t>
        </is>
      </c>
      <c r="G701" s="8" t="inlineStr">
        <is>
          <t>Copiar en Flexxus: Tipo=MB-EXT | Movimiento=GRAVAMEN LEY 25.413 S/DEB | Monto=0,80 | Fecha: 20/04/2026</t>
        </is>
      </c>
    </row>
    <row r="702">
      <c r="A702" s="8" t="inlineStr">
        <is>
          <t>Administración/Banco</t>
        </is>
      </c>
      <c r="B702" s="8" t="inlineStr">
        <is>
          <t>Banco egreso no Flexxus</t>
        </is>
      </c>
      <c r="C702" s="8" t="inlineStr">
        <is>
          <t>Anticipo Ganancias Ley 25.413 débitos</t>
        </is>
      </c>
      <c r="D702" s="9" t="n">
        <v>2.17</v>
      </c>
      <c r="E702" s="8" t="inlineStr">
        <is>
          <t>ABIERTO_NUEVO</t>
        </is>
      </c>
      <c r="F702" s="8" t="inlineStr">
        <is>
          <t>Banco / impuesto / gasto</t>
        </is>
      </c>
      <c r="G702" s="8" t="inlineStr">
        <is>
          <t>Copiar en Flexxus: Tipo=MB-EXT | Movimiento=GRAVAMEN LEY 25.413 S/DEB | Monto=2,17 | Fecha: 20/04/2026</t>
        </is>
      </c>
    </row>
    <row r="703">
      <c r="A703" s="8" t="inlineStr">
        <is>
          <t>Administración/Banco</t>
        </is>
      </c>
      <c r="B703" s="8" t="inlineStr">
        <is>
          <t>Banco egreso no Flexxus</t>
        </is>
      </c>
      <c r="C703" s="8" t="inlineStr">
        <is>
          <t>Anticipo Ganancias Ley 25.413 débitos</t>
        </is>
      </c>
      <c r="D703" s="9" t="n">
        <v>2.51</v>
      </c>
      <c r="E703" s="8" t="inlineStr">
        <is>
          <t>ABIERTO_NUEVO</t>
        </is>
      </c>
      <c r="F703" s="8" t="inlineStr">
        <is>
          <t>Banco / impuesto / gasto</t>
        </is>
      </c>
      <c r="G703" s="8" t="inlineStr">
        <is>
          <t>Copiar en Flexxus: Tipo=MB-EXT | Movimiento=GRAVAMEN LEY 25.413 S/DEB | Monto=2,51 | Fecha: 20/04/2026</t>
        </is>
      </c>
    </row>
    <row r="704">
      <c r="A704" s="8" t="inlineStr">
        <is>
          <t>Administración/Banco</t>
        </is>
      </c>
      <c r="B704" s="8" t="inlineStr">
        <is>
          <t>Banco egreso no Flexxus</t>
        </is>
      </c>
      <c r="C704" s="8" t="inlineStr">
        <is>
          <t>Anticipo Ganancias Ley 25.413 débitos</t>
        </is>
      </c>
      <c r="D704" s="9" t="n">
        <v>1.93</v>
      </c>
      <c r="E704" s="8" t="inlineStr">
        <is>
          <t>ABIERTO_NUEVO</t>
        </is>
      </c>
      <c r="F704" s="8" t="inlineStr">
        <is>
          <t>Banco / impuesto / gasto</t>
        </is>
      </c>
      <c r="G704" s="8" t="inlineStr">
        <is>
          <t>Copiar en Flexxus: Tipo=MB-EXT | Movimiento=GRAVAMEN LEY 25.413 S/DEB | Monto=1,93 | Fecha: 20/04/2026</t>
        </is>
      </c>
    </row>
    <row r="705">
      <c r="A705" s="8" t="inlineStr">
        <is>
          <t>Administración/Banco</t>
        </is>
      </c>
      <c r="B705" s="8" t="inlineStr">
        <is>
          <t>Banco egreso no Flexxus</t>
        </is>
      </c>
      <c r="C705" s="8" t="inlineStr">
        <is>
          <t>Anticipo Ganancias Ley 25.413 débitos</t>
        </is>
      </c>
      <c r="D705" s="9" t="n">
        <v>0.36</v>
      </c>
      <c r="E705" s="8" t="inlineStr">
        <is>
          <t>ABIERTO_NUEVO</t>
        </is>
      </c>
      <c r="F705" s="8" t="inlineStr">
        <is>
          <t>Banco / impuesto / gasto</t>
        </is>
      </c>
      <c r="G705" s="8" t="inlineStr">
        <is>
          <t>Copiar en Flexxus: Tipo=MB-EXT | Movimiento=GRAVAMEN LEY 25.413 S/DEB | Monto=0,36 | Fecha: 20/04/2026</t>
        </is>
      </c>
    </row>
    <row r="706">
      <c r="A706" s="8" t="inlineStr">
        <is>
          <t>Administración/Banco</t>
        </is>
      </c>
      <c r="B706" s="8" t="inlineStr">
        <is>
          <t>Banco egreso no Flexxus</t>
        </is>
      </c>
      <c r="C706" s="8" t="inlineStr">
        <is>
          <t>Anticipo Ganancias Ley 25.413 débitos</t>
        </is>
      </c>
      <c r="D706" s="9" t="n">
        <v>1.04</v>
      </c>
      <c r="E706" s="8" t="inlineStr">
        <is>
          <t>ABIERTO_NUEVO</t>
        </is>
      </c>
      <c r="F706" s="8" t="inlineStr">
        <is>
          <t>Banco / impuesto / gasto</t>
        </is>
      </c>
      <c r="G706" s="8" t="inlineStr">
        <is>
          <t>Copiar en Flexxus: Tipo=MB-EXT | Movimiento=GRAVAMEN LEY 25.413 S/DEB | Monto=1,04 | Fecha: 20/04/2026</t>
        </is>
      </c>
    </row>
    <row r="707">
      <c r="A707" s="8" t="inlineStr">
        <is>
          <t>Administración/Banco</t>
        </is>
      </c>
      <c r="B707" s="8" t="inlineStr">
        <is>
          <t>Banco egreso no Flexxus</t>
        </is>
      </c>
      <c r="C707" s="8" t="inlineStr">
        <is>
          <t>Anticipo Ganancias Ley 25.413 débitos</t>
        </is>
      </c>
      <c r="D707" s="9" t="n">
        <v>0.68</v>
      </c>
      <c r="E707" s="8" t="inlineStr">
        <is>
          <t>ABIERTO_NUEVO</t>
        </is>
      </c>
      <c r="F707" s="8" t="inlineStr">
        <is>
          <t>Banco / impuesto / gasto</t>
        </is>
      </c>
      <c r="G707" s="8" t="inlineStr">
        <is>
          <t>Copiar en Flexxus: Tipo=MB-EXT | Movimiento=GRAVAMEN LEY 25.413 S/DEB | Monto=0,68 | Fecha: 20/04/2026</t>
        </is>
      </c>
    </row>
    <row r="708">
      <c r="A708" s="8" t="inlineStr">
        <is>
          <t>Administración/Banco</t>
        </is>
      </c>
      <c r="B708" s="8" t="inlineStr">
        <is>
          <t>Banco egreso no Flexxus</t>
        </is>
      </c>
      <c r="C708" s="8" t="inlineStr">
        <is>
          <t>Anticipo Ganancias Ley 25.413 débitos</t>
        </is>
      </c>
      <c r="D708" s="9" t="n">
        <v>0.73</v>
      </c>
      <c r="E708" s="8" t="inlineStr">
        <is>
          <t>ABIERTO_NUEVO</t>
        </is>
      </c>
      <c r="F708" s="8" t="inlineStr">
        <is>
          <t>Banco / impuesto / gasto</t>
        </is>
      </c>
      <c r="G708" s="8" t="inlineStr">
        <is>
          <t>Copiar en Flexxus: Tipo=MB-EXT | Movimiento=GRAVAMEN LEY 25.413 S/DEB | Monto=0,73 | Fecha: 20/04/2026</t>
        </is>
      </c>
    </row>
    <row r="709">
      <c r="A709" s="8" t="inlineStr">
        <is>
          <t>Administración/Banco</t>
        </is>
      </c>
      <c r="B709" s="8" t="inlineStr">
        <is>
          <t>Banco egreso no Flexxus</t>
        </is>
      </c>
      <c r="C709" s="8" t="inlineStr">
        <is>
          <t>Anticipo Ganancias Ley 25.413 débitos</t>
        </is>
      </c>
      <c r="D709" s="9" t="n">
        <v>0.8</v>
      </c>
      <c r="E709" s="8" t="inlineStr">
        <is>
          <t>ABIERTO_NUEVO</t>
        </is>
      </c>
      <c r="F709" s="8" t="inlineStr">
        <is>
          <t>Banco / impuesto / gasto</t>
        </is>
      </c>
      <c r="G709" s="8" t="inlineStr">
        <is>
          <t>Copiar en Flexxus: Tipo=MB-EXT | Movimiento=GRAVAMEN LEY 25.413 S/DEB | Monto=0,80 | Fecha: 20/04/2026</t>
        </is>
      </c>
    </row>
    <row r="710">
      <c r="A710" s="8" t="inlineStr">
        <is>
          <t>Administración/Banco</t>
        </is>
      </c>
      <c r="B710" s="8" t="inlineStr">
        <is>
          <t>Banco egreso no Flexxus</t>
        </is>
      </c>
      <c r="C710" s="8" t="inlineStr">
        <is>
          <t>Anticipo Ganancias Ley 25.413 débitos</t>
        </is>
      </c>
      <c r="D710" s="9" t="n">
        <v>0.71</v>
      </c>
      <c r="E710" s="8" t="inlineStr">
        <is>
          <t>ABIERTO_NUEVO</t>
        </is>
      </c>
      <c r="F710" s="8" t="inlineStr">
        <is>
          <t>Banco / impuesto / gasto</t>
        </is>
      </c>
      <c r="G710" s="8" t="inlineStr">
        <is>
          <t>Copiar en Flexxus: Tipo=MB-EXT | Movimiento=GRAVAMEN LEY 25.413 S/DEB | Monto=0,71 | Fecha: 20/04/2026</t>
        </is>
      </c>
    </row>
    <row r="711">
      <c r="A711" s="8" t="inlineStr">
        <is>
          <t>Administración/Banco</t>
        </is>
      </c>
      <c r="B711" s="8" t="inlineStr">
        <is>
          <t>Banco egreso no Flexxus</t>
        </is>
      </c>
      <c r="C711" s="8" t="inlineStr">
        <is>
          <t>Anticipo Ganancias Ley 25.413 débitos</t>
        </is>
      </c>
      <c r="D711" s="9" t="n">
        <v>3.27</v>
      </c>
      <c r="E711" s="8" t="inlineStr">
        <is>
          <t>ABIERTO_NUEVO</t>
        </is>
      </c>
      <c r="F711" s="8" t="inlineStr">
        <is>
          <t>Banco / impuesto / gasto</t>
        </is>
      </c>
      <c r="G711" s="8" t="inlineStr">
        <is>
          <t>Copiar en Flexxus: Tipo=MB-EXT | Movimiento=GRAVAMEN LEY 25.413 S/DEB | Monto=3,27 | Fecha: 20/04/2026</t>
        </is>
      </c>
    </row>
    <row r="712">
      <c r="A712" s="8" t="inlineStr">
        <is>
          <t>Administración/Banco</t>
        </is>
      </c>
      <c r="B712" s="8" t="inlineStr">
        <is>
          <t>Banco egreso no Flexxus</t>
        </is>
      </c>
      <c r="C712" s="8" t="inlineStr">
        <is>
          <t>Anticipo Ganancias Ley 25.413 débitos</t>
        </is>
      </c>
      <c r="D712" s="9" t="n">
        <v>0.51</v>
      </c>
      <c r="E712" s="8" t="inlineStr">
        <is>
          <t>ABIERTO_NUEVO</t>
        </is>
      </c>
      <c r="F712" s="8" t="inlineStr">
        <is>
          <t>Banco / impuesto / gasto</t>
        </is>
      </c>
      <c r="G712" s="8" t="inlineStr">
        <is>
          <t>Copiar en Flexxus: Tipo=MB-EXT | Movimiento=GRAVAMEN LEY 25.413 S/DEB | Monto=0,51 | Fecha: 20/04/2026</t>
        </is>
      </c>
    </row>
    <row r="713">
      <c r="A713" s="8" t="inlineStr">
        <is>
          <t>Administración/Banco</t>
        </is>
      </c>
      <c r="B713" s="8" t="inlineStr">
        <is>
          <t>Banco egreso no Flexxus</t>
        </is>
      </c>
      <c r="C713" s="8" t="inlineStr">
        <is>
          <t>Anticipo Ganancias Ley 25.413 débitos</t>
        </is>
      </c>
      <c r="D713" s="9" t="n">
        <v>4.05</v>
      </c>
      <c r="E713" s="8" t="inlineStr">
        <is>
          <t>ABIERTO_NUEVO</t>
        </is>
      </c>
      <c r="F713" s="8" t="inlineStr">
        <is>
          <t>Banco / impuesto / gasto</t>
        </is>
      </c>
      <c r="G713" s="8" t="inlineStr">
        <is>
          <t>Copiar en Flexxus: Tipo=MB-EXT | Movimiento=GRAVAMEN LEY 25.413 S/DEB | Monto=4,05 | Fecha: 20/04/2026</t>
        </is>
      </c>
    </row>
    <row r="714">
      <c r="A714" s="8" t="inlineStr">
        <is>
          <t>Administración/Banco</t>
        </is>
      </c>
      <c r="B714" s="8" t="inlineStr">
        <is>
          <t>Banco egreso no Flexxus</t>
        </is>
      </c>
      <c r="C714" s="8" t="inlineStr">
        <is>
          <t>Anticipo Ganancias Ley 25.413 débitos</t>
        </is>
      </c>
      <c r="D714" s="9" t="n">
        <v>5.51</v>
      </c>
      <c r="E714" s="8" t="inlineStr">
        <is>
          <t>ABIERTO_NUEVO</t>
        </is>
      </c>
      <c r="F714" s="8" t="inlineStr">
        <is>
          <t>Banco / impuesto / gasto</t>
        </is>
      </c>
      <c r="G714" s="8" t="inlineStr">
        <is>
          <t>Copiar en Flexxus: Tipo=MB-EXT | Movimiento=GRAVAMEN LEY 25.413 S/DEB | Monto=5,51 | Fecha: 20/04/2026</t>
        </is>
      </c>
    </row>
    <row r="715">
      <c r="A715" s="8" t="inlineStr">
        <is>
          <t>Administración/Banco</t>
        </is>
      </c>
      <c r="B715" s="8" t="inlineStr">
        <is>
          <t>Banco egreso no Flexxus</t>
        </is>
      </c>
      <c r="C715" s="8" t="inlineStr">
        <is>
          <t>Anticipo Ganancias Ley 25.413 débitos</t>
        </is>
      </c>
      <c r="D715" s="9" t="n">
        <v>2.08</v>
      </c>
      <c r="E715" s="8" t="inlineStr">
        <is>
          <t>ABIERTO_NUEVO</t>
        </is>
      </c>
      <c r="F715" s="8" t="inlineStr">
        <is>
          <t>Banco / impuesto / gasto</t>
        </is>
      </c>
      <c r="G715" s="8" t="inlineStr">
        <is>
          <t>Copiar en Flexxus: Tipo=MB-EXT | Movimiento=GRAVAMEN LEY 25.413 S/DEB | Monto=2,08 | Fecha: 20/04/2026</t>
        </is>
      </c>
    </row>
    <row r="716">
      <c r="A716" s="8" t="inlineStr">
        <is>
          <t>Administración/Banco</t>
        </is>
      </c>
      <c r="B716" s="8" t="inlineStr">
        <is>
          <t>Banco egreso no Flexxus</t>
        </is>
      </c>
      <c r="C716" s="8" t="inlineStr">
        <is>
          <t>Anticipo Ganancias Ley 25.413 débitos</t>
        </is>
      </c>
      <c r="D716" s="9" t="n">
        <v>4.4</v>
      </c>
      <c r="E716" s="8" t="inlineStr">
        <is>
          <t>ABIERTO_NUEVO</t>
        </is>
      </c>
      <c r="F716" s="8" t="inlineStr">
        <is>
          <t>Banco / impuesto / gasto</t>
        </is>
      </c>
      <c r="G716" s="8" t="inlineStr">
        <is>
          <t>Copiar en Flexxus: Tipo=MB-EXT | Movimiento=GRAVAMEN LEY 25.413 S/DEB | Monto=4,40 | Fecha: 20/04/2026</t>
        </is>
      </c>
    </row>
    <row r="717">
      <c r="A717" s="8" t="inlineStr">
        <is>
          <t>Administración/Banco</t>
        </is>
      </c>
      <c r="B717" s="8" t="inlineStr">
        <is>
          <t>Banco egreso no Flexxus</t>
        </is>
      </c>
      <c r="C717" s="8" t="inlineStr">
        <is>
          <t>Anticipo Ganancias Ley 25.413 débitos</t>
        </is>
      </c>
      <c r="D717" s="9" t="n">
        <v>3.5</v>
      </c>
      <c r="E717" s="8" t="inlineStr">
        <is>
          <t>ABIERTO_NUEVO</t>
        </is>
      </c>
      <c r="F717" s="8" t="inlineStr">
        <is>
          <t>Banco / impuesto / gasto</t>
        </is>
      </c>
      <c r="G717" s="8" t="inlineStr">
        <is>
          <t>Copiar en Flexxus: Tipo=MB-EXT | Movimiento=GRAVAMEN LEY 25.413 S/DEB | Monto=3,50 | Fecha: 20/04/2026</t>
        </is>
      </c>
    </row>
    <row r="718">
      <c r="A718" s="8" t="inlineStr">
        <is>
          <t>Administración/Banco</t>
        </is>
      </c>
      <c r="B718" s="8" t="inlineStr">
        <is>
          <t>Banco egreso no Flexxus</t>
        </is>
      </c>
      <c r="C718" s="8" t="inlineStr">
        <is>
          <t>Anticipo Ganancias Ley 25.413 débitos</t>
        </is>
      </c>
      <c r="D718" s="9" t="n">
        <v>4</v>
      </c>
      <c r="E718" s="8" t="inlineStr">
        <is>
          <t>ABIERTO_NUEVO</t>
        </is>
      </c>
      <c r="F718" s="8" t="inlineStr">
        <is>
          <t>Banco / impuesto / gasto</t>
        </is>
      </c>
      <c r="G718" s="8" t="inlineStr">
        <is>
          <t>Copiar en Flexxus: Tipo=MB-EXT | Movimiento=GRAVAMEN LEY 25.413 S/DEB | Monto=4,00 | Fecha: 20/04/2026</t>
        </is>
      </c>
    </row>
    <row r="719">
      <c r="A719" s="8" t="inlineStr">
        <is>
          <t>Administración/Banco</t>
        </is>
      </c>
      <c r="B719" s="8" t="inlineStr">
        <is>
          <t>Banco egreso no Flexxus</t>
        </is>
      </c>
      <c r="C719" s="8" t="inlineStr">
        <is>
          <t>Anticipo Ganancias Ley 25.413 débitos</t>
        </is>
      </c>
      <c r="D719" s="9" t="n">
        <v>1.2</v>
      </c>
      <c r="E719" s="8" t="inlineStr">
        <is>
          <t>ABIERTO_NUEVO</t>
        </is>
      </c>
      <c r="F719" s="8" t="inlineStr">
        <is>
          <t>Banco / impuesto / gasto</t>
        </is>
      </c>
      <c r="G719" s="8" t="inlineStr">
        <is>
          <t>Copiar en Flexxus: Tipo=MB-EXT | Movimiento=GRAVAMEN LEY 25.413 S/DEB | Monto=1,20 | Fecha: 20/04/2026</t>
        </is>
      </c>
    </row>
    <row r="720">
      <c r="A720" s="8" t="inlineStr">
        <is>
          <t>Administración/Banco</t>
        </is>
      </c>
      <c r="B720" s="8" t="inlineStr">
        <is>
          <t>Banco egreso no Flexxus</t>
        </is>
      </c>
      <c r="C720" s="8" t="inlineStr">
        <is>
          <t>Anticipo Ganancias Ley 25.413 débitos</t>
        </is>
      </c>
      <c r="D720" s="9" t="n">
        <v>5.74</v>
      </c>
      <c r="E720" s="8" t="inlineStr">
        <is>
          <t>ABIERTO_NUEVO</t>
        </is>
      </c>
      <c r="F720" s="8" t="inlineStr">
        <is>
          <t>Banco / impuesto / gasto</t>
        </is>
      </c>
      <c r="G720" s="8" t="inlineStr">
        <is>
          <t>Copiar en Flexxus: Tipo=MB-EXT | Movimiento=GRAVAMEN LEY 25.413 S/DEB | Monto=5,74 | Fecha: 20/04/2026</t>
        </is>
      </c>
    </row>
    <row r="721">
      <c r="A721" s="8" t="inlineStr">
        <is>
          <t>Administración/Banco</t>
        </is>
      </c>
      <c r="B721" s="8" t="inlineStr">
        <is>
          <t>Banco egreso no Flexxus</t>
        </is>
      </c>
      <c r="C721" s="8" t="inlineStr">
        <is>
          <t>Anticipo Ganancias Ley 25.413 débitos</t>
        </is>
      </c>
      <c r="D721" s="9" t="n">
        <v>12000</v>
      </c>
      <c r="E721" s="8" t="inlineStr">
        <is>
          <t>ABIERTO_NUEVO</t>
        </is>
      </c>
      <c r="F721" s="8" t="inlineStr">
        <is>
          <t>Banco / impuesto / gasto</t>
        </is>
      </c>
      <c r="G721" s="8" t="inlineStr">
        <is>
          <t>Copiar en Flexxus: Tipo=MB-EXT | Movimiento=GRAVAMEN LEY 25.413 S/DEB | Monto=12.000,00 | Fecha: 20/04/2026</t>
        </is>
      </c>
    </row>
    <row r="722">
      <c r="A722" s="8" t="inlineStr">
        <is>
          <t>Administración/Banco</t>
        </is>
      </c>
      <c r="B722" s="8" t="inlineStr">
        <is>
          <t>Banco egreso no Flexxus</t>
        </is>
      </c>
      <c r="C722" s="8" t="inlineStr">
        <is>
          <t>Anticipo Ganancias Ley 25.413 débitos</t>
        </is>
      </c>
      <c r="D722" s="9" t="n">
        <v>12000</v>
      </c>
      <c r="E722" s="8" t="inlineStr">
        <is>
          <t>ABIERTO_NUEVO</t>
        </is>
      </c>
      <c r="F722" s="8" t="inlineStr">
        <is>
          <t>Banco / impuesto / gasto</t>
        </is>
      </c>
      <c r="G722" s="8" t="inlineStr">
        <is>
          <t>Copiar en Flexxus: Tipo=MB-EXT | Movimiento=GRAVAMEN LEY 25.413 S/DEB | Monto=12.000,00 | Fecha: 20/04/2026</t>
        </is>
      </c>
    </row>
    <row r="723">
      <c r="A723" s="8" t="inlineStr">
        <is>
          <t>Administración/Banco</t>
        </is>
      </c>
      <c r="B723" s="8" t="inlineStr">
        <is>
          <t>Banco egreso no Flexxus</t>
        </is>
      </c>
      <c r="C723" s="8" t="inlineStr">
        <is>
          <t>Anticipo Ganancias Ley 25.413 débitos</t>
        </is>
      </c>
      <c r="D723" s="9" t="n">
        <v>54000</v>
      </c>
      <c r="E723" s="8" t="inlineStr">
        <is>
          <t>ABIERTO_NUEVO</t>
        </is>
      </c>
      <c r="F723" s="8" t="inlineStr">
        <is>
          <t>Banco / impuesto / gasto</t>
        </is>
      </c>
      <c r="G723" s="8" t="inlineStr">
        <is>
          <t>Copiar en Flexxus: Tipo=MB-EXT | Movimiento=GRAVAMEN LEY 25.413 S/DEB | Monto=54.000,00 | Fecha: 20/04/2026</t>
        </is>
      </c>
    </row>
    <row r="724">
      <c r="A724" s="8" t="inlineStr">
        <is>
          <t>Administración/Banco</t>
        </is>
      </c>
      <c r="B724" s="8" t="inlineStr">
        <is>
          <t>Banco egreso no Flexxus</t>
        </is>
      </c>
      <c r="C724" s="8" t="inlineStr">
        <is>
          <t>Débito liquidación tarjeta</t>
        </is>
      </c>
      <c r="D724" s="9" t="n">
        <v>79.8</v>
      </c>
      <c r="E724" s="8" t="inlineStr">
        <is>
          <t>ABIERTO_NUEVO</t>
        </is>
      </c>
      <c r="F724" s="8" t="inlineStr">
        <is>
          <t>Banco / impuesto / gasto</t>
        </is>
      </c>
      <c r="G724" s="8" t="inlineStr">
        <is>
          <t>Copiar en Flexxus: Tipo=MB-EXT | Movimiento=DEB LIQ MASTERCARD 24H | Monto=79,80 | Fecha: 24/04/2026</t>
        </is>
      </c>
    </row>
    <row r="725">
      <c r="A725" s="8" t="inlineStr">
        <is>
          <t>Administración/Banco</t>
        </is>
      </c>
      <c r="B725" s="8" t="inlineStr">
        <is>
          <t>Banco egreso no Flexxus</t>
        </is>
      </c>
      <c r="C725" s="8" t="inlineStr">
        <is>
          <t>Débito liquidación tarjeta</t>
        </is>
      </c>
      <c r="D725" s="9" t="n">
        <v>22.75</v>
      </c>
      <c r="E725" s="8" t="inlineStr">
        <is>
          <t>ABIERTO_NUEVO</t>
        </is>
      </c>
      <c r="F725" s="8" t="inlineStr">
        <is>
          <t>Banco / impuesto / gasto</t>
        </is>
      </c>
      <c r="G725" s="8" t="inlineStr">
        <is>
          <t>Copiar en Flexxus: Tipo=MB-EXT | Movimiento=DEB LIQ MASTERCARD 24H | Monto=22,75 | Fecha: 23/04/2026</t>
        </is>
      </c>
    </row>
    <row r="726">
      <c r="A726" s="8" t="inlineStr">
        <is>
          <t>Administración/Banco</t>
        </is>
      </c>
      <c r="B726" s="8" t="inlineStr">
        <is>
          <t>Banco egreso no Flexxus</t>
        </is>
      </c>
      <c r="C726" s="8" t="inlineStr">
        <is>
          <t>Débito liquidación tarjeta</t>
        </is>
      </c>
      <c r="D726" s="9" t="n">
        <v>29.06</v>
      </c>
      <c r="E726" s="8" t="inlineStr">
        <is>
          <t>ABIERTO_NUEVO</t>
        </is>
      </c>
      <c r="F726" s="8" t="inlineStr">
        <is>
          <t>Banco / impuesto / gasto</t>
        </is>
      </c>
      <c r="G726" s="8" t="inlineStr">
        <is>
          <t>Copiar en Flexxus: Tipo=MB-EXT | Movimiento=DEB LIQ MASTERCARD 24H | Monto=29,06 | Fecha: 23/04/2026</t>
        </is>
      </c>
    </row>
    <row r="727">
      <c r="A727" s="8" t="inlineStr">
        <is>
          <t>Administración/Banco</t>
        </is>
      </c>
      <c r="B727" s="8" t="inlineStr">
        <is>
          <t>Banco egreso no Flexxus</t>
        </is>
      </c>
      <c r="C727" s="8" t="inlineStr">
        <is>
          <t>Débito liquidación tarjeta</t>
        </is>
      </c>
      <c r="D727" s="9" t="n">
        <v>676.01</v>
      </c>
      <c r="E727" s="8" t="inlineStr">
        <is>
          <t>ABIERTO_NUEVO</t>
        </is>
      </c>
      <c r="F727" s="8" t="inlineStr">
        <is>
          <t>Banco / impuesto / gasto</t>
        </is>
      </c>
      <c r="G727" s="8" t="inlineStr">
        <is>
          <t>Copiar en Flexxus: Tipo=MB-EXT | Movimiento=DEB LIQ MASTERCARD 24H | Monto=676,01 | Fecha: 22/04/2026</t>
        </is>
      </c>
    </row>
    <row r="728">
      <c r="A728" s="8" t="inlineStr">
        <is>
          <t>Administración/Banco</t>
        </is>
      </c>
      <c r="B728" s="8" t="inlineStr">
        <is>
          <t>Banco egreso no Flexxus</t>
        </is>
      </c>
      <c r="C728" s="8" t="inlineStr">
        <is>
          <t>Débito liquidación tarjeta</t>
        </is>
      </c>
      <c r="D728" s="9" t="n">
        <v>229.06</v>
      </c>
      <c r="E728" s="8" t="inlineStr">
        <is>
          <t>ABIERTO_NUEVO</t>
        </is>
      </c>
      <c r="F728" s="8" t="inlineStr">
        <is>
          <t>Banco / impuesto / gasto</t>
        </is>
      </c>
      <c r="G728" s="8" t="inlineStr">
        <is>
          <t>Copiar en Flexxus: Tipo=MB-EXT | Movimiento=DEB LIQ MASTERCARD 24H | Monto=229,06 | Fecha: 22/04/2026</t>
        </is>
      </c>
    </row>
    <row r="729">
      <c r="A729" s="8" t="inlineStr">
        <is>
          <t>Administración/Banco</t>
        </is>
      </c>
      <c r="B729" s="8" t="inlineStr">
        <is>
          <t>Banco egreso no Flexxus</t>
        </is>
      </c>
      <c r="C729" s="8" t="inlineStr">
        <is>
          <t>Débito liquidación tarjeta</t>
        </is>
      </c>
      <c r="D729" s="9" t="n">
        <v>168.2</v>
      </c>
      <c r="E729" s="8" t="inlineStr">
        <is>
          <t>ABIERTO_NUEVO</t>
        </is>
      </c>
      <c r="F729" s="8" t="inlineStr">
        <is>
          <t>Banco / impuesto / gasto</t>
        </is>
      </c>
      <c r="G729" s="8" t="inlineStr">
        <is>
          <t>Copiar en Flexxus: Tipo=MB-EXT | Movimiento=DEB LIQ MASTERCARD 24H | Monto=168,20 | Fecha: 22/04/2026</t>
        </is>
      </c>
    </row>
    <row r="730">
      <c r="A730" s="8" t="inlineStr">
        <is>
          <t>Administración/Banco</t>
        </is>
      </c>
      <c r="B730" s="8" t="inlineStr">
        <is>
          <t>Banco egreso no Flexxus</t>
        </is>
      </c>
      <c r="C730" s="8" t="inlineStr">
        <is>
          <t>Débito liquidación tarjeta</t>
        </is>
      </c>
      <c r="D730" s="9" t="n">
        <v>107.94</v>
      </c>
      <c r="E730" s="8" t="inlineStr">
        <is>
          <t>ABIERTO_NUEVO</t>
        </is>
      </c>
      <c r="F730" s="8" t="inlineStr">
        <is>
          <t>Banco / impuesto / gasto</t>
        </is>
      </c>
      <c r="G730" s="8" t="inlineStr">
        <is>
          <t>Copiar en Flexxus: Tipo=MB-EXT | Movimiento=DEB LIQ MASTERCARD 24H | Monto=107,94 | Fecha: 21/04/2026</t>
        </is>
      </c>
    </row>
    <row r="731">
      <c r="A731" s="8" t="inlineStr">
        <is>
          <t>Administración/Banco</t>
        </is>
      </c>
      <c r="B731" s="8" t="inlineStr">
        <is>
          <t>Banco egreso no Flexxus</t>
        </is>
      </c>
      <c r="C731" s="8" t="inlineStr">
        <is>
          <t>Débito liquidación tarjeta</t>
        </is>
      </c>
      <c r="D731" s="9" t="n">
        <v>170.04</v>
      </c>
      <c r="E731" s="8" t="inlineStr">
        <is>
          <t>ABIERTO_NUEVO</t>
        </is>
      </c>
      <c r="F731" s="8" t="inlineStr">
        <is>
          <t>Banco / impuesto / gasto</t>
        </is>
      </c>
      <c r="G731" s="8" t="inlineStr">
        <is>
          <t>Copiar en Flexxus: Tipo=MB-EXT | Movimiento=DEB LIQ MASTERCARD 24H | Monto=170,04 | Fecha: 20/04/2026</t>
        </is>
      </c>
    </row>
    <row r="732">
      <c r="A732" s="8" t="inlineStr">
        <is>
          <t>Administración/Banco</t>
        </is>
      </c>
      <c r="B732" s="8" t="inlineStr">
        <is>
          <t>Banco egreso no Flexxus</t>
        </is>
      </c>
      <c r="C732" s="8" t="inlineStr">
        <is>
          <t>Débito liquidación tarjeta</t>
        </is>
      </c>
      <c r="D732" s="9" t="n">
        <v>25.27</v>
      </c>
      <c r="E732" s="8" t="inlineStr">
        <is>
          <t>ABIERTO_NUEVO</t>
        </is>
      </c>
      <c r="F732" s="8" t="inlineStr">
        <is>
          <t>Banco / impuesto / gasto</t>
        </is>
      </c>
      <c r="G732" s="8" t="inlineStr">
        <is>
          <t>Copiar en Flexxus: Tipo=MB-EXT | Movimiento=DEB LIQ MASTERCARD 24H | Monto=25,27 | Fecha: 20/04/2026</t>
        </is>
      </c>
    </row>
    <row r="733">
      <c r="A733" s="8" t="inlineStr">
        <is>
          <t>Administración/Banco</t>
        </is>
      </c>
      <c r="B733" s="8" t="inlineStr">
        <is>
          <t>Banco egreso no Flexxus</t>
        </is>
      </c>
      <c r="C733" s="8" t="inlineStr">
        <is>
          <t>Débito pago directo</t>
        </is>
      </c>
      <c r="D733" s="9" t="n">
        <v>1734593.38</v>
      </c>
      <c r="E733" s="8" t="inlineStr">
        <is>
          <t>ABIERTO_NUEVO</t>
        </is>
      </c>
      <c r="F733" s="8" t="inlineStr">
        <is>
          <t>Banco / impuesto / gasto</t>
        </is>
      </c>
      <c r="G733" s="8" t="inlineStr">
        <is>
          <t>Copiar en Flexxus: Tipo=MB-EXT | Movimiento=DEBITO PAGO DIRECTO | Monto=1.734.593,38 | Fecha: 24/04/2026</t>
        </is>
      </c>
    </row>
    <row r="734">
      <c r="A734" s="8" t="inlineStr">
        <is>
          <t>Administración/Banco</t>
        </is>
      </c>
      <c r="B734" s="8" t="inlineStr">
        <is>
          <t>Banco egreso no Flexxus</t>
        </is>
      </c>
      <c r="C734" s="8" t="inlineStr">
        <is>
          <t>Gasto bancario / comisión</t>
        </is>
      </c>
      <c r="D734" s="9" t="n">
        <v>956</v>
      </c>
      <c r="E734" s="8" t="inlineStr">
        <is>
          <t>ABIERTO_NUEVO</t>
        </is>
      </c>
      <c r="F734" s="8" t="inlineStr">
        <is>
          <t>Banco / impuesto / gasto</t>
        </is>
      </c>
      <c r="G734" s="8" t="inlineStr">
        <is>
          <t>Copiar en Flexxus: Tipo=MB-EXT | Movimiento=COM TRANSFE ELECTRONICA | Monto=956,00 | Fecha: 24/04/2026</t>
        </is>
      </c>
    </row>
    <row r="735">
      <c r="A735" s="8" t="inlineStr">
        <is>
          <t>Administración/Banco</t>
        </is>
      </c>
      <c r="B735" s="8" t="inlineStr">
        <is>
          <t>Banco egreso no Flexxus</t>
        </is>
      </c>
      <c r="C735" s="8" t="inlineStr">
        <is>
          <t>Gasto bancario / comisión</t>
        </is>
      </c>
      <c r="D735" s="9" t="n">
        <v>956</v>
      </c>
      <c r="E735" s="8" t="inlineStr">
        <is>
          <t>ABIERTO_NUEVO</t>
        </is>
      </c>
      <c r="F735" s="8" t="inlineStr">
        <is>
          <t>Banco / impuesto / gasto</t>
        </is>
      </c>
      <c r="G735" s="8" t="inlineStr">
        <is>
          <t>Copiar en Flexxus: Tipo=MB-EXT | Movimiento=COM TRANSFE ELECTRONICA | Monto=956,00 | Fecha: 23/04/2026</t>
        </is>
      </c>
    </row>
    <row r="736">
      <c r="A736" s="8" t="inlineStr">
        <is>
          <t>Administración/Banco</t>
        </is>
      </c>
      <c r="B736" s="8" t="inlineStr">
        <is>
          <t>Banco egreso no Flexxus</t>
        </is>
      </c>
      <c r="C736" s="8" t="inlineStr">
        <is>
          <t>Gasto bancario / comisión</t>
        </is>
      </c>
      <c r="D736" s="9" t="n">
        <v>956</v>
      </c>
      <c r="E736" s="8" t="inlineStr">
        <is>
          <t>ABIERTO_NUEVO</t>
        </is>
      </c>
      <c r="F736" s="8" t="inlineStr">
        <is>
          <t>Banco / impuesto / gasto</t>
        </is>
      </c>
      <c r="G736" s="8" t="inlineStr">
        <is>
          <t>Copiar en Flexxus: Tipo=MB-EXT | Movimiento=COM TRANSFE ELECTRONICA | Monto=956,00 | Fecha: 20/04/2026</t>
        </is>
      </c>
    </row>
    <row r="737">
      <c r="A737" s="8" t="inlineStr">
        <is>
          <t>Administración/Banco</t>
        </is>
      </c>
      <c r="B737" s="8" t="inlineStr">
        <is>
          <t>Banco egreso no Flexxus</t>
        </is>
      </c>
      <c r="C737" s="8" t="inlineStr">
        <is>
          <t>IVA base / IVA sobre gastos</t>
        </is>
      </c>
      <c r="D737" s="9" t="n">
        <v>200.76</v>
      </c>
      <c r="E737" s="8" t="inlineStr">
        <is>
          <t>ABIERTO_NUEVO</t>
        </is>
      </c>
      <c r="F737" s="8" t="inlineStr">
        <is>
          <t>Banco / impuesto / gasto</t>
        </is>
      </c>
      <c r="G737" s="8" t="inlineStr">
        <is>
          <t>Copiar en Flexxus: Tipo=MB-EXT | Movimiento=I.V.A. BASE | Monto=200,76 | Fecha: 24/04/2026</t>
        </is>
      </c>
    </row>
    <row r="738">
      <c r="A738" s="8" t="inlineStr">
        <is>
          <t>Administración/Banco</t>
        </is>
      </c>
      <c r="B738" s="8" t="inlineStr">
        <is>
          <t>Banco egreso no Flexxus</t>
        </is>
      </c>
      <c r="C738" s="8" t="inlineStr">
        <is>
          <t>IVA base / IVA sobre gastos</t>
        </is>
      </c>
      <c r="D738" s="9" t="n">
        <v>200.76</v>
      </c>
      <c r="E738" s="8" t="inlineStr">
        <is>
          <t>ABIERTO_NUEVO</t>
        </is>
      </c>
      <c r="F738" s="8" t="inlineStr">
        <is>
          <t>Banco / impuesto / gasto</t>
        </is>
      </c>
      <c r="G738" s="8" t="inlineStr">
        <is>
          <t>Copiar en Flexxus: Tipo=MB-EXT | Movimiento=I.V.A. BASE | Monto=200,76 | Fecha: 23/04/2026</t>
        </is>
      </c>
    </row>
    <row r="739">
      <c r="A739" s="8" t="inlineStr">
        <is>
          <t>Administración/Banco</t>
        </is>
      </c>
      <c r="B739" s="8" t="inlineStr">
        <is>
          <t>Banco egreso no Flexxus</t>
        </is>
      </c>
      <c r="C739" s="8" t="inlineStr">
        <is>
          <t>IVA base / IVA sobre gastos</t>
        </is>
      </c>
      <c r="D739" s="9" t="n">
        <v>200.76</v>
      </c>
      <c r="E739" s="8" t="inlineStr">
        <is>
          <t>ABIERTO_NUEVO</t>
        </is>
      </c>
      <c r="F739" s="8" t="inlineStr">
        <is>
          <t>Banco / impuesto / gasto</t>
        </is>
      </c>
      <c r="G739" s="8" t="inlineStr">
        <is>
          <t>Copiar en Flexxus: Tipo=MB-EXT | Movimiento=I.V.A. BASE | Monto=200,76 | Fecha: 20/04/2026</t>
        </is>
      </c>
    </row>
    <row r="740">
      <c r="A740" s="8" t="inlineStr">
        <is>
          <t>Administración/Banco</t>
        </is>
      </c>
      <c r="B740" s="8" t="inlineStr">
        <is>
          <t>Banco egreso no Flexxus</t>
        </is>
      </c>
      <c r="C740" s="8" t="inlineStr">
        <is>
          <t>Retención Ingresos Brutos Mendoza</t>
        </is>
      </c>
      <c r="D740" s="9" t="n">
        <v>716.99</v>
      </c>
      <c r="E740" s="8" t="inlineStr">
        <is>
          <t>ABIERTO_NUEVO</t>
        </is>
      </c>
      <c r="F740" s="8" t="inlineStr">
        <is>
          <t>Banco / impuesto / gasto</t>
        </is>
      </c>
      <c r="G740" s="8" t="inlineStr">
        <is>
          <t>Copiar en Flexxus: Tipo=MB-EXT | Movimiento=INGRESOS BRUTOS MENDOZA | Monto=716,99 | Fecha: 24/04/2026</t>
        </is>
      </c>
    </row>
    <row r="741">
      <c r="A741" s="8" t="inlineStr">
        <is>
          <t>Administración/Banco</t>
        </is>
      </c>
      <c r="B741" s="8" t="inlineStr">
        <is>
          <t>Banco egreso no Flexxus</t>
        </is>
      </c>
      <c r="C741" s="8" t="inlineStr">
        <is>
          <t>Retención Ingresos Brutos Mendoza</t>
        </is>
      </c>
      <c r="D741" s="9" t="n">
        <v>104.97</v>
      </c>
      <c r="E741" s="8" t="inlineStr">
        <is>
          <t>ABIERTO_NUEVO</t>
        </is>
      </c>
      <c r="F741" s="8" t="inlineStr">
        <is>
          <t>Banco / impuesto / gasto</t>
        </is>
      </c>
      <c r="G741" s="8" t="inlineStr">
        <is>
          <t>Copiar en Flexxus: Tipo=MB-EXT | Movimiento=INGRESOS BRUTOS MENDOZA | Monto=104,97 | Fecha: 24/04/2026</t>
        </is>
      </c>
    </row>
    <row r="742">
      <c r="A742" s="8" t="inlineStr">
        <is>
          <t>Administración/Banco</t>
        </is>
      </c>
      <c r="B742" s="8" t="inlineStr">
        <is>
          <t>Banco egreso no Flexxus</t>
        </is>
      </c>
      <c r="C742" s="8" t="inlineStr">
        <is>
          <t>Retención Ingresos Brutos Mendoza</t>
        </is>
      </c>
      <c r="D742" s="9" t="n">
        <v>675.4</v>
      </c>
      <c r="E742" s="8" t="inlineStr">
        <is>
          <t>ABIERTO_NUEVO</t>
        </is>
      </c>
      <c r="F742" s="8" t="inlineStr">
        <is>
          <t>Banco / impuesto / gasto</t>
        </is>
      </c>
      <c r="G742" s="8" t="inlineStr">
        <is>
          <t>Copiar en Flexxus: Tipo=MB-EXT | Movimiento=INGRESOS BRUTOS MENDOZA | Monto=675,40 | Fecha: 24/04/2026</t>
        </is>
      </c>
    </row>
    <row r="743">
      <c r="A743" s="8" t="inlineStr">
        <is>
          <t>Administración/Banco</t>
        </is>
      </c>
      <c r="B743" s="8" t="inlineStr">
        <is>
          <t>Banco egreso no Flexxus</t>
        </is>
      </c>
      <c r="C743" s="8" t="inlineStr">
        <is>
          <t>Retención Ingresos Brutos Mendoza</t>
        </is>
      </c>
      <c r="D743" s="9" t="n">
        <v>76.25</v>
      </c>
      <c r="E743" s="8" t="inlineStr">
        <is>
          <t>ABIERTO_NUEVO</t>
        </is>
      </c>
      <c r="F743" s="8" t="inlineStr">
        <is>
          <t>Banco / impuesto / gasto</t>
        </is>
      </c>
      <c r="G743" s="8" t="inlineStr">
        <is>
          <t>Copiar en Flexxus: Tipo=MB-EXT | Movimiento=INGRESOS BRUTOS MENDOZA | Monto=76,25 | Fecha: 24/04/2026</t>
        </is>
      </c>
    </row>
    <row r="744">
      <c r="A744" s="8" t="inlineStr">
        <is>
          <t>Administración/Banco</t>
        </is>
      </c>
      <c r="B744" s="8" t="inlineStr">
        <is>
          <t>Banco egreso no Flexxus</t>
        </is>
      </c>
      <c r="C744" s="8" t="inlineStr">
        <is>
          <t>Retención Ingresos Brutos Mendoza</t>
        </is>
      </c>
      <c r="D744" s="9" t="n">
        <v>44.56</v>
      </c>
      <c r="E744" s="8" t="inlineStr">
        <is>
          <t>ABIERTO_NUEVO</t>
        </is>
      </c>
      <c r="F744" s="8" t="inlineStr">
        <is>
          <t>Banco / impuesto / gasto</t>
        </is>
      </c>
      <c r="G744" s="8" t="inlineStr">
        <is>
          <t>Copiar en Flexxus: Tipo=MB-EXT | Movimiento=INGRESOS BRUTOS MENDOZA | Monto=44,56 | Fecha: 24/04/2026</t>
        </is>
      </c>
    </row>
    <row r="745">
      <c r="A745" s="8" t="inlineStr">
        <is>
          <t>Administración/Banco</t>
        </is>
      </c>
      <c r="B745" s="8" t="inlineStr">
        <is>
          <t>Banco egreso no Flexxus</t>
        </is>
      </c>
      <c r="C745" s="8" t="inlineStr">
        <is>
          <t>Retención Ingresos Brutos Mendoza</t>
        </is>
      </c>
      <c r="D745" s="9" t="n">
        <v>77.25</v>
      </c>
      <c r="E745" s="8" t="inlineStr">
        <is>
          <t>ABIERTO_NUEVO</t>
        </is>
      </c>
      <c r="F745" s="8" t="inlineStr">
        <is>
          <t>Banco / impuesto / gasto</t>
        </is>
      </c>
      <c r="G745" s="8" t="inlineStr">
        <is>
          <t>Copiar en Flexxus: Tipo=MB-EXT | Movimiento=INGRESOS BRUTOS MENDOZA | Monto=77,25 | Fecha: 24/04/2026</t>
        </is>
      </c>
    </row>
    <row r="746">
      <c r="A746" s="8" t="inlineStr">
        <is>
          <t>Administración/Banco</t>
        </is>
      </c>
      <c r="B746" s="8" t="inlineStr">
        <is>
          <t>Banco egreso no Flexxus</t>
        </is>
      </c>
      <c r="C746" s="8" t="inlineStr">
        <is>
          <t>Retención Ingresos Brutos Mendoza</t>
        </is>
      </c>
      <c r="D746" s="9" t="n">
        <v>221.83</v>
      </c>
      <c r="E746" s="8" t="inlineStr">
        <is>
          <t>ABIERTO_NUEVO</t>
        </is>
      </c>
      <c r="F746" s="8" t="inlineStr">
        <is>
          <t>Banco / impuesto / gasto</t>
        </is>
      </c>
      <c r="G746" s="8" t="inlineStr">
        <is>
          <t>Copiar en Flexxus: Tipo=MB-EXT | Movimiento=INGRESOS BRUTOS MENDOZA | Monto=221,83 | Fecha: 24/04/2026</t>
        </is>
      </c>
    </row>
    <row r="747">
      <c r="A747" s="8" t="inlineStr">
        <is>
          <t>Administración/Banco</t>
        </is>
      </c>
      <c r="B747" s="8" t="inlineStr">
        <is>
          <t>Banco egreso no Flexxus</t>
        </is>
      </c>
      <c r="C747" s="8" t="inlineStr">
        <is>
          <t>Retención Ingresos Brutos Mendoza</t>
        </is>
      </c>
      <c r="D747" s="9" t="n">
        <v>475.35</v>
      </c>
      <c r="E747" s="8" t="inlineStr">
        <is>
          <t>ABIERTO_NUEVO</t>
        </is>
      </c>
      <c r="F747" s="8" t="inlineStr">
        <is>
          <t>Banco / impuesto / gasto</t>
        </is>
      </c>
      <c r="G747" s="8" t="inlineStr">
        <is>
          <t>Copiar en Flexxus: Tipo=MB-EXT | Movimiento=INGRESOS BRUTOS MENDOZA | Monto=475,35 | Fecha: 24/04/2026</t>
        </is>
      </c>
    </row>
    <row r="748">
      <c r="A748" s="8" t="inlineStr">
        <is>
          <t>Administración/Banco</t>
        </is>
      </c>
      <c r="B748" s="8" t="inlineStr">
        <is>
          <t>Banco egreso no Flexxus</t>
        </is>
      </c>
      <c r="C748" s="8" t="inlineStr">
        <is>
          <t>Retención Ingresos Brutos Mendoza</t>
        </is>
      </c>
      <c r="D748" s="9" t="n">
        <v>1500</v>
      </c>
      <c r="E748" s="8" t="inlineStr">
        <is>
          <t>ABIERTO_NUEVO</t>
        </is>
      </c>
      <c r="F748" s="8" t="inlineStr">
        <is>
          <t>Banco / impuesto / gasto</t>
        </is>
      </c>
      <c r="G748" s="8" t="inlineStr">
        <is>
          <t>Copiar en Flexxus: Tipo=MB-EXT | Movimiento=INGRESOS BRUTOS MENDOZA | Monto=1.500,00 | Fecha: 24/04/2026</t>
        </is>
      </c>
    </row>
    <row r="749">
      <c r="A749" s="8" t="inlineStr">
        <is>
          <t>Administración/Banco</t>
        </is>
      </c>
      <c r="B749" s="8" t="inlineStr">
        <is>
          <t>Banco egreso no Flexxus</t>
        </is>
      </c>
      <c r="C749" s="8" t="inlineStr">
        <is>
          <t>Retención Ingresos Brutos Mendoza</t>
        </is>
      </c>
      <c r="D749" s="9" t="n">
        <v>113.89</v>
      </c>
      <c r="E749" s="8" t="inlineStr">
        <is>
          <t>ABIERTO_NUEVO</t>
        </is>
      </c>
      <c r="F749" s="8" t="inlineStr">
        <is>
          <t>Banco / impuesto / gasto</t>
        </is>
      </c>
      <c r="G749" s="8" t="inlineStr">
        <is>
          <t>Copiar en Flexxus: Tipo=MB-EXT | Movimiento=INGRESOS BRUTOS MENDOZA | Monto=113,89 | Fecha: 24/04/2026</t>
        </is>
      </c>
    </row>
    <row r="750">
      <c r="A750" s="8" t="inlineStr">
        <is>
          <t>Administración/Banco</t>
        </is>
      </c>
      <c r="B750" s="8" t="inlineStr">
        <is>
          <t>Banco egreso no Flexxus</t>
        </is>
      </c>
      <c r="C750" s="8" t="inlineStr">
        <is>
          <t>Retención Ingresos Brutos Mendoza</t>
        </is>
      </c>
      <c r="D750" s="9" t="n">
        <v>157.46</v>
      </c>
      <c r="E750" s="8" t="inlineStr">
        <is>
          <t>ABIERTO_NUEVO</t>
        </is>
      </c>
      <c r="F750" s="8" t="inlineStr">
        <is>
          <t>Banco / impuesto / gasto</t>
        </is>
      </c>
      <c r="G750" s="8" t="inlineStr">
        <is>
          <t>Copiar en Flexxus: Tipo=MB-EXT | Movimiento=INGRESOS BRUTOS MENDOZA | Monto=157,46 | Fecha: 24/04/2026</t>
        </is>
      </c>
    </row>
    <row r="751">
      <c r="A751" s="8" t="inlineStr">
        <is>
          <t>Administración/Banco</t>
        </is>
      </c>
      <c r="B751" s="8" t="inlineStr">
        <is>
          <t>Banco egreso no Flexxus</t>
        </is>
      </c>
      <c r="C751" s="8" t="inlineStr">
        <is>
          <t>Retención Ingresos Brutos Mendoza</t>
        </is>
      </c>
      <c r="D751" s="9" t="n">
        <v>128.64</v>
      </c>
      <c r="E751" s="8" t="inlineStr">
        <is>
          <t>ABIERTO_NUEVO</t>
        </is>
      </c>
      <c r="F751" s="8" t="inlineStr">
        <is>
          <t>Banco / impuesto / gasto</t>
        </is>
      </c>
      <c r="G751" s="8" t="inlineStr">
        <is>
          <t>Copiar en Flexxus: Tipo=MB-EXT | Movimiento=INGRESOS BRUTOS MENDOZA | Monto=128,64 | Fecha: 24/04/2026</t>
        </is>
      </c>
    </row>
    <row r="752">
      <c r="A752" s="8" t="inlineStr">
        <is>
          <t>Administración/Banco</t>
        </is>
      </c>
      <c r="B752" s="8" t="inlineStr">
        <is>
          <t>Banco egreso no Flexxus</t>
        </is>
      </c>
      <c r="C752" s="8" t="inlineStr">
        <is>
          <t>Retención Ingresos Brutos Mendoza</t>
        </is>
      </c>
      <c r="D752" s="9" t="n">
        <v>44.56</v>
      </c>
      <c r="E752" s="8" t="inlineStr">
        <is>
          <t>ABIERTO_NUEVO</t>
        </is>
      </c>
      <c r="F752" s="8" t="inlineStr">
        <is>
          <t>Banco / impuesto / gasto</t>
        </is>
      </c>
      <c r="G752" s="8" t="inlineStr">
        <is>
          <t>Copiar en Flexxus: Tipo=MB-EXT | Movimiento=INGRESOS BRUTOS MENDOZA | Monto=44,56 | Fecha: 24/04/2026</t>
        </is>
      </c>
    </row>
    <row r="753">
      <c r="A753" s="8" t="inlineStr">
        <is>
          <t>Administración/Banco</t>
        </is>
      </c>
      <c r="B753" s="8" t="inlineStr">
        <is>
          <t>Banco egreso no Flexxus</t>
        </is>
      </c>
      <c r="C753" s="8" t="inlineStr">
        <is>
          <t>Retención Ingresos Brutos Mendoza</t>
        </is>
      </c>
      <c r="D753" s="9" t="n">
        <v>35.16</v>
      </c>
      <c r="E753" s="8" t="inlineStr">
        <is>
          <t>ABIERTO_NUEVO</t>
        </is>
      </c>
      <c r="F753" s="8" t="inlineStr">
        <is>
          <t>Banco / impuesto / gasto</t>
        </is>
      </c>
      <c r="G753" s="8" t="inlineStr">
        <is>
          <t>Copiar en Flexxus: Tipo=MB-EXT | Movimiento=INGRESOS BRUTOS MENDOZA | Monto=35,16 | Fecha: 24/04/2026</t>
        </is>
      </c>
    </row>
    <row r="754">
      <c r="A754" s="8" t="inlineStr">
        <is>
          <t>Administración/Banco</t>
        </is>
      </c>
      <c r="B754" s="8" t="inlineStr">
        <is>
          <t>Banco egreso no Flexxus</t>
        </is>
      </c>
      <c r="C754" s="8" t="inlineStr">
        <is>
          <t>Retención Ingresos Brutos Mendoza</t>
        </is>
      </c>
      <c r="D754" s="9" t="n">
        <v>673.42</v>
      </c>
      <c r="E754" s="8" t="inlineStr">
        <is>
          <t>ABIERTO_NUEVO</t>
        </is>
      </c>
      <c r="F754" s="8" t="inlineStr">
        <is>
          <t>Banco / impuesto / gasto</t>
        </is>
      </c>
      <c r="G754" s="8" t="inlineStr">
        <is>
          <t>Copiar en Flexxus: Tipo=MB-EXT | Movimiento=INGRESOS BRUTOS MENDOZA | Monto=673,42 | Fecha: 24/04/2026</t>
        </is>
      </c>
    </row>
    <row r="755">
      <c r="A755" s="8" t="inlineStr">
        <is>
          <t>Administración/Banco</t>
        </is>
      </c>
      <c r="B755" s="8" t="inlineStr">
        <is>
          <t>Banco egreso no Flexxus</t>
        </is>
      </c>
      <c r="C755" s="8" t="inlineStr">
        <is>
          <t>Retención Ingresos Brutos Mendoza</t>
        </is>
      </c>
      <c r="D755" s="9" t="n">
        <v>1987.57</v>
      </c>
      <c r="E755" s="8" t="inlineStr">
        <is>
          <t>ABIERTO_NUEVO</t>
        </is>
      </c>
      <c r="F755" s="8" t="inlineStr">
        <is>
          <t>Banco / impuesto / gasto</t>
        </is>
      </c>
      <c r="G755" s="8" t="inlineStr">
        <is>
          <t>Copiar en Flexxus: Tipo=MB-EXT | Movimiento=INGRESOS BRUTOS MENDOZA | Monto=1.987,57 | Fecha: 24/04/2026</t>
        </is>
      </c>
    </row>
    <row r="756">
      <c r="A756" s="8" t="inlineStr">
        <is>
          <t>Administración/Banco</t>
        </is>
      </c>
      <c r="B756" s="8" t="inlineStr">
        <is>
          <t>Banco egreso no Flexxus</t>
        </is>
      </c>
      <c r="C756" s="8" t="inlineStr">
        <is>
          <t>Retención Ingresos Brutos Mendoza</t>
        </is>
      </c>
      <c r="D756" s="9" t="n">
        <v>267.39</v>
      </c>
      <c r="E756" s="8" t="inlineStr">
        <is>
          <t>ABIERTO_NUEVO</t>
        </is>
      </c>
      <c r="F756" s="8" t="inlineStr">
        <is>
          <t>Banco / impuesto / gasto</t>
        </is>
      </c>
      <c r="G756" s="8" t="inlineStr">
        <is>
          <t>Copiar en Flexxus: Tipo=MB-EXT | Movimiento=INGRESOS BRUTOS MENDOZA | Monto=267,39 | Fecha: 24/04/2026</t>
        </is>
      </c>
    </row>
    <row r="757">
      <c r="A757" s="8" t="inlineStr">
        <is>
          <t>Administración/Banco</t>
        </is>
      </c>
      <c r="B757" s="8" t="inlineStr">
        <is>
          <t>Banco egreso no Flexxus</t>
        </is>
      </c>
      <c r="C757" s="8" t="inlineStr">
        <is>
          <t>Retención Ingresos Brutos Mendoza</t>
        </is>
      </c>
      <c r="D757" s="9" t="n">
        <v>354.53</v>
      </c>
      <c r="E757" s="8" t="inlineStr">
        <is>
          <t>ABIERTO_NUEVO</t>
        </is>
      </c>
      <c r="F757" s="8" t="inlineStr">
        <is>
          <t>Banco / impuesto / gasto</t>
        </is>
      </c>
      <c r="G757" s="8" t="inlineStr">
        <is>
          <t>Copiar en Flexxus: Tipo=MB-EXT | Movimiento=INGRESOS BRUTOS MENDOZA | Monto=354,53 | Fecha: 24/04/2026</t>
        </is>
      </c>
    </row>
    <row r="758">
      <c r="A758" s="8" t="inlineStr">
        <is>
          <t>Administración/Banco</t>
        </is>
      </c>
      <c r="B758" s="8" t="inlineStr">
        <is>
          <t>Banco egreso no Flexxus</t>
        </is>
      </c>
      <c r="C758" s="8" t="inlineStr">
        <is>
          <t>Retención Ingresos Brutos Mendoza</t>
        </is>
      </c>
      <c r="D758" s="9" t="n">
        <v>1213.14</v>
      </c>
      <c r="E758" s="8" t="inlineStr">
        <is>
          <t>ABIERTO_NUEVO</t>
        </is>
      </c>
      <c r="F758" s="8" t="inlineStr">
        <is>
          <t>Banco / impuesto / gasto</t>
        </is>
      </c>
      <c r="G758" s="8" t="inlineStr">
        <is>
          <t>Copiar en Flexxus: Tipo=MB-EXT | Movimiento=INGRESOS BRUTOS MENDOZA | Monto=1.213,14 | Fecha: 24/04/2026</t>
        </is>
      </c>
    </row>
    <row r="759">
      <c r="A759" s="8" t="inlineStr">
        <is>
          <t>Administración/Banco</t>
        </is>
      </c>
      <c r="B759" s="8" t="inlineStr">
        <is>
          <t>Banco egreso no Flexxus</t>
        </is>
      </c>
      <c r="C759" s="8" t="inlineStr">
        <is>
          <t>Retención Ingresos Brutos Mendoza</t>
        </is>
      </c>
      <c r="D759" s="9" t="n">
        <v>2913.42</v>
      </c>
      <c r="E759" s="8" t="inlineStr">
        <is>
          <t>ABIERTO_NUEVO</t>
        </is>
      </c>
      <c r="F759" s="8" t="inlineStr">
        <is>
          <t>Banco / impuesto / gasto</t>
        </is>
      </c>
      <c r="G759" s="8" t="inlineStr">
        <is>
          <t>Copiar en Flexxus: Tipo=MB-EXT | Movimiento=INGRESOS BRUTOS MENDOZA | Monto=2.913,42 | Fecha: 24/04/2026</t>
        </is>
      </c>
    </row>
    <row r="760">
      <c r="A760" s="8" t="inlineStr">
        <is>
          <t>Administración/Banco</t>
        </is>
      </c>
      <c r="B760" s="8" t="inlineStr">
        <is>
          <t>Banco egreso no Flexxus</t>
        </is>
      </c>
      <c r="C760" s="8" t="inlineStr">
        <is>
          <t>Retención Ingresos Brutos Mendoza</t>
        </is>
      </c>
      <c r="D760" s="9" t="n">
        <v>113.61</v>
      </c>
      <c r="E760" s="8" t="inlineStr">
        <is>
          <t>ABIERTO_NUEVO</t>
        </is>
      </c>
      <c r="F760" s="8" t="inlineStr">
        <is>
          <t>Banco / impuesto / gasto</t>
        </is>
      </c>
      <c r="G760" s="8" t="inlineStr">
        <is>
          <t>Copiar en Flexxus: Tipo=MB-EXT | Movimiento=INGRESOS BRUTOS MENDOZA | Monto=113,61 | Fecha: 24/04/2026</t>
        </is>
      </c>
    </row>
    <row r="761">
      <c r="A761" s="8" t="inlineStr">
        <is>
          <t>Administración/Banco</t>
        </is>
      </c>
      <c r="B761" s="8" t="inlineStr">
        <is>
          <t>Banco egreso no Flexxus</t>
        </is>
      </c>
      <c r="C761" s="8" t="inlineStr">
        <is>
          <t>Retención Ingresos Brutos Mendoza</t>
        </is>
      </c>
      <c r="D761" s="9" t="n">
        <v>583.85</v>
      </c>
      <c r="E761" s="8" t="inlineStr">
        <is>
          <t>ABIERTO_NUEVO</t>
        </is>
      </c>
      <c r="F761" s="8" t="inlineStr">
        <is>
          <t>Banco / impuesto / gasto</t>
        </is>
      </c>
      <c r="G761" s="8" t="inlineStr">
        <is>
          <t>Copiar en Flexxus: Tipo=MB-EXT | Movimiento=INGRESOS BRUTOS MENDOZA | Monto=583,85 | Fecha: 24/04/2026</t>
        </is>
      </c>
    </row>
    <row r="762">
      <c r="A762" s="8" t="inlineStr">
        <is>
          <t>Administración/Banco</t>
        </is>
      </c>
      <c r="B762" s="8" t="inlineStr">
        <is>
          <t>Banco egreso no Flexxus</t>
        </is>
      </c>
      <c r="C762" s="8" t="inlineStr">
        <is>
          <t>Retención Ingresos Brutos Mendoza</t>
        </is>
      </c>
      <c r="D762" s="9" t="n">
        <v>608.55</v>
      </c>
      <c r="E762" s="8" t="inlineStr">
        <is>
          <t>ABIERTO_NUEVO</t>
        </is>
      </c>
      <c r="F762" s="8" t="inlineStr">
        <is>
          <t>Banco / impuesto / gasto</t>
        </is>
      </c>
      <c r="G762" s="8" t="inlineStr">
        <is>
          <t>Copiar en Flexxus: Tipo=MB-EXT | Movimiento=INGRESOS BRUTOS MENDOZA | Monto=608,55 | Fecha: 24/04/2026</t>
        </is>
      </c>
    </row>
    <row r="763">
      <c r="A763" s="8" t="inlineStr">
        <is>
          <t>Administración/Banco</t>
        </is>
      </c>
      <c r="B763" s="8" t="inlineStr">
        <is>
          <t>Banco egreso no Flexxus</t>
        </is>
      </c>
      <c r="C763" s="8" t="inlineStr">
        <is>
          <t>Retención Ingresos Brutos Mendoza</t>
        </is>
      </c>
      <c r="D763" s="9" t="n">
        <v>237.1</v>
      </c>
      <c r="E763" s="8" t="inlineStr">
        <is>
          <t>ABIERTO_NUEVO</t>
        </is>
      </c>
      <c r="F763" s="8" t="inlineStr">
        <is>
          <t>Banco / impuesto / gasto</t>
        </is>
      </c>
      <c r="G763" s="8" t="inlineStr">
        <is>
          <t>Copiar en Flexxus: Tipo=MB-EXT | Movimiento=INGRESOS BRUTOS MENDOZA | Monto=237,10 | Fecha: 24/04/2026</t>
        </is>
      </c>
    </row>
    <row r="764">
      <c r="A764" s="8" t="inlineStr">
        <is>
          <t>Administración/Banco</t>
        </is>
      </c>
      <c r="B764" s="8" t="inlineStr">
        <is>
          <t>Banco egreso no Flexxus</t>
        </is>
      </c>
      <c r="C764" s="8" t="inlineStr">
        <is>
          <t>Retención Ingresos Brutos Mendoza</t>
        </is>
      </c>
      <c r="D764" s="9" t="n">
        <v>266.73</v>
      </c>
      <c r="E764" s="8" t="inlineStr">
        <is>
          <t>ABIERTO_NUEVO</t>
        </is>
      </c>
      <c r="F764" s="8" t="inlineStr">
        <is>
          <t>Banco / impuesto / gasto</t>
        </is>
      </c>
      <c r="G764" s="8" t="inlineStr">
        <is>
          <t>Copiar en Flexxus: Tipo=MB-EXT | Movimiento=INGRESOS BRUTOS MENDOZA | Monto=266,73 | Fecha: 24/04/2026</t>
        </is>
      </c>
    </row>
    <row r="765">
      <c r="A765" s="8" t="inlineStr">
        <is>
          <t>Administración/Banco</t>
        </is>
      </c>
      <c r="B765" s="8" t="inlineStr">
        <is>
          <t>Banco egreso no Flexxus</t>
        </is>
      </c>
      <c r="C765" s="8" t="inlineStr">
        <is>
          <t>Retención Ingresos Brutos Mendoza</t>
        </is>
      </c>
      <c r="D765" s="9" t="n">
        <v>2914.41</v>
      </c>
      <c r="E765" s="8" t="inlineStr">
        <is>
          <t>ABIERTO_NUEVO</t>
        </is>
      </c>
      <c r="F765" s="8" t="inlineStr">
        <is>
          <t>Banco / impuesto / gasto</t>
        </is>
      </c>
      <c r="G765" s="8" t="inlineStr">
        <is>
          <t>Copiar en Flexxus: Tipo=MB-EXT | Movimiento=INGRESOS BRUTOS MENDOZA | Monto=2.914,41 | Fecha: 24/04/2026</t>
        </is>
      </c>
    </row>
    <row r="766">
      <c r="A766" s="8" t="inlineStr">
        <is>
          <t>Administración/Banco</t>
        </is>
      </c>
      <c r="B766" s="8" t="inlineStr">
        <is>
          <t>Banco egreso no Flexxus</t>
        </is>
      </c>
      <c r="C766" s="8" t="inlineStr">
        <is>
          <t>Retención Ingresos Brutos Mendoza</t>
        </is>
      </c>
      <c r="D766" s="9" t="n">
        <v>416.72</v>
      </c>
      <c r="E766" s="8" t="inlineStr">
        <is>
          <t>ABIERTO_NUEVO</t>
        </is>
      </c>
      <c r="F766" s="8" t="inlineStr">
        <is>
          <t>Banco / impuesto / gasto</t>
        </is>
      </c>
      <c r="G766" s="8" t="inlineStr">
        <is>
          <t>Copiar en Flexxus: Tipo=MB-EXT | Movimiento=INGRESOS BRUTOS MENDOZA | Monto=416,72 | Fecha: 24/04/2026</t>
        </is>
      </c>
    </row>
    <row r="767">
      <c r="A767" s="8" t="inlineStr">
        <is>
          <t>Administración/Banco</t>
        </is>
      </c>
      <c r="B767" s="8" t="inlineStr">
        <is>
          <t>Banco egreso no Flexxus</t>
        </is>
      </c>
      <c r="C767" s="8" t="inlineStr">
        <is>
          <t>Retención Ingresos Brutos Mendoza</t>
        </is>
      </c>
      <c r="D767" s="9" t="n">
        <v>1157.95</v>
      </c>
      <c r="E767" s="8" t="inlineStr">
        <is>
          <t>ABIERTO_NUEVO</t>
        </is>
      </c>
      <c r="F767" s="8" t="inlineStr">
        <is>
          <t>Banco / impuesto / gasto</t>
        </is>
      </c>
      <c r="G767" s="8" t="inlineStr">
        <is>
          <t>Copiar en Flexxus: Tipo=MB-EXT | Movimiento=INGRESOS BRUTOS MENDOZA | Monto=1.157,95 | Fecha: 24/04/2026</t>
        </is>
      </c>
    </row>
    <row r="768">
      <c r="A768" s="8" t="inlineStr">
        <is>
          <t>Administración/Banco</t>
        </is>
      </c>
      <c r="B768" s="8" t="inlineStr">
        <is>
          <t>Banco egreso no Flexxus</t>
        </is>
      </c>
      <c r="C768" s="8" t="inlineStr">
        <is>
          <t>Retención Ingresos Brutos Mendoza</t>
        </is>
      </c>
      <c r="D768" s="9" t="n">
        <v>836.25</v>
      </c>
      <c r="E768" s="8" t="inlineStr">
        <is>
          <t>ABIERTO_NUEVO</t>
        </is>
      </c>
      <c r="F768" s="8" t="inlineStr">
        <is>
          <t>Banco / impuesto / gasto</t>
        </is>
      </c>
      <c r="G768" s="8" t="inlineStr">
        <is>
          <t>Copiar en Flexxus: Tipo=MB-EXT | Movimiento=INGRESOS BRUTOS MENDOZA | Monto=836,25 | Fecha: 24/04/2026</t>
        </is>
      </c>
    </row>
    <row r="769">
      <c r="A769" s="8" t="inlineStr">
        <is>
          <t>Administración/Banco</t>
        </is>
      </c>
      <c r="B769" s="8" t="inlineStr">
        <is>
          <t>Banco egreso no Flexxus</t>
        </is>
      </c>
      <c r="C769" s="8" t="inlineStr">
        <is>
          <t>Retención Ingresos Brutos Mendoza</t>
        </is>
      </c>
      <c r="D769" s="9" t="n">
        <v>475.18</v>
      </c>
      <c r="E769" s="8" t="inlineStr">
        <is>
          <t>ABIERTO_NUEVO</t>
        </is>
      </c>
      <c r="F769" s="8" t="inlineStr">
        <is>
          <t>Banco / impuesto / gasto</t>
        </is>
      </c>
      <c r="G769" s="8" t="inlineStr">
        <is>
          <t>Copiar en Flexxus: Tipo=MB-EXT | Movimiento=INGRESOS BRUTOS MENDOZA | Monto=475,18 | Fecha: 24/04/2026</t>
        </is>
      </c>
    </row>
    <row r="770">
      <c r="A770" s="8" t="inlineStr">
        <is>
          <t>Administración/Banco</t>
        </is>
      </c>
      <c r="B770" s="8" t="inlineStr">
        <is>
          <t>Banco egreso no Flexxus</t>
        </is>
      </c>
      <c r="C770" s="8" t="inlineStr">
        <is>
          <t>Retención Ingresos Brutos Mendoza</t>
        </is>
      </c>
      <c r="D770" s="9" t="n">
        <v>6470.29</v>
      </c>
      <c r="E770" s="8" t="inlineStr">
        <is>
          <t>ABIERTO_NUEVO</t>
        </is>
      </c>
      <c r="F770" s="8" t="inlineStr">
        <is>
          <t>Banco / impuesto / gasto</t>
        </is>
      </c>
      <c r="G770" s="8" t="inlineStr">
        <is>
          <t>Copiar en Flexxus: Tipo=MB-EXT | Movimiento=INGRESOS BRUTOS MENDOZA | Monto=6.470,29 | Fecha: 24/04/2026</t>
        </is>
      </c>
    </row>
    <row r="771">
      <c r="A771" s="8" t="inlineStr">
        <is>
          <t>Administración/Banco</t>
        </is>
      </c>
      <c r="B771" s="8" t="inlineStr">
        <is>
          <t>Banco egreso no Flexxus</t>
        </is>
      </c>
      <c r="C771" s="8" t="inlineStr">
        <is>
          <t>Retención Ingresos Brutos Mendoza</t>
        </is>
      </c>
      <c r="D771" s="9" t="n">
        <v>1199.61</v>
      </c>
      <c r="E771" s="8" t="inlineStr">
        <is>
          <t>ABIERTO_NUEVO</t>
        </is>
      </c>
      <c r="F771" s="8" t="inlineStr">
        <is>
          <t>Banco / impuesto / gasto</t>
        </is>
      </c>
      <c r="G771" s="8" t="inlineStr">
        <is>
          <t>Copiar en Flexxus: Tipo=MB-EXT | Movimiento=INGRESOS BRUTOS MENDOZA | Monto=1.199,61 | Fecha: 24/04/2026</t>
        </is>
      </c>
    </row>
    <row r="772">
      <c r="A772" s="8" t="inlineStr">
        <is>
          <t>Administración/Banco</t>
        </is>
      </c>
      <c r="B772" s="8" t="inlineStr">
        <is>
          <t>Banco egreso no Flexxus</t>
        </is>
      </c>
      <c r="C772" s="8" t="inlineStr">
        <is>
          <t>Retención Ingresos Brutos Mendoza</t>
        </is>
      </c>
      <c r="D772" s="9" t="n">
        <v>3029.5</v>
      </c>
      <c r="E772" s="8" t="inlineStr">
        <is>
          <t>ABIERTO_NUEVO</t>
        </is>
      </c>
      <c r="F772" s="8" t="inlineStr">
        <is>
          <t>Banco / impuesto / gasto</t>
        </is>
      </c>
      <c r="G772" s="8" t="inlineStr">
        <is>
          <t>Copiar en Flexxus: Tipo=MB-EXT | Movimiento=INGRESOS BRUTOS MENDOZA | Monto=3.029,50 | Fecha: 24/04/2026</t>
        </is>
      </c>
    </row>
    <row r="773">
      <c r="A773" s="8" t="inlineStr">
        <is>
          <t>Administración/Banco</t>
        </is>
      </c>
      <c r="B773" s="8" t="inlineStr">
        <is>
          <t>Banco egreso no Flexxus</t>
        </is>
      </c>
      <c r="C773" s="8" t="inlineStr">
        <is>
          <t>Retención Ingresos Brutos Mendoza</t>
        </is>
      </c>
      <c r="D773" s="9" t="n">
        <v>4351.65</v>
      </c>
      <c r="E773" s="8" t="inlineStr">
        <is>
          <t>ABIERTO_NUEVO</t>
        </is>
      </c>
      <c r="F773" s="8" t="inlineStr">
        <is>
          <t>Banco / impuesto / gasto</t>
        </is>
      </c>
      <c r="G773" s="8" t="inlineStr">
        <is>
          <t>Copiar en Flexxus: Tipo=MB-EXT | Movimiento=INGRESOS BRUTOS MENDOZA | Monto=4.351,65 | Fecha: 24/04/2026</t>
        </is>
      </c>
    </row>
    <row r="774">
      <c r="A774" s="8" t="inlineStr">
        <is>
          <t>Administración/Banco</t>
        </is>
      </c>
      <c r="B774" s="8" t="inlineStr">
        <is>
          <t>Banco egreso no Flexxus</t>
        </is>
      </c>
      <c r="C774" s="8" t="inlineStr">
        <is>
          <t>Retención Ingresos Brutos Mendoza</t>
        </is>
      </c>
      <c r="D774" s="9" t="n">
        <v>75.31999999999999</v>
      </c>
      <c r="E774" s="8" t="inlineStr">
        <is>
          <t>ABIERTO_NUEVO</t>
        </is>
      </c>
      <c r="F774" s="8" t="inlineStr">
        <is>
          <t>Banco / impuesto / gasto</t>
        </is>
      </c>
      <c r="G774" s="8" t="inlineStr">
        <is>
          <t>Copiar en Flexxus: Tipo=MB-EXT | Movimiento=INGRESOS BRUTOS MENDOZA | Monto=75,32 | Fecha: 24/04/2026</t>
        </is>
      </c>
    </row>
    <row r="775">
      <c r="A775" s="8" t="inlineStr">
        <is>
          <t>Administración/Banco</t>
        </is>
      </c>
      <c r="B775" s="8" t="inlineStr">
        <is>
          <t>Banco egreso no Flexxus</t>
        </is>
      </c>
      <c r="C775" s="8" t="inlineStr">
        <is>
          <t>Retención Ingresos Brutos Mendoza</t>
        </is>
      </c>
      <c r="D775" s="9" t="n">
        <v>411.83</v>
      </c>
      <c r="E775" s="8" t="inlineStr">
        <is>
          <t>ABIERTO_NUEVO</t>
        </is>
      </c>
      <c r="F775" s="8" t="inlineStr">
        <is>
          <t>Banco / impuesto / gasto</t>
        </is>
      </c>
      <c r="G775" s="8" t="inlineStr">
        <is>
          <t>Copiar en Flexxus: Tipo=MB-EXT | Movimiento=INGRESOS BRUTOS MENDOZA | Monto=411,83 | Fecha: 24/04/2026</t>
        </is>
      </c>
    </row>
    <row r="776">
      <c r="A776" s="8" t="inlineStr">
        <is>
          <t>Administración/Banco</t>
        </is>
      </c>
      <c r="B776" s="8" t="inlineStr">
        <is>
          <t>Banco egreso no Flexxus</t>
        </is>
      </c>
      <c r="C776" s="8" t="inlineStr">
        <is>
          <t>Retención Ingresos Brutos Mendoza</t>
        </is>
      </c>
      <c r="D776" s="9" t="n">
        <v>1209.39</v>
      </c>
      <c r="E776" s="8" t="inlineStr">
        <is>
          <t>ABIERTO_NUEVO</t>
        </is>
      </c>
      <c r="F776" s="8" t="inlineStr">
        <is>
          <t>Banco / impuesto / gasto</t>
        </is>
      </c>
      <c r="G776" s="8" t="inlineStr">
        <is>
          <t>Copiar en Flexxus: Tipo=MB-EXT | Movimiento=INGRESOS BRUTOS MENDOZA | Monto=1.209,39 | Fecha: 24/04/2026</t>
        </is>
      </c>
    </row>
    <row r="777">
      <c r="A777" s="8" t="inlineStr">
        <is>
          <t>Administración/Banco</t>
        </is>
      </c>
      <c r="B777" s="8" t="inlineStr">
        <is>
          <t>Banco egreso no Flexxus</t>
        </is>
      </c>
      <c r="C777" s="8" t="inlineStr">
        <is>
          <t>Retención Ingresos Brutos Mendoza</t>
        </is>
      </c>
      <c r="D777" s="9" t="n">
        <v>912.6799999999999</v>
      </c>
      <c r="E777" s="8" t="inlineStr">
        <is>
          <t>ABIERTO_NUEVO</t>
        </is>
      </c>
      <c r="F777" s="8" t="inlineStr">
        <is>
          <t>Banco / impuesto / gasto</t>
        </is>
      </c>
      <c r="G777" s="8" t="inlineStr">
        <is>
          <t>Copiar en Flexxus: Tipo=MB-EXT | Movimiento=INGRESOS BRUTOS MENDOZA | Monto=912,68 | Fecha: 24/04/2026</t>
        </is>
      </c>
    </row>
    <row r="778">
      <c r="A778" s="8" t="inlineStr">
        <is>
          <t>Administración/Banco</t>
        </is>
      </c>
      <c r="B778" s="8" t="inlineStr">
        <is>
          <t>Banco egreso no Flexxus</t>
        </is>
      </c>
      <c r="C778" s="8" t="inlineStr">
        <is>
          <t>Retención Ingresos Brutos Mendoza</t>
        </is>
      </c>
      <c r="D778" s="9" t="n">
        <v>1187.23</v>
      </c>
      <c r="E778" s="8" t="inlineStr">
        <is>
          <t>ABIERTO_NUEVO</t>
        </is>
      </c>
      <c r="F778" s="8" t="inlineStr">
        <is>
          <t>Banco / impuesto / gasto</t>
        </is>
      </c>
      <c r="G778" s="8" t="inlineStr">
        <is>
          <t>Copiar en Flexxus: Tipo=MB-EXT | Movimiento=INGRESOS BRUTOS MENDOZA | Monto=1.187,23 | Fecha: 24/04/2026</t>
        </is>
      </c>
    </row>
    <row r="779">
      <c r="A779" s="8" t="inlineStr">
        <is>
          <t>Administración/Banco</t>
        </is>
      </c>
      <c r="B779" s="8" t="inlineStr">
        <is>
          <t>Banco egreso no Flexxus</t>
        </is>
      </c>
      <c r="C779" s="8" t="inlineStr">
        <is>
          <t>Retención Ingresos Brutos Mendoza</t>
        </is>
      </c>
      <c r="D779" s="9" t="n">
        <v>1330.62</v>
      </c>
      <c r="E779" s="8" t="inlineStr">
        <is>
          <t>ABIERTO_NUEVO</t>
        </is>
      </c>
      <c r="F779" s="8" t="inlineStr">
        <is>
          <t>Banco / impuesto / gasto</t>
        </is>
      </c>
      <c r="G779" s="8" t="inlineStr">
        <is>
          <t>Copiar en Flexxus: Tipo=MB-EXT | Movimiento=INGRESOS BRUTOS MENDOZA | Monto=1.330,62 | Fecha: 24/04/2026</t>
        </is>
      </c>
    </row>
    <row r="780">
      <c r="A780" s="8" t="inlineStr">
        <is>
          <t>Administración/Banco</t>
        </is>
      </c>
      <c r="B780" s="8" t="inlineStr">
        <is>
          <t>Banco egreso no Flexxus</t>
        </is>
      </c>
      <c r="C780" s="8" t="inlineStr">
        <is>
          <t>Retención Ingresos Brutos Mendoza</t>
        </is>
      </c>
      <c r="D780" s="9" t="n">
        <v>607.47</v>
      </c>
      <c r="E780" s="8" t="inlineStr">
        <is>
          <t>ABIERTO_NUEVO</t>
        </is>
      </c>
      <c r="F780" s="8" t="inlineStr">
        <is>
          <t>Banco / impuesto / gasto</t>
        </is>
      </c>
      <c r="G780" s="8" t="inlineStr">
        <is>
          <t>Copiar en Flexxus: Tipo=MB-EXT | Movimiento=INGRESOS BRUTOS MENDOZA | Monto=607,47 | Fecha: 24/04/2026</t>
        </is>
      </c>
    </row>
    <row r="781">
      <c r="A781" s="8" t="inlineStr">
        <is>
          <t>Administración/Banco</t>
        </is>
      </c>
      <c r="B781" s="8" t="inlineStr">
        <is>
          <t>Banco egreso no Flexxus</t>
        </is>
      </c>
      <c r="C781" s="8" t="inlineStr">
        <is>
          <t>Retención Ingresos Brutos Mendoza</t>
        </is>
      </c>
      <c r="D781" s="9" t="n">
        <v>211.3</v>
      </c>
      <c r="E781" s="8" t="inlineStr">
        <is>
          <t>ABIERTO_NUEVO</t>
        </is>
      </c>
      <c r="F781" s="8" t="inlineStr">
        <is>
          <t>Banco / impuesto / gasto</t>
        </is>
      </c>
      <c r="G781" s="8" t="inlineStr">
        <is>
          <t>Copiar en Flexxus: Tipo=MB-EXT | Movimiento=INGRESOS BRUTOS MENDOZA | Monto=211,30 | Fecha: 24/04/2026</t>
        </is>
      </c>
    </row>
    <row r="782">
      <c r="A782" s="8" t="inlineStr">
        <is>
          <t>Administración/Banco</t>
        </is>
      </c>
      <c r="B782" s="8" t="inlineStr">
        <is>
          <t>Banco egreso no Flexxus</t>
        </is>
      </c>
      <c r="C782" s="8" t="inlineStr">
        <is>
          <t>Retención Ingresos Brutos Mendoza</t>
        </is>
      </c>
      <c r="D782" s="9" t="n">
        <v>227.77</v>
      </c>
      <c r="E782" s="8" t="inlineStr">
        <is>
          <t>ABIERTO_NUEVO</t>
        </is>
      </c>
      <c r="F782" s="8" t="inlineStr">
        <is>
          <t>Banco / impuesto / gasto</t>
        </is>
      </c>
      <c r="G782" s="8" t="inlineStr">
        <is>
          <t>Copiar en Flexxus: Tipo=MB-EXT | Movimiento=INGRESOS BRUTOS MENDOZA | Monto=227,77 | Fecha: 24/04/2026</t>
        </is>
      </c>
    </row>
    <row r="783">
      <c r="A783" s="8" t="inlineStr">
        <is>
          <t>Administración/Banco</t>
        </is>
      </c>
      <c r="B783" s="8" t="inlineStr">
        <is>
          <t>Banco egreso no Flexxus</t>
        </is>
      </c>
      <c r="C783" s="8" t="inlineStr">
        <is>
          <t>Retención Ingresos Brutos Mendoza</t>
        </is>
      </c>
      <c r="D783" s="9" t="n">
        <v>331.81</v>
      </c>
      <c r="E783" s="8" t="inlineStr">
        <is>
          <t>ABIERTO_NUEVO</t>
        </is>
      </c>
      <c r="F783" s="8" t="inlineStr">
        <is>
          <t>Banco / impuesto / gasto</t>
        </is>
      </c>
      <c r="G783" s="8" t="inlineStr">
        <is>
          <t>Copiar en Flexxus: Tipo=MB-EXT | Movimiento=INGRESOS BRUTOS MENDOZA | Monto=331,81 | Fecha: 24/04/2026</t>
        </is>
      </c>
    </row>
    <row r="784">
      <c r="A784" s="8" t="inlineStr">
        <is>
          <t>Administración/Banco</t>
        </is>
      </c>
      <c r="B784" s="8" t="inlineStr">
        <is>
          <t>Banco egreso no Flexxus</t>
        </is>
      </c>
      <c r="C784" s="8" t="inlineStr">
        <is>
          <t>Retención Ingresos Brutos Mendoza</t>
        </is>
      </c>
      <c r="D784" s="9" t="n">
        <v>281.25</v>
      </c>
      <c r="E784" s="8" t="inlineStr">
        <is>
          <t>ABIERTO_NUEVO</t>
        </is>
      </c>
      <c r="F784" s="8" t="inlineStr">
        <is>
          <t>Banco / impuesto / gasto</t>
        </is>
      </c>
      <c r="G784" s="8" t="inlineStr">
        <is>
          <t>Copiar en Flexxus: Tipo=MB-EXT | Movimiento=INGRESOS BRUTOS MENDOZA | Monto=281,25 | Fecha: 24/04/2026</t>
        </is>
      </c>
    </row>
    <row r="785">
      <c r="A785" s="8" t="inlineStr">
        <is>
          <t>Administración/Banco</t>
        </is>
      </c>
      <c r="B785" s="8" t="inlineStr">
        <is>
          <t>Banco egreso no Flexxus</t>
        </is>
      </c>
      <c r="C785" s="8" t="inlineStr">
        <is>
          <t>Retención Ingresos Brutos Mendoza</t>
        </is>
      </c>
      <c r="D785" s="9" t="n">
        <v>320.86</v>
      </c>
      <c r="E785" s="8" t="inlineStr">
        <is>
          <t>ABIERTO_NUEVO</t>
        </is>
      </c>
      <c r="F785" s="8" t="inlineStr">
        <is>
          <t>Banco / impuesto / gasto</t>
        </is>
      </c>
      <c r="G785" s="8" t="inlineStr">
        <is>
          <t>Copiar en Flexxus: Tipo=MB-EXT | Movimiento=INGRESOS BRUTOS MENDOZA | Monto=320,86 | Fecha: 24/04/2026</t>
        </is>
      </c>
    </row>
    <row r="786">
      <c r="A786" s="8" t="inlineStr">
        <is>
          <t>Administración/Banco</t>
        </is>
      </c>
      <c r="B786" s="8" t="inlineStr">
        <is>
          <t>Banco egreso no Flexxus</t>
        </is>
      </c>
      <c r="C786" s="8" t="inlineStr">
        <is>
          <t>Retención Ingresos Brutos Mendoza</t>
        </is>
      </c>
      <c r="D786" s="9" t="n">
        <v>114.88</v>
      </c>
      <c r="E786" s="8" t="inlineStr">
        <is>
          <t>ABIERTO_NUEVO</t>
        </is>
      </c>
      <c r="F786" s="8" t="inlineStr">
        <is>
          <t>Banco / impuesto / gasto</t>
        </is>
      </c>
      <c r="G786" s="8" t="inlineStr">
        <is>
          <t>Copiar en Flexxus: Tipo=MB-EXT | Movimiento=INGRESOS BRUTOS MENDOZA | Monto=114,88 | Fecha: 24/04/2026</t>
        </is>
      </c>
    </row>
    <row r="787">
      <c r="A787" s="8" t="inlineStr">
        <is>
          <t>Administración/Banco</t>
        </is>
      </c>
      <c r="B787" s="8" t="inlineStr">
        <is>
          <t>Banco egreso no Flexxus</t>
        </is>
      </c>
      <c r="C787" s="8" t="inlineStr">
        <is>
          <t>Retención Ingresos Brutos Mendoza</t>
        </is>
      </c>
      <c r="D787" s="9" t="n">
        <v>738.78</v>
      </c>
      <c r="E787" s="8" t="inlineStr">
        <is>
          <t>ABIERTO_NUEVO</t>
        </is>
      </c>
      <c r="F787" s="8" t="inlineStr">
        <is>
          <t>Banco / impuesto / gasto</t>
        </is>
      </c>
      <c r="G787" s="8" t="inlineStr">
        <is>
          <t>Copiar en Flexxus: Tipo=MB-EXT | Movimiento=INGRESOS BRUTOS MENDOZA | Monto=738,78 | Fecha: 23/04/2026</t>
        </is>
      </c>
    </row>
    <row r="788">
      <c r="A788" s="8" t="inlineStr">
        <is>
          <t>Administración/Banco</t>
        </is>
      </c>
      <c r="B788" s="8" t="inlineStr">
        <is>
          <t>Banco egreso no Flexxus</t>
        </is>
      </c>
      <c r="C788" s="8" t="inlineStr">
        <is>
          <t>Retención Ingresos Brutos Mendoza</t>
        </is>
      </c>
      <c r="D788" s="9" t="n">
        <v>89.13</v>
      </c>
      <c r="E788" s="8" t="inlineStr">
        <is>
          <t>ABIERTO_NUEVO</t>
        </is>
      </c>
      <c r="F788" s="8" t="inlineStr">
        <is>
          <t>Banco / impuesto / gasto</t>
        </is>
      </c>
      <c r="G788" s="8" t="inlineStr">
        <is>
          <t>Copiar en Flexxus: Tipo=MB-EXT | Movimiento=INGRESOS BRUTOS MENDOZA | Monto=89,13 | Fecha: 23/04/2026</t>
        </is>
      </c>
    </row>
    <row r="789">
      <c r="A789" s="8" t="inlineStr">
        <is>
          <t>Administración/Banco</t>
        </is>
      </c>
      <c r="B789" s="8" t="inlineStr">
        <is>
          <t>Banco egreso no Flexxus</t>
        </is>
      </c>
      <c r="C789" s="8" t="inlineStr">
        <is>
          <t>Retención Ingresos Brutos Mendoza</t>
        </is>
      </c>
      <c r="D789" s="9" t="n">
        <v>113.89</v>
      </c>
      <c r="E789" s="8" t="inlineStr">
        <is>
          <t>ABIERTO_NUEVO</t>
        </is>
      </c>
      <c r="F789" s="8" t="inlineStr">
        <is>
          <t>Banco / impuesto / gasto</t>
        </is>
      </c>
      <c r="G789" s="8" t="inlineStr">
        <is>
          <t>Copiar en Flexxus: Tipo=MB-EXT | Movimiento=INGRESOS BRUTOS MENDOZA | Monto=113,89 | Fecha: 23/04/2026</t>
        </is>
      </c>
    </row>
    <row r="790">
      <c r="A790" s="8" t="inlineStr">
        <is>
          <t>Administración/Banco</t>
        </is>
      </c>
      <c r="B790" s="8" t="inlineStr">
        <is>
          <t>Banco egreso no Flexxus</t>
        </is>
      </c>
      <c r="C790" s="8" t="inlineStr">
        <is>
          <t>Retención Ingresos Brutos Mendoza</t>
        </is>
      </c>
      <c r="D790" s="9" t="n">
        <v>495.16</v>
      </c>
      <c r="E790" s="8" t="inlineStr">
        <is>
          <t>ABIERTO_NUEVO</t>
        </is>
      </c>
      <c r="F790" s="8" t="inlineStr">
        <is>
          <t>Banco / impuesto / gasto</t>
        </is>
      </c>
      <c r="G790" s="8" t="inlineStr">
        <is>
          <t>Copiar en Flexxus: Tipo=MB-EXT | Movimiento=INGRESOS BRUTOS MENDOZA | Monto=495,16 | Fecha: 23/04/2026</t>
        </is>
      </c>
    </row>
    <row r="791">
      <c r="A791" s="8" t="inlineStr">
        <is>
          <t>Administración/Banco</t>
        </is>
      </c>
      <c r="B791" s="8" t="inlineStr">
        <is>
          <t>Banco egreso no Flexxus</t>
        </is>
      </c>
      <c r="C791" s="8" t="inlineStr">
        <is>
          <t>Retención Ingresos Brutos Mendoza</t>
        </is>
      </c>
      <c r="D791" s="9" t="n">
        <v>629.84</v>
      </c>
      <c r="E791" s="8" t="inlineStr">
        <is>
          <t>ABIERTO_NUEVO</t>
        </is>
      </c>
      <c r="F791" s="8" t="inlineStr">
        <is>
          <t>Banco / impuesto / gasto</t>
        </is>
      </c>
      <c r="G791" s="8" t="inlineStr">
        <is>
          <t>Copiar en Flexxus: Tipo=MB-EXT | Movimiento=INGRESOS BRUTOS MENDOZA | Monto=629,84 | Fecha: 23/04/2026</t>
        </is>
      </c>
    </row>
    <row r="792">
      <c r="A792" s="8" t="inlineStr">
        <is>
          <t>Administración/Banco</t>
        </is>
      </c>
      <c r="B792" s="8" t="inlineStr">
        <is>
          <t>Banco egreso no Flexxus</t>
        </is>
      </c>
      <c r="C792" s="8" t="inlineStr">
        <is>
          <t>Retención Ingresos Brutos Mendoza</t>
        </is>
      </c>
      <c r="D792" s="9" t="n">
        <v>177.82</v>
      </c>
      <c r="E792" s="8" t="inlineStr">
        <is>
          <t>ABIERTO_NUEVO</t>
        </is>
      </c>
      <c r="F792" s="8" t="inlineStr">
        <is>
          <t>Banco / impuesto / gasto</t>
        </is>
      </c>
      <c r="G792" s="8" t="inlineStr">
        <is>
          <t>Copiar en Flexxus: Tipo=MB-EXT | Movimiento=INGRESOS BRUTOS MENDOZA | Monto=177,82 | Fecha: 23/04/2026</t>
        </is>
      </c>
    </row>
    <row r="793">
      <c r="A793" s="8" t="inlineStr">
        <is>
          <t>Administración/Banco</t>
        </is>
      </c>
      <c r="B793" s="8" t="inlineStr">
        <is>
          <t>Banco egreso no Flexxus</t>
        </is>
      </c>
      <c r="C793" s="8" t="inlineStr">
        <is>
          <t>Retención Ingresos Brutos Mendoza</t>
        </is>
      </c>
      <c r="D793" s="9" t="n">
        <v>2881.82</v>
      </c>
      <c r="E793" s="8" t="inlineStr">
        <is>
          <t>ABIERTO_NUEVO</t>
        </is>
      </c>
      <c r="F793" s="8" t="inlineStr">
        <is>
          <t>Banco / impuesto / gasto</t>
        </is>
      </c>
      <c r="G793" s="8" t="inlineStr">
        <is>
          <t>Copiar en Flexxus: Tipo=MB-EXT | Movimiento=INGRESOS BRUTOS MENDOZA | Monto=2.881,82 | Fecha: 23/04/2026</t>
        </is>
      </c>
    </row>
    <row r="794">
      <c r="A794" s="8" t="inlineStr">
        <is>
          <t>Administración/Banco</t>
        </is>
      </c>
      <c r="B794" s="8" t="inlineStr">
        <is>
          <t>Banco egreso no Flexxus</t>
        </is>
      </c>
      <c r="C794" s="8" t="inlineStr">
        <is>
          <t>Retención Ingresos Brutos Mendoza</t>
        </is>
      </c>
      <c r="D794" s="9" t="n">
        <v>403.06</v>
      </c>
      <c r="E794" s="8" t="inlineStr">
        <is>
          <t>ABIERTO_NUEVO</t>
        </is>
      </c>
      <c r="F794" s="8" t="inlineStr">
        <is>
          <t>Banco / impuesto / gasto</t>
        </is>
      </c>
      <c r="G794" s="8" t="inlineStr">
        <is>
          <t>Copiar en Flexxus: Tipo=MB-EXT | Movimiento=INGRESOS BRUTOS MENDOZA | Monto=403,06 | Fecha: 23/04/2026</t>
        </is>
      </c>
    </row>
    <row r="795">
      <c r="A795" s="8" t="inlineStr">
        <is>
          <t>Administración/Banco</t>
        </is>
      </c>
      <c r="B795" s="8" t="inlineStr">
        <is>
          <t>Banco egreso no Flexxus</t>
        </is>
      </c>
      <c r="C795" s="8" t="inlineStr">
        <is>
          <t>Retención Ingresos Brutos Mendoza</t>
        </is>
      </c>
      <c r="D795" s="9" t="n">
        <v>334.9</v>
      </c>
      <c r="E795" s="8" t="inlineStr">
        <is>
          <t>ABIERTO_NUEVO</t>
        </is>
      </c>
      <c r="F795" s="8" t="inlineStr">
        <is>
          <t>Banco / impuesto / gasto</t>
        </is>
      </c>
      <c r="G795" s="8" t="inlineStr">
        <is>
          <t>Copiar en Flexxus: Tipo=MB-EXT | Movimiento=INGRESOS BRUTOS MENDOZA | Monto=334,90 | Fecha: 23/04/2026</t>
        </is>
      </c>
    </row>
    <row r="796">
      <c r="A796" s="8" t="inlineStr">
        <is>
          <t>Administración/Banco</t>
        </is>
      </c>
      <c r="B796" s="8" t="inlineStr">
        <is>
          <t>Banco egreso no Flexxus</t>
        </is>
      </c>
      <c r="C796" s="8" t="inlineStr">
        <is>
          <t>Retención Ingresos Brutos Mendoza</t>
        </is>
      </c>
      <c r="D796" s="9" t="n">
        <v>246.98</v>
      </c>
      <c r="E796" s="8" t="inlineStr">
        <is>
          <t>ABIERTO_NUEVO</t>
        </is>
      </c>
      <c r="F796" s="8" t="inlineStr">
        <is>
          <t>Banco / impuesto / gasto</t>
        </is>
      </c>
      <c r="G796" s="8" t="inlineStr">
        <is>
          <t>Copiar en Flexxus: Tipo=MB-EXT | Movimiento=INGRESOS BRUTOS MENDOZA | Monto=246,98 | Fecha: 23/04/2026</t>
        </is>
      </c>
    </row>
    <row r="797">
      <c r="A797" s="8" t="inlineStr">
        <is>
          <t>Administración/Banco</t>
        </is>
      </c>
      <c r="B797" s="8" t="inlineStr">
        <is>
          <t>Banco egreso no Flexxus</t>
        </is>
      </c>
      <c r="C797" s="8" t="inlineStr">
        <is>
          <t>Retención Ingresos Brutos Mendoza</t>
        </is>
      </c>
      <c r="D797" s="9" t="n">
        <v>827.86</v>
      </c>
      <c r="E797" s="8" t="inlineStr">
        <is>
          <t>ABIERTO_NUEVO</t>
        </is>
      </c>
      <c r="F797" s="8" t="inlineStr">
        <is>
          <t>Banco / impuesto / gasto</t>
        </is>
      </c>
      <c r="G797" s="8" t="inlineStr">
        <is>
          <t>Copiar en Flexxus: Tipo=MB-EXT | Movimiento=INGRESOS BRUTOS MENDOZA | Monto=827,86 | Fecha: 23/04/2026</t>
        </is>
      </c>
    </row>
    <row r="798">
      <c r="A798" s="8" t="inlineStr">
        <is>
          <t>Administración/Banco</t>
        </is>
      </c>
      <c r="B798" s="8" t="inlineStr">
        <is>
          <t>Banco egreso no Flexxus</t>
        </is>
      </c>
      <c r="C798" s="8" t="inlineStr">
        <is>
          <t>Retención Ingresos Brutos Mendoza</t>
        </is>
      </c>
      <c r="D798" s="9" t="n">
        <v>454.43</v>
      </c>
      <c r="E798" s="8" t="inlineStr">
        <is>
          <t>ABIERTO_NUEVO</t>
        </is>
      </c>
      <c r="F798" s="8" t="inlineStr">
        <is>
          <t>Banco / impuesto / gasto</t>
        </is>
      </c>
      <c r="G798" s="8" t="inlineStr">
        <is>
          <t>Copiar en Flexxus: Tipo=MB-EXT | Movimiento=INGRESOS BRUTOS MENDOZA | Monto=454,43 | Fecha: 23/04/2026</t>
        </is>
      </c>
    </row>
    <row r="799">
      <c r="A799" s="8" t="inlineStr">
        <is>
          <t>Administración/Banco</t>
        </is>
      </c>
      <c r="B799" s="8" t="inlineStr">
        <is>
          <t>Banco egreso no Flexxus</t>
        </is>
      </c>
      <c r="C799" s="8" t="inlineStr">
        <is>
          <t>Retención Ingresos Brutos Mendoza</t>
        </is>
      </c>
      <c r="D799" s="9" t="n">
        <v>477.16</v>
      </c>
      <c r="E799" s="8" t="inlineStr">
        <is>
          <t>ABIERTO_NUEVO</t>
        </is>
      </c>
      <c r="F799" s="8" t="inlineStr">
        <is>
          <t>Banco / impuesto / gasto</t>
        </is>
      </c>
      <c r="G799" s="8" t="inlineStr">
        <is>
          <t>Copiar en Flexxus: Tipo=MB-EXT | Movimiento=INGRESOS BRUTOS MENDOZA | Monto=477,16 | Fecha: 23/04/2026</t>
        </is>
      </c>
    </row>
    <row r="800">
      <c r="A800" s="8" t="inlineStr">
        <is>
          <t>Administración/Banco</t>
        </is>
      </c>
      <c r="B800" s="8" t="inlineStr">
        <is>
          <t>Banco egreso no Flexxus</t>
        </is>
      </c>
      <c r="C800" s="8" t="inlineStr">
        <is>
          <t>Retención Ingresos Brutos Mendoza</t>
        </is>
      </c>
      <c r="D800" s="9" t="n">
        <v>148.55</v>
      </c>
      <c r="E800" s="8" t="inlineStr">
        <is>
          <t>ABIERTO_NUEVO</t>
        </is>
      </c>
      <c r="F800" s="8" t="inlineStr">
        <is>
          <t>Banco / impuesto / gasto</t>
        </is>
      </c>
      <c r="G800" s="8" t="inlineStr">
        <is>
          <t>Copiar en Flexxus: Tipo=MB-EXT | Movimiento=INGRESOS BRUTOS MENDOZA | Monto=148,55 | Fecha: 23/04/2026</t>
        </is>
      </c>
    </row>
    <row r="801">
      <c r="A801" s="8" t="inlineStr">
        <is>
          <t>Administración/Banco</t>
        </is>
      </c>
      <c r="B801" s="8" t="inlineStr">
        <is>
          <t>Banco egreso no Flexxus</t>
        </is>
      </c>
      <c r="C801" s="8" t="inlineStr">
        <is>
          <t>Retención Ingresos Brutos Mendoza</t>
        </is>
      </c>
      <c r="D801" s="9" t="n">
        <v>467.28</v>
      </c>
      <c r="E801" s="8" t="inlineStr">
        <is>
          <t>ABIERTO_NUEVO</t>
        </is>
      </c>
      <c r="F801" s="8" t="inlineStr">
        <is>
          <t>Banco / impuesto / gasto</t>
        </is>
      </c>
      <c r="G801" s="8" t="inlineStr">
        <is>
          <t>Copiar en Flexxus: Tipo=MB-EXT | Movimiento=INGRESOS BRUTOS MENDOZA | Monto=467,28 | Fecha: 23/04/2026</t>
        </is>
      </c>
    </row>
    <row r="802">
      <c r="A802" s="8" t="inlineStr">
        <is>
          <t>Administración/Banco</t>
        </is>
      </c>
      <c r="B802" s="8" t="inlineStr">
        <is>
          <t>Banco egreso no Flexxus</t>
        </is>
      </c>
      <c r="C802" s="8" t="inlineStr">
        <is>
          <t>Retención Ingresos Brutos Mendoza</t>
        </is>
      </c>
      <c r="D802" s="9" t="n">
        <v>301.31</v>
      </c>
      <c r="E802" s="8" t="inlineStr">
        <is>
          <t>ABIERTO_NUEVO</t>
        </is>
      </c>
      <c r="F802" s="8" t="inlineStr">
        <is>
          <t>Banco / impuesto / gasto</t>
        </is>
      </c>
      <c r="G802" s="8" t="inlineStr">
        <is>
          <t>Copiar en Flexxus: Tipo=MB-EXT | Movimiento=INGRESOS BRUTOS MENDOZA | Monto=301,31 | Fecha: 23/04/2026</t>
        </is>
      </c>
    </row>
    <row r="803">
      <c r="A803" s="8" t="inlineStr">
        <is>
          <t>Administración/Banco</t>
        </is>
      </c>
      <c r="B803" s="8" t="inlineStr">
        <is>
          <t>Banco egreso no Flexxus</t>
        </is>
      </c>
      <c r="C803" s="8" t="inlineStr">
        <is>
          <t>Retención Ingresos Brutos Mendoza</t>
        </is>
      </c>
      <c r="D803" s="9" t="n">
        <v>227.22</v>
      </c>
      <c r="E803" s="8" t="inlineStr">
        <is>
          <t>ABIERTO_NUEVO</t>
        </is>
      </c>
      <c r="F803" s="8" t="inlineStr">
        <is>
          <t>Banco / impuesto / gasto</t>
        </is>
      </c>
      <c r="G803" s="8" t="inlineStr">
        <is>
          <t>Copiar en Flexxus: Tipo=MB-EXT | Movimiento=INGRESOS BRUTOS MENDOZA | Monto=227,22 | Fecha: 23/04/2026</t>
        </is>
      </c>
    </row>
    <row r="804">
      <c r="A804" s="8" t="inlineStr">
        <is>
          <t>Administración/Banco</t>
        </is>
      </c>
      <c r="B804" s="8" t="inlineStr">
        <is>
          <t>Banco egreso no Flexxus</t>
        </is>
      </c>
      <c r="C804" s="8" t="inlineStr">
        <is>
          <t>Retención Ingresos Brutos Mendoza</t>
        </is>
      </c>
      <c r="D804" s="9" t="n">
        <v>24937.93</v>
      </c>
      <c r="E804" s="8" t="inlineStr">
        <is>
          <t>ABIERTO_NUEVO</t>
        </is>
      </c>
      <c r="F804" s="8" t="inlineStr">
        <is>
          <t>Banco / impuesto / gasto</t>
        </is>
      </c>
      <c r="G804" s="8" t="inlineStr">
        <is>
          <t>Copiar en Flexxus: Tipo=MB-EXT | Movimiento=INGRESOS BRUTOS MENDOZA | Monto=24.937,93 | Fecha: 23/04/2026</t>
        </is>
      </c>
    </row>
    <row r="805">
      <c r="A805" s="8" t="inlineStr">
        <is>
          <t>Administración/Banco</t>
        </is>
      </c>
      <c r="B805" s="8" t="inlineStr">
        <is>
          <t>Banco egreso no Flexxus</t>
        </is>
      </c>
      <c r="C805" s="8" t="inlineStr">
        <is>
          <t>Retención Ingresos Brutos Mendoza</t>
        </is>
      </c>
      <c r="D805" s="9" t="n">
        <v>2895.89</v>
      </c>
      <c r="E805" s="8" t="inlineStr">
        <is>
          <t>ABIERTO_NUEVO</t>
        </is>
      </c>
      <c r="F805" s="8" t="inlineStr">
        <is>
          <t>Banco / impuesto / gasto</t>
        </is>
      </c>
      <c r="G805" s="8" t="inlineStr">
        <is>
          <t>Copiar en Flexxus: Tipo=MB-EXT | Movimiento=INGRESOS BRUTOS MENDOZA | Monto=2.895,89 | Fecha: 23/04/2026</t>
        </is>
      </c>
    </row>
    <row r="806">
      <c r="A806" s="8" t="inlineStr">
        <is>
          <t>Administración/Banco</t>
        </is>
      </c>
      <c r="B806" s="8" t="inlineStr">
        <is>
          <t>Banco egreso no Flexxus</t>
        </is>
      </c>
      <c r="C806" s="8" t="inlineStr">
        <is>
          <t>Retención Ingresos Brutos Mendoza</t>
        </is>
      </c>
      <c r="D806" s="9" t="n">
        <v>22153.06</v>
      </c>
      <c r="E806" s="8" t="inlineStr">
        <is>
          <t>ABIERTO_NUEVO</t>
        </is>
      </c>
      <c r="F806" s="8" t="inlineStr">
        <is>
          <t>Banco / impuesto / gasto</t>
        </is>
      </c>
      <c r="G806" s="8" t="inlineStr">
        <is>
          <t>Copiar en Flexxus: Tipo=MB-EXT | Movimiento=INGRESOS BRUTOS MENDOZA | Monto=22.153,06 | Fecha: 23/04/2026</t>
        </is>
      </c>
    </row>
    <row r="807">
      <c r="A807" s="8" t="inlineStr">
        <is>
          <t>Administración/Banco</t>
        </is>
      </c>
      <c r="B807" s="8" t="inlineStr">
        <is>
          <t>Banco egreso no Flexxus</t>
        </is>
      </c>
      <c r="C807" s="8" t="inlineStr">
        <is>
          <t>Retención Ingresos Brutos Mendoza</t>
        </is>
      </c>
      <c r="D807" s="9" t="n">
        <v>718.99</v>
      </c>
      <c r="E807" s="8" t="inlineStr">
        <is>
          <t>ABIERTO_NUEVO</t>
        </is>
      </c>
      <c r="F807" s="8" t="inlineStr">
        <is>
          <t>Banco / impuesto / gasto</t>
        </is>
      </c>
      <c r="G807" s="8" t="inlineStr">
        <is>
          <t>Copiar en Flexxus: Tipo=MB-EXT | Movimiento=INGRESOS BRUTOS MENDOZA | Monto=718,99 | Fecha: 23/04/2026</t>
        </is>
      </c>
    </row>
    <row r="808">
      <c r="A808" s="8" t="inlineStr">
        <is>
          <t>Administración/Banco</t>
        </is>
      </c>
      <c r="B808" s="8" t="inlineStr">
        <is>
          <t>Banco egreso no Flexxus</t>
        </is>
      </c>
      <c r="C808" s="8" t="inlineStr">
        <is>
          <t>Retención Ingresos Brutos Mendoza</t>
        </is>
      </c>
      <c r="D808" s="9" t="n">
        <v>4568.7</v>
      </c>
      <c r="E808" s="8" t="inlineStr">
        <is>
          <t>ABIERTO_NUEVO</t>
        </is>
      </c>
      <c r="F808" s="8" t="inlineStr">
        <is>
          <t>Banco / impuesto / gasto</t>
        </is>
      </c>
      <c r="G808" s="8" t="inlineStr">
        <is>
          <t>Copiar en Flexxus: Tipo=MB-EXT | Movimiento=INGRESOS BRUTOS MENDOZA | Monto=4.568,70 | Fecha: 23/04/2026</t>
        </is>
      </c>
    </row>
    <row r="809">
      <c r="A809" s="8" t="inlineStr">
        <is>
          <t>Administración/Banco</t>
        </is>
      </c>
      <c r="B809" s="8" t="inlineStr">
        <is>
          <t>Banco egreso no Flexxus</t>
        </is>
      </c>
      <c r="C809" s="8" t="inlineStr">
        <is>
          <t>Retención Ingresos Brutos Mendoza</t>
        </is>
      </c>
      <c r="D809" s="9" t="n">
        <v>1033.39</v>
      </c>
      <c r="E809" s="8" t="inlineStr">
        <is>
          <t>ABIERTO_NUEVO</t>
        </is>
      </c>
      <c r="F809" s="8" t="inlineStr">
        <is>
          <t>Banco / impuesto / gasto</t>
        </is>
      </c>
      <c r="G809" s="8" t="inlineStr">
        <is>
          <t>Copiar en Flexxus: Tipo=MB-EXT | Movimiento=INGRESOS BRUTOS MENDOZA | Monto=1.033,39 | Fecha: 23/04/2026</t>
        </is>
      </c>
    </row>
    <row r="810">
      <c r="A810" s="8" t="inlineStr">
        <is>
          <t>Administración/Banco</t>
        </is>
      </c>
      <c r="B810" s="8" t="inlineStr">
        <is>
          <t>Banco egreso no Flexxus</t>
        </is>
      </c>
      <c r="C810" s="8" t="inlineStr">
        <is>
          <t>Retención Ingresos Brutos Mendoza</t>
        </is>
      </c>
      <c r="D810" s="9" t="n">
        <v>1897.68</v>
      </c>
      <c r="E810" s="8" t="inlineStr">
        <is>
          <t>ABIERTO_NUEVO</t>
        </is>
      </c>
      <c r="F810" s="8" t="inlineStr">
        <is>
          <t>Banco / impuesto / gasto</t>
        </is>
      </c>
      <c r="G810" s="8" t="inlineStr">
        <is>
          <t>Copiar en Flexxus: Tipo=MB-EXT | Movimiento=INGRESOS BRUTOS MENDOZA | Monto=1.897,68 | Fecha: 23/04/2026</t>
        </is>
      </c>
    </row>
    <row r="811">
      <c r="A811" s="8" t="inlineStr">
        <is>
          <t>Administración/Banco</t>
        </is>
      </c>
      <c r="B811" s="8" t="inlineStr">
        <is>
          <t>Banco egreso no Flexxus</t>
        </is>
      </c>
      <c r="C811" s="8" t="inlineStr">
        <is>
          <t>Retención Ingresos Brutos Mendoza</t>
        </is>
      </c>
      <c r="D811" s="9" t="n">
        <v>4386.85</v>
      </c>
      <c r="E811" s="8" t="inlineStr">
        <is>
          <t>ABIERTO_NUEVO</t>
        </is>
      </c>
      <c r="F811" s="8" t="inlineStr">
        <is>
          <t>Banco / impuesto / gasto</t>
        </is>
      </c>
      <c r="G811" s="8" t="inlineStr">
        <is>
          <t>Copiar en Flexxus: Tipo=MB-EXT | Movimiento=INGRESOS BRUTOS MENDOZA | Monto=4.386,85 | Fecha: 23/04/2026</t>
        </is>
      </c>
    </row>
    <row r="812">
      <c r="A812" s="8" t="inlineStr">
        <is>
          <t>Administración/Banco</t>
        </is>
      </c>
      <c r="B812" s="8" t="inlineStr">
        <is>
          <t>Banco egreso no Flexxus</t>
        </is>
      </c>
      <c r="C812" s="8" t="inlineStr">
        <is>
          <t>Retención Ingresos Brutos Mendoza</t>
        </is>
      </c>
      <c r="D812" s="9" t="n">
        <v>2321.99</v>
      </c>
      <c r="E812" s="8" t="inlineStr">
        <is>
          <t>ABIERTO_NUEVO</t>
        </is>
      </c>
      <c r="F812" s="8" t="inlineStr">
        <is>
          <t>Banco / impuesto / gasto</t>
        </is>
      </c>
      <c r="G812" s="8" t="inlineStr">
        <is>
          <t>Copiar en Flexxus: Tipo=MB-EXT | Movimiento=INGRESOS BRUTOS MENDOZA | Monto=2.321,99 | Fecha: 23/04/2026</t>
        </is>
      </c>
    </row>
    <row r="813">
      <c r="A813" s="8" t="inlineStr">
        <is>
          <t>Administración/Banco</t>
        </is>
      </c>
      <c r="B813" s="8" t="inlineStr">
        <is>
          <t>Banco egreso no Flexxus</t>
        </is>
      </c>
      <c r="C813" s="8" t="inlineStr">
        <is>
          <t>Retención Ingresos Brutos Mendoza</t>
        </is>
      </c>
      <c r="D813" s="9" t="n">
        <v>8368.940000000001</v>
      </c>
      <c r="E813" s="8" t="inlineStr">
        <is>
          <t>ABIERTO_NUEVO</t>
        </is>
      </c>
      <c r="F813" s="8" t="inlineStr">
        <is>
          <t>Banco / impuesto / gasto</t>
        </is>
      </c>
      <c r="G813" s="8" t="inlineStr">
        <is>
          <t>Copiar en Flexxus: Tipo=MB-EXT | Movimiento=INGRESOS BRUTOS MENDOZA | Monto=8.368,94 | Fecha: 23/04/2026</t>
        </is>
      </c>
    </row>
    <row r="814">
      <c r="A814" s="8" t="inlineStr">
        <is>
          <t>Administración/Banco</t>
        </is>
      </c>
      <c r="B814" s="8" t="inlineStr">
        <is>
          <t>Banco egreso no Flexxus</t>
        </is>
      </c>
      <c r="C814" s="8" t="inlineStr">
        <is>
          <t>Retención Ingresos Brutos Mendoza</t>
        </is>
      </c>
      <c r="D814" s="9" t="n">
        <v>6957.17</v>
      </c>
      <c r="E814" s="8" t="inlineStr">
        <is>
          <t>ABIERTO_NUEVO</t>
        </is>
      </c>
      <c r="F814" s="8" t="inlineStr">
        <is>
          <t>Banco / impuesto / gasto</t>
        </is>
      </c>
      <c r="G814" s="8" t="inlineStr">
        <is>
          <t>Copiar en Flexxus: Tipo=MB-EXT | Movimiento=INGRESOS BRUTOS MENDOZA | Monto=6.957,17 | Fecha: 23/04/2026</t>
        </is>
      </c>
    </row>
    <row r="815">
      <c r="A815" s="8" t="inlineStr">
        <is>
          <t>Administración/Banco</t>
        </is>
      </c>
      <c r="B815" s="8" t="inlineStr">
        <is>
          <t>Banco egreso no Flexxus</t>
        </is>
      </c>
      <c r="C815" s="8" t="inlineStr">
        <is>
          <t>Retención Ingresos Brutos Mendoza</t>
        </is>
      </c>
      <c r="D815" s="9" t="n">
        <v>432.37</v>
      </c>
      <c r="E815" s="8" t="inlineStr">
        <is>
          <t>ABIERTO_NUEVO</t>
        </is>
      </c>
      <c r="F815" s="8" t="inlineStr">
        <is>
          <t>Banco / impuesto / gasto</t>
        </is>
      </c>
      <c r="G815" s="8" t="inlineStr">
        <is>
          <t>Copiar en Flexxus: Tipo=MB-EXT | Movimiento=INGRESOS BRUTOS MENDOZA | Monto=432,37 | Fecha: 23/04/2026</t>
        </is>
      </c>
    </row>
    <row r="816">
      <c r="A816" s="8" t="inlineStr">
        <is>
          <t>Administración/Banco</t>
        </is>
      </c>
      <c r="B816" s="8" t="inlineStr">
        <is>
          <t>Banco egreso no Flexxus</t>
        </is>
      </c>
      <c r="C816" s="8" t="inlineStr">
        <is>
          <t>Retención Ingresos Brutos Mendoza</t>
        </is>
      </c>
      <c r="D816" s="9" t="n">
        <v>1199.61</v>
      </c>
      <c r="E816" s="8" t="inlineStr">
        <is>
          <t>ABIERTO_NUEVO</t>
        </is>
      </c>
      <c r="F816" s="8" t="inlineStr">
        <is>
          <t>Banco / impuesto / gasto</t>
        </is>
      </c>
      <c r="G816" s="8" t="inlineStr">
        <is>
          <t>Copiar en Flexxus: Tipo=MB-EXT | Movimiento=INGRESOS BRUTOS MENDOZA | Monto=1.199,61 | Fecha: 23/04/2026</t>
        </is>
      </c>
    </row>
    <row r="817">
      <c r="A817" s="8" t="inlineStr">
        <is>
          <t>Administración/Banco</t>
        </is>
      </c>
      <c r="B817" s="8" t="inlineStr">
        <is>
          <t>Banco egreso no Flexxus</t>
        </is>
      </c>
      <c r="C817" s="8" t="inlineStr">
        <is>
          <t>Retención Ingresos Brutos Mendoza</t>
        </is>
      </c>
      <c r="D817" s="9" t="n">
        <v>1700.19</v>
      </c>
      <c r="E817" s="8" t="inlineStr">
        <is>
          <t>ABIERTO_NUEVO</t>
        </is>
      </c>
      <c r="F817" s="8" t="inlineStr">
        <is>
          <t>Banco / impuesto / gasto</t>
        </is>
      </c>
      <c r="G817" s="8" t="inlineStr">
        <is>
          <t>Copiar en Flexxus: Tipo=MB-EXT | Movimiento=INGRESOS BRUTOS MENDOZA | Monto=1.700,19 | Fecha: 23/04/2026</t>
        </is>
      </c>
    </row>
    <row r="818">
      <c r="A818" s="8" t="inlineStr">
        <is>
          <t>Administración/Banco</t>
        </is>
      </c>
      <c r="B818" s="8" t="inlineStr">
        <is>
          <t>Banco egreso no Flexxus</t>
        </is>
      </c>
      <c r="C818" s="8" t="inlineStr">
        <is>
          <t>Retención Ingresos Brutos Mendoza</t>
        </is>
      </c>
      <c r="D818" s="9" t="n">
        <v>822.6799999999999</v>
      </c>
      <c r="E818" s="8" t="inlineStr">
        <is>
          <t>ABIERTO_NUEVO</t>
        </is>
      </c>
      <c r="F818" s="8" t="inlineStr">
        <is>
          <t>Banco / impuesto / gasto</t>
        </is>
      </c>
      <c r="G818" s="8" t="inlineStr">
        <is>
          <t>Copiar en Flexxus: Tipo=MB-EXT | Movimiento=INGRESOS BRUTOS MENDOZA | Monto=822,68 | Fecha: 23/04/2026</t>
        </is>
      </c>
    </row>
    <row r="819">
      <c r="A819" s="8" t="inlineStr">
        <is>
          <t>Administración/Banco</t>
        </is>
      </c>
      <c r="B819" s="8" t="inlineStr">
        <is>
          <t>Banco egreso no Flexxus</t>
        </is>
      </c>
      <c r="C819" s="8" t="inlineStr">
        <is>
          <t>Retención Ingresos Brutos Mendoza</t>
        </is>
      </c>
      <c r="D819" s="9" t="n">
        <v>112.5</v>
      </c>
      <c r="E819" s="8" t="inlineStr">
        <is>
          <t>ABIERTO_NUEVO</t>
        </is>
      </c>
      <c r="F819" s="8" t="inlineStr">
        <is>
          <t>Banco / impuesto / gasto</t>
        </is>
      </c>
      <c r="G819" s="8" t="inlineStr">
        <is>
          <t>Copiar en Flexxus: Tipo=MB-EXT | Movimiento=INGRESOS BRUTOS MENDOZA | Monto=112,50 | Fecha: 23/04/2026</t>
        </is>
      </c>
    </row>
    <row r="820">
      <c r="A820" s="8" t="inlineStr">
        <is>
          <t>Administración/Banco</t>
        </is>
      </c>
      <c r="B820" s="8" t="inlineStr">
        <is>
          <t>Banco egreso no Flexxus</t>
        </is>
      </c>
      <c r="C820" s="8" t="inlineStr">
        <is>
          <t>Retención Ingresos Brutos Mendoza</t>
        </is>
      </c>
      <c r="D820" s="9" t="n">
        <v>640.73</v>
      </c>
      <c r="E820" s="8" t="inlineStr">
        <is>
          <t>ABIERTO_NUEVO</t>
        </is>
      </c>
      <c r="F820" s="8" t="inlineStr">
        <is>
          <t>Banco / impuesto / gasto</t>
        </is>
      </c>
      <c r="G820" s="8" t="inlineStr">
        <is>
          <t>Copiar en Flexxus: Tipo=MB-EXT | Movimiento=INGRESOS BRUTOS MENDOZA | Monto=640,73 | Fecha: 23/04/2026</t>
        </is>
      </c>
    </row>
    <row r="821">
      <c r="A821" s="8" t="inlineStr">
        <is>
          <t>Administración/Banco</t>
        </is>
      </c>
      <c r="B821" s="8" t="inlineStr">
        <is>
          <t>Banco egreso no Flexxus</t>
        </is>
      </c>
      <c r="C821" s="8" t="inlineStr">
        <is>
          <t>Retención Ingresos Brutos Mendoza</t>
        </is>
      </c>
      <c r="D821" s="9" t="n">
        <v>216.88</v>
      </c>
      <c r="E821" s="8" t="inlineStr">
        <is>
          <t>ABIERTO_NUEVO</t>
        </is>
      </c>
      <c r="F821" s="8" t="inlineStr">
        <is>
          <t>Banco / impuesto / gasto</t>
        </is>
      </c>
      <c r="G821" s="8" t="inlineStr">
        <is>
          <t>Copiar en Flexxus: Tipo=MB-EXT | Movimiento=INGRESOS BRUTOS MENDOZA | Monto=216,88 | Fecha: 23/04/2026</t>
        </is>
      </c>
    </row>
    <row r="822">
      <c r="A822" s="8" t="inlineStr">
        <is>
          <t>Administración/Banco</t>
        </is>
      </c>
      <c r="B822" s="8" t="inlineStr">
        <is>
          <t>Banco egreso no Flexxus</t>
        </is>
      </c>
      <c r="C822" s="8" t="inlineStr">
        <is>
          <t>Retención Ingresos Brutos Mendoza</t>
        </is>
      </c>
      <c r="D822" s="9" t="n">
        <v>341.66</v>
      </c>
      <c r="E822" s="8" t="inlineStr">
        <is>
          <t>ABIERTO_NUEVO</t>
        </is>
      </c>
      <c r="F822" s="8" t="inlineStr">
        <is>
          <t>Banco / impuesto / gasto</t>
        </is>
      </c>
      <c r="G822" s="8" t="inlineStr">
        <is>
          <t>Copiar en Flexxus: Tipo=MB-EXT | Movimiento=INGRESOS BRUTOS MENDOZA | Monto=341,66 | Fecha: 23/04/2026</t>
        </is>
      </c>
    </row>
    <row r="823">
      <c r="A823" s="8" t="inlineStr">
        <is>
          <t>Administración/Banco</t>
        </is>
      </c>
      <c r="B823" s="8" t="inlineStr">
        <is>
          <t>Banco egreso no Flexxus</t>
        </is>
      </c>
      <c r="C823" s="8" t="inlineStr">
        <is>
          <t>Retención Ingresos Brutos Mendoza</t>
        </is>
      </c>
      <c r="D823" s="9" t="n">
        <v>113.89</v>
      </c>
      <c r="E823" s="8" t="inlineStr">
        <is>
          <t>ABIERTO_NUEVO</t>
        </is>
      </c>
      <c r="F823" s="8" t="inlineStr">
        <is>
          <t>Banco / impuesto / gasto</t>
        </is>
      </c>
      <c r="G823" s="8" t="inlineStr">
        <is>
          <t>Copiar en Flexxus: Tipo=MB-EXT | Movimiento=INGRESOS BRUTOS MENDOZA | Monto=113,89 | Fecha: 23/04/2026</t>
        </is>
      </c>
    </row>
    <row r="824">
      <c r="A824" s="8" t="inlineStr">
        <is>
          <t>Administración/Banco</t>
        </is>
      </c>
      <c r="B824" s="8" t="inlineStr">
        <is>
          <t>Banco egreso no Flexxus</t>
        </is>
      </c>
      <c r="C824" s="8" t="inlineStr">
        <is>
          <t>Retención Ingresos Brutos Mendoza</t>
        </is>
      </c>
      <c r="D824" s="9" t="n">
        <v>332.75</v>
      </c>
      <c r="E824" s="8" t="inlineStr">
        <is>
          <t>ABIERTO_NUEVO</t>
        </is>
      </c>
      <c r="F824" s="8" t="inlineStr">
        <is>
          <t>Banco / impuesto / gasto</t>
        </is>
      </c>
      <c r="G824" s="8" t="inlineStr">
        <is>
          <t>Copiar en Flexxus: Tipo=MB-EXT | Movimiento=INGRESOS BRUTOS MENDOZA | Monto=332,75 | Fecha: 23/04/2026</t>
        </is>
      </c>
    </row>
    <row r="825">
      <c r="A825" s="8" t="inlineStr">
        <is>
          <t>Administración/Banco</t>
        </is>
      </c>
      <c r="B825" s="8" t="inlineStr">
        <is>
          <t>Banco egreso no Flexxus</t>
        </is>
      </c>
      <c r="C825" s="8" t="inlineStr">
        <is>
          <t>Retención Ingresos Brutos Mendoza</t>
        </is>
      </c>
      <c r="D825" s="9" t="n">
        <v>158.45</v>
      </c>
      <c r="E825" s="8" t="inlineStr">
        <is>
          <t>ABIERTO_NUEVO</t>
        </is>
      </c>
      <c r="F825" s="8" t="inlineStr">
        <is>
          <t>Banco / impuesto / gasto</t>
        </is>
      </c>
      <c r="G825" s="8" t="inlineStr">
        <is>
          <t>Copiar en Flexxus: Tipo=MB-EXT | Movimiento=INGRESOS BRUTOS MENDOZA | Monto=158,45 | Fecha: 23/04/2026</t>
        </is>
      </c>
    </row>
    <row r="826">
      <c r="A826" s="8" t="inlineStr">
        <is>
          <t>Administración/Banco</t>
        </is>
      </c>
      <c r="B826" s="8" t="inlineStr">
        <is>
          <t>Banco egreso no Flexxus</t>
        </is>
      </c>
      <c r="C826" s="8" t="inlineStr">
        <is>
          <t>Retención Ingresos Brutos Mendoza</t>
        </is>
      </c>
      <c r="D826" s="9" t="n">
        <v>180.24</v>
      </c>
      <c r="E826" s="8" t="inlineStr">
        <is>
          <t>ABIERTO_NUEVO</t>
        </is>
      </c>
      <c r="F826" s="8" t="inlineStr">
        <is>
          <t>Banco / impuesto / gasto</t>
        </is>
      </c>
      <c r="G826" s="8" t="inlineStr">
        <is>
          <t>Copiar en Flexxus: Tipo=MB-EXT | Movimiento=INGRESOS BRUTOS MENDOZA | Monto=180,24 | Fecha: 23/04/2026</t>
        </is>
      </c>
    </row>
    <row r="827">
      <c r="A827" s="8" t="inlineStr">
        <is>
          <t>Administración/Banco</t>
        </is>
      </c>
      <c r="B827" s="8" t="inlineStr">
        <is>
          <t>Banco egreso no Flexxus</t>
        </is>
      </c>
      <c r="C827" s="8" t="inlineStr">
        <is>
          <t>Retención Ingresos Brutos Mendoza</t>
        </is>
      </c>
      <c r="D827" s="9" t="n">
        <v>243.62</v>
      </c>
      <c r="E827" s="8" t="inlineStr">
        <is>
          <t>ABIERTO_NUEVO</t>
        </is>
      </c>
      <c r="F827" s="8" t="inlineStr">
        <is>
          <t>Banco / impuesto / gasto</t>
        </is>
      </c>
      <c r="G827" s="8" t="inlineStr">
        <is>
          <t>Copiar en Flexxus: Tipo=MB-EXT | Movimiento=INGRESOS BRUTOS MENDOZA | Monto=243,62 | Fecha: 23/04/2026</t>
        </is>
      </c>
    </row>
    <row r="828">
      <c r="A828" s="8" t="inlineStr">
        <is>
          <t>Administración/Banco</t>
        </is>
      </c>
      <c r="B828" s="8" t="inlineStr">
        <is>
          <t>Banco egreso no Flexxus</t>
        </is>
      </c>
      <c r="C828" s="8" t="inlineStr">
        <is>
          <t>Retención Ingresos Brutos Mendoza</t>
        </is>
      </c>
      <c r="D828" s="9" t="n">
        <v>1539.95</v>
      </c>
      <c r="E828" s="8" t="inlineStr">
        <is>
          <t>ABIERTO_NUEVO</t>
        </is>
      </c>
      <c r="F828" s="8" t="inlineStr">
        <is>
          <t>Banco / impuesto / gasto</t>
        </is>
      </c>
      <c r="G828" s="8" t="inlineStr">
        <is>
          <t>Copiar en Flexxus: Tipo=MB-EXT | Movimiento=INGRESOS BRUTOS MENDOZA | Monto=1.539,95 | Fecha: 23/04/2026</t>
        </is>
      </c>
    </row>
    <row r="829">
      <c r="A829" s="8" t="inlineStr">
        <is>
          <t>Administración/Banco</t>
        </is>
      </c>
      <c r="B829" s="8" t="inlineStr">
        <is>
          <t>Banco egreso no Flexxus</t>
        </is>
      </c>
      <c r="C829" s="8" t="inlineStr">
        <is>
          <t>Retención Ingresos Brutos Mendoza</t>
        </is>
      </c>
      <c r="D829" s="9" t="n">
        <v>672.4299999999999</v>
      </c>
      <c r="E829" s="8" t="inlineStr">
        <is>
          <t>ABIERTO_NUEVO</t>
        </is>
      </c>
      <c r="F829" s="8" t="inlineStr">
        <is>
          <t>Banco / impuesto / gasto</t>
        </is>
      </c>
      <c r="G829" s="8" t="inlineStr">
        <is>
          <t>Copiar en Flexxus: Tipo=MB-EXT | Movimiento=INGRESOS BRUTOS MENDOZA | Monto=672,43 | Fecha: 22/04/2026</t>
        </is>
      </c>
    </row>
    <row r="830">
      <c r="A830" s="8" t="inlineStr">
        <is>
          <t>Administración/Banco</t>
        </is>
      </c>
      <c r="B830" s="8" t="inlineStr">
        <is>
          <t>Banco egreso no Flexxus</t>
        </is>
      </c>
      <c r="C830" s="8" t="inlineStr">
        <is>
          <t>Retención Ingresos Brutos Mendoza</t>
        </is>
      </c>
      <c r="D830" s="9" t="n">
        <v>906.14</v>
      </c>
      <c r="E830" s="8" t="inlineStr">
        <is>
          <t>ABIERTO_NUEVO</t>
        </is>
      </c>
      <c r="F830" s="8" t="inlineStr">
        <is>
          <t>Banco / impuesto / gasto</t>
        </is>
      </c>
      <c r="G830" s="8" t="inlineStr">
        <is>
          <t>Copiar en Flexxus: Tipo=MB-EXT | Movimiento=INGRESOS BRUTOS MENDOZA | Monto=906,14 | Fecha: 22/04/2026</t>
        </is>
      </c>
    </row>
    <row r="831">
      <c r="A831" s="8" t="inlineStr">
        <is>
          <t>Administración/Banco</t>
        </is>
      </c>
      <c r="B831" s="8" t="inlineStr">
        <is>
          <t>Banco egreso no Flexxus</t>
        </is>
      </c>
      <c r="C831" s="8" t="inlineStr">
        <is>
          <t>Retención Ingresos Brutos Mendoza</t>
        </is>
      </c>
      <c r="D831" s="9" t="n">
        <v>227.77</v>
      </c>
      <c r="E831" s="8" t="inlineStr">
        <is>
          <t>ABIERTO_NUEVO</t>
        </is>
      </c>
      <c r="F831" s="8" t="inlineStr">
        <is>
          <t>Banco / impuesto / gasto</t>
        </is>
      </c>
      <c r="G831" s="8" t="inlineStr">
        <is>
          <t>Copiar en Flexxus: Tipo=MB-EXT | Movimiento=INGRESOS BRUTOS MENDOZA | Monto=227,77 | Fecha: 22/04/2026</t>
        </is>
      </c>
    </row>
    <row r="832">
      <c r="A832" s="8" t="inlineStr">
        <is>
          <t>Administración/Banco</t>
        </is>
      </c>
      <c r="B832" s="8" t="inlineStr">
        <is>
          <t>Banco egreso no Flexxus</t>
        </is>
      </c>
      <c r="C832" s="8" t="inlineStr">
        <is>
          <t>Retención Ingresos Brutos Mendoza</t>
        </is>
      </c>
      <c r="D832" s="9" t="n">
        <v>255.5</v>
      </c>
      <c r="E832" s="8" t="inlineStr">
        <is>
          <t>ABIERTO_NUEVO</t>
        </is>
      </c>
      <c r="F832" s="8" t="inlineStr">
        <is>
          <t>Banco / impuesto / gasto</t>
        </is>
      </c>
      <c r="G832" s="8" t="inlineStr">
        <is>
          <t>Copiar en Flexxus: Tipo=MB-EXT | Movimiento=INGRESOS BRUTOS MENDOZA | Monto=255,50 | Fecha: 22/04/2026</t>
        </is>
      </c>
    </row>
    <row r="833">
      <c r="A833" s="8" t="inlineStr">
        <is>
          <t>Administración/Banco</t>
        </is>
      </c>
      <c r="B833" s="8" t="inlineStr">
        <is>
          <t>Banco egreso no Flexxus</t>
        </is>
      </c>
      <c r="C833" s="8" t="inlineStr">
        <is>
          <t>Retención Ingresos Brutos Mendoza</t>
        </is>
      </c>
      <c r="D833" s="9" t="n">
        <v>89.13</v>
      </c>
      <c r="E833" s="8" t="inlineStr">
        <is>
          <t>ABIERTO_NUEVO</t>
        </is>
      </c>
      <c r="F833" s="8" t="inlineStr">
        <is>
          <t>Banco / impuesto / gasto</t>
        </is>
      </c>
      <c r="G833" s="8" t="inlineStr">
        <is>
          <t>Copiar en Flexxus: Tipo=MB-EXT | Movimiento=INGRESOS BRUTOS MENDOZA | Monto=89,13 | Fecha: 22/04/2026</t>
        </is>
      </c>
    </row>
    <row r="834">
      <c r="A834" s="8" t="inlineStr">
        <is>
          <t>Administración/Banco</t>
        </is>
      </c>
      <c r="B834" s="8" t="inlineStr">
        <is>
          <t>Banco egreso no Flexxus</t>
        </is>
      </c>
      <c r="C834" s="8" t="inlineStr">
        <is>
          <t>Retención Ingresos Brutos Mendoza</t>
        </is>
      </c>
      <c r="D834" s="9" t="n">
        <v>133.69</v>
      </c>
      <c r="E834" s="8" t="inlineStr">
        <is>
          <t>ABIERTO_NUEVO</t>
        </is>
      </c>
      <c r="F834" s="8" t="inlineStr">
        <is>
          <t>Banco / impuesto / gasto</t>
        </is>
      </c>
      <c r="G834" s="8" t="inlineStr">
        <is>
          <t>Copiar en Flexxus: Tipo=MB-EXT | Movimiento=INGRESOS BRUTOS MENDOZA | Monto=133,69 | Fecha: 22/04/2026</t>
        </is>
      </c>
    </row>
    <row r="835">
      <c r="A835" s="8" t="inlineStr">
        <is>
          <t>Administración/Banco</t>
        </is>
      </c>
      <c r="B835" s="8" t="inlineStr">
        <is>
          <t>Banco egreso no Flexxus</t>
        </is>
      </c>
      <c r="C835" s="8" t="inlineStr">
        <is>
          <t>Retención Ingresos Brutos Mendoza</t>
        </is>
      </c>
      <c r="D835" s="9" t="n">
        <v>113.89</v>
      </c>
      <c r="E835" s="8" t="inlineStr">
        <is>
          <t>ABIERTO_NUEVO</t>
        </is>
      </c>
      <c r="F835" s="8" t="inlineStr">
        <is>
          <t>Banco / impuesto / gasto</t>
        </is>
      </c>
      <c r="G835" s="8" t="inlineStr">
        <is>
          <t>Copiar en Flexxus: Tipo=MB-EXT | Movimiento=INGRESOS BRUTOS MENDOZA | Monto=113,89 | Fecha: 22/04/2026</t>
        </is>
      </c>
    </row>
    <row r="836">
      <c r="A836" s="8" t="inlineStr">
        <is>
          <t>Administración/Banco</t>
        </is>
      </c>
      <c r="B836" s="8" t="inlineStr">
        <is>
          <t>Banco egreso no Flexxus</t>
        </is>
      </c>
      <c r="C836" s="8" t="inlineStr">
        <is>
          <t>Retención Ingresos Brutos Mendoza</t>
        </is>
      </c>
      <c r="D836" s="9" t="n">
        <v>133.69</v>
      </c>
      <c r="E836" s="8" t="inlineStr">
        <is>
          <t>ABIERTO_NUEVO</t>
        </is>
      </c>
      <c r="F836" s="8" t="inlineStr">
        <is>
          <t>Banco / impuesto / gasto</t>
        </is>
      </c>
      <c r="G836" s="8" t="inlineStr">
        <is>
          <t>Copiar en Flexxus: Tipo=MB-EXT | Movimiento=INGRESOS BRUTOS MENDOZA | Monto=133,69 | Fecha: 22/04/2026</t>
        </is>
      </c>
    </row>
    <row r="837">
      <c r="A837" s="8" t="inlineStr">
        <is>
          <t>Administración/Banco</t>
        </is>
      </c>
      <c r="B837" s="8" t="inlineStr">
        <is>
          <t>Banco egreso no Flexxus</t>
        </is>
      </c>
      <c r="C837" s="8" t="inlineStr">
        <is>
          <t>Retención Ingresos Brutos Mendoza</t>
        </is>
      </c>
      <c r="D837" s="9" t="n">
        <v>1007.16</v>
      </c>
      <c r="E837" s="8" t="inlineStr">
        <is>
          <t>ABIERTO_NUEVO</t>
        </is>
      </c>
      <c r="F837" s="8" t="inlineStr">
        <is>
          <t>Banco / impuesto / gasto</t>
        </is>
      </c>
      <c r="G837" s="8" t="inlineStr">
        <is>
          <t>Copiar en Flexxus: Tipo=MB-EXT | Movimiento=INGRESOS BRUTOS MENDOZA | Monto=1.007,16 | Fecha: 22/04/2026</t>
        </is>
      </c>
    </row>
    <row r="838">
      <c r="A838" s="8" t="inlineStr">
        <is>
          <t>Administración/Banco</t>
        </is>
      </c>
      <c r="B838" s="8" t="inlineStr">
        <is>
          <t>Banco egreso no Flexxus</t>
        </is>
      </c>
      <c r="C838" s="8" t="inlineStr">
        <is>
          <t>Retención Ingresos Brutos Mendoza</t>
        </is>
      </c>
      <c r="D838" s="9" t="n">
        <v>722.9299999999999</v>
      </c>
      <c r="E838" s="8" t="inlineStr">
        <is>
          <t>ABIERTO_NUEVO</t>
        </is>
      </c>
      <c r="F838" s="8" t="inlineStr">
        <is>
          <t>Banco / impuesto / gasto</t>
        </is>
      </c>
      <c r="G838" s="8" t="inlineStr">
        <is>
          <t>Copiar en Flexxus: Tipo=MB-EXT | Movimiento=INGRESOS BRUTOS MENDOZA | Monto=722,93 | Fecha: 22/04/2026</t>
        </is>
      </c>
    </row>
    <row r="839">
      <c r="A839" s="8" t="inlineStr">
        <is>
          <t>Administración/Banco</t>
        </is>
      </c>
      <c r="B839" s="8" t="inlineStr">
        <is>
          <t>Banco egreso no Flexxus</t>
        </is>
      </c>
      <c r="C839" s="8" t="inlineStr">
        <is>
          <t>Retención Ingresos Brutos Mendoza</t>
        </is>
      </c>
      <c r="D839" s="9" t="n">
        <v>189.15</v>
      </c>
      <c r="E839" s="8" t="inlineStr">
        <is>
          <t>ABIERTO_NUEVO</t>
        </is>
      </c>
      <c r="F839" s="8" t="inlineStr">
        <is>
          <t>Banco / impuesto / gasto</t>
        </is>
      </c>
      <c r="G839" s="8" t="inlineStr">
        <is>
          <t>Copiar en Flexxus: Tipo=MB-EXT | Movimiento=INGRESOS BRUTOS MENDOZA | Monto=189,15 | Fecha: 22/04/2026</t>
        </is>
      </c>
    </row>
    <row r="840">
      <c r="A840" s="8" t="inlineStr">
        <is>
          <t>Administración/Banco</t>
        </is>
      </c>
      <c r="B840" s="8" t="inlineStr">
        <is>
          <t>Banco egreso no Flexxus</t>
        </is>
      </c>
      <c r="C840" s="8" t="inlineStr">
        <is>
          <t>Retención Ingresos Brutos Mendoza</t>
        </is>
      </c>
      <c r="D840" s="9" t="n">
        <v>525.86</v>
      </c>
      <c r="E840" s="8" t="inlineStr">
        <is>
          <t>ABIERTO_NUEVO</t>
        </is>
      </c>
      <c r="F840" s="8" t="inlineStr">
        <is>
          <t>Banco / impuesto / gasto</t>
        </is>
      </c>
      <c r="G840" s="8" t="inlineStr">
        <is>
          <t>Copiar en Flexxus: Tipo=MB-EXT | Movimiento=INGRESOS BRUTOS MENDOZA | Monto=525,86 | Fecha: 22/04/2026</t>
        </is>
      </c>
    </row>
    <row r="841">
      <c r="A841" s="8" t="inlineStr">
        <is>
          <t>Administración/Banco</t>
        </is>
      </c>
      <c r="B841" s="8" t="inlineStr">
        <is>
          <t>Banco egreso no Flexxus</t>
        </is>
      </c>
      <c r="C841" s="8" t="inlineStr">
        <is>
          <t>Retención Ingresos Brutos Mendoza</t>
        </is>
      </c>
      <c r="D841" s="9" t="n">
        <v>2108.53</v>
      </c>
      <c r="E841" s="8" t="inlineStr">
        <is>
          <t>ABIERTO_NUEVO</t>
        </is>
      </c>
      <c r="F841" s="8" t="inlineStr">
        <is>
          <t>Banco / impuesto / gasto</t>
        </is>
      </c>
      <c r="G841" s="8" t="inlineStr">
        <is>
          <t>Copiar en Flexxus: Tipo=MB-EXT | Movimiento=INGRESOS BRUTOS MENDOZA | Monto=2.108,53 | Fecha: 22/04/2026</t>
        </is>
      </c>
    </row>
    <row r="842">
      <c r="A842" s="8" t="inlineStr">
        <is>
          <t>Administración/Banco</t>
        </is>
      </c>
      <c r="B842" s="8" t="inlineStr">
        <is>
          <t>Banco egreso no Flexxus</t>
        </is>
      </c>
      <c r="C842" s="8" t="inlineStr">
        <is>
          <t>Retención Ingresos Brutos Mendoza</t>
        </is>
      </c>
      <c r="D842" s="9" t="n">
        <v>702.4</v>
      </c>
      <c r="E842" s="8" t="inlineStr">
        <is>
          <t>ABIERTO_NUEVO</t>
        </is>
      </c>
      <c r="F842" s="8" t="inlineStr">
        <is>
          <t>Banco / impuesto / gasto</t>
        </is>
      </c>
      <c r="G842" s="8" t="inlineStr">
        <is>
          <t>Copiar en Flexxus: Tipo=MB-EXT | Movimiento=INGRESOS BRUTOS MENDOZA | Monto=702,40 | Fecha: 22/04/2026</t>
        </is>
      </c>
    </row>
    <row r="843">
      <c r="A843" s="8" t="inlineStr">
        <is>
          <t>Administración/Banco</t>
        </is>
      </c>
      <c r="B843" s="8" t="inlineStr">
        <is>
          <t>Banco egreso no Flexxus</t>
        </is>
      </c>
      <c r="C843" s="8" t="inlineStr">
        <is>
          <t>Retención Ingresos Brutos Mendoza</t>
        </is>
      </c>
      <c r="D843" s="9" t="n">
        <v>271.67</v>
      </c>
      <c r="E843" s="8" t="inlineStr">
        <is>
          <t>ABIERTO_NUEVO</t>
        </is>
      </c>
      <c r="F843" s="8" t="inlineStr">
        <is>
          <t>Banco / impuesto / gasto</t>
        </is>
      </c>
      <c r="G843" s="8" t="inlineStr">
        <is>
          <t>Copiar en Flexxus: Tipo=MB-EXT | Movimiento=INGRESOS BRUTOS MENDOZA | Monto=271,67 | Fecha: 22/04/2026</t>
        </is>
      </c>
    </row>
    <row r="844">
      <c r="A844" s="8" t="inlineStr">
        <is>
          <t>Administración/Banco</t>
        </is>
      </c>
      <c r="B844" s="8" t="inlineStr">
        <is>
          <t>Banco egreso no Flexxus</t>
        </is>
      </c>
      <c r="C844" s="8" t="inlineStr">
        <is>
          <t>Retención Ingresos Brutos Mendoza</t>
        </is>
      </c>
      <c r="D844" s="9" t="n">
        <v>908.87</v>
      </c>
      <c r="E844" s="8" t="inlineStr">
        <is>
          <t>ABIERTO_NUEVO</t>
        </is>
      </c>
      <c r="F844" s="8" t="inlineStr">
        <is>
          <t>Banco / impuesto / gasto</t>
        </is>
      </c>
      <c r="G844" s="8" t="inlineStr">
        <is>
          <t>Copiar en Flexxus: Tipo=MB-EXT | Movimiento=INGRESOS BRUTOS MENDOZA | Monto=908,87 | Fecha: 22/04/2026</t>
        </is>
      </c>
    </row>
    <row r="845">
      <c r="A845" s="8" t="inlineStr">
        <is>
          <t>Administración/Banco</t>
        </is>
      </c>
      <c r="B845" s="8" t="inlineStr">
        <is>
          <t>Banco egreso no Flexxus</t>
        </is>
      </c>
      <c r="C845" s="8" t="inlineStr">
        <is>
          <t>Retención Ingresos Brutos Mendoza</t>
        </is>
      </c>
      <c r="D845" s="9" t="n">
        <v>587.8</v>
      </c>
      <c r="E845" s="8" t="inlineStr">
        <is>
          <t>ABIERTO_NUEVO</t>
        </is>
      </c>
      <c r="F845" s="8" t="inlineStr">
        <is>
          <t>Banco / impuesto / gasto</t>
        </is>
      </c>
      <c r="G845" s="8" t="inlineStr">
        <is>
          <t>Copiar en Flexxus: Tipo=MB-EXT | Movimiento=INGRESOS BRUTOS MENDOZA | Monto=587,80 | Fecha: 22/04/2026</t>
        </is>
      </c>
    </row>
    <row r="846">
      <c r="A846" s="8" t="inlineStr">
        <is>
          <t>Administración/Banco</t>
        </is>
      </c>
      <c r="B846" s="8" t="inlineStr">
        <is>
          <t>Banco egreso no Flexxus</t>
        </is>
      </c>
      <c r="C846" s="8" t="inlineStr">
        <is>
          <t>Retención Ingresos Brutos Mendoza</t>
        </is>
      </c>
      <c r="D846" s="9" t="n">
        <v>154.11</v>
      </c>
      <c r="E846" s="8" t="inlineStr">
        <is>
          <t>ABIERTO_NUEVO</t>
        </is>
      </c>
      <c r="F846" s="8" t="inlineStr">
        <is>
          <t>Banco / impuesto / gasto</t>
        </is>
      </c>
      <c r="G846" s="8" t="inlineStr">
        <is>
          <t>Copiar en Flexxus: Tipo=MB-EXT | Movimiento=INGRESOS BRUTOS MENDOZA | Monto=154,11 | Fecha: 22/04/2026</t>
        </is>
      </c>
    </row>
    <row r="847">
      <c r="A847" s="8" t="inlineStr">
        <is>
          <t>Administración/Banco</t>
        </is>
      </c>
      <c r="B847" s="8" t="inlineStr">
        <is>
          <t>Banco egreso no Flexxus</t>
        </is>
      </c>
      <c r="C847" s="8" t="inlineStr">
        <is>
          <t>Retención Ingresos Brutos Mendoza</t>
        </is>
      </c>
      <c r="D847" s="9" t="n">
        <v>326.99</v>
      </c>
      <c r="E847" s="8" t="inlineStr">
        <is>
          <t>ABIERTO_NUEVO</t>
        </is>
      </c>
      <c r="F847" s="8" t="inlineStr">
        <is>
          <t>Banco / impuesto / gasto</t>
        </is>
      </c>
      <c r="G847" s="8" t="inlineStr">
        <is>
          <t>Copiar en Flexxus: Tipo=MB-EXT | Movimiento=INGRESOS BRUTOS MENDOZA | Monto=326,99 | Fecha: 22/04/2026</t>
        </is>
      </c>
    </row>
    <row r="848">
      <c r="A848" s="8" t="inlineStr">
        <is>
          <t>Administración/Banco</t>
        </is>
      </c>
      <c r="B848" s="8" t="inlineStr">
        <is>
          <t>Banco egreso no Flexxus</t>
        </is>
      </c>
      <c r="C848" s="8" t="inlineStr">
        <is>
          <t>Retención Ingresos Brutos Mendoza</t>
        </is>
      </c>
      <c r="D848" s="9" t="n">
        <v>123.79</v>
      </c>
      <c r="E848" s="8" t="inlineStr">
        <is>
          <t>ABIERTO_NUEVO</t>
        </is>
      </c>
      <c r="F848" s="8" t="inlineStr">
        <is>
          <t>Banco / impuesto / gasto</t>
        </is>
      </c>
      <c r="G848" s="8" t="inlineStr">
        <is>
          <t>Copiar en Flexxus: Tipo=MB-EXT | Movimiento=INGRESOS BRUTOS MENDOZA | Monto=123,79 | Fecha: 22/04/2026</t>
        </is>
      </c>
    </row>
    <row r="849">
      <c r="A849" s="8" t="inlineStr">
        <is>
          <t>Administración/Banco</t>
        </is>
      </c>
      <c r="B849" s="8" t="inlineStr">
        <is>
          <t>Banco egreso no Flexxus</t>
        </is>
      </c>
      <c r="C849" s="8" t="inlineStr">
        <is>
          <t>Retención Ingresos Brutos Mendoza</t>
        </is>
      </c>
      <c r="D849" s="9" t="n">
        <v>378.37</v>
      </c>
      <c r="E849" s="8" t="inlineStr">
        <is>
          <t>ABIERTO_NUEVO</t>
        </is>
      </c>
      <c r="F849" s="8" t="inlineStr">
        <is>
          <t>Banco / impuesto / gasto</t>
        </is>
      </c>
      <c r="G849" s="8" t="inlineStr">
        <is>
          <t>Copiar en Flexxus: Tipo=MB-EXT | Movimiento=INGRESOS BRUTOS MENDOZA | Monto=378,37 | Fecha: 22/04/2026</t>
        </is>
      </c>
    </row>
    <row r="850">
      <c r="A850" s="8" t="inlineStr">
        <is>
          <t>Administración/Banco</t>
        </is>
      </c>
      <c r="B850" s="8" t="inlineStr">
        <is>
          <t>Banco egreso no Flexxus</t>
        </is>
      </c>
      <c r="C850" s="8" t="inlineStr">
        <is>
          <t>Retención Ingresos Brutos Mendoza</t>
        </is>
      </c>
      <c r="D850" s="9" t="n">
        <v>297.36</v>
      </c>
      <c r="E850" s="8" t="inlineStr">
        <is>
          <t>ABIERTO_NUEVO</t>
        </is>
      </c>
      <c r="F850" s="8" t="inlineStr">
        <is>
          <t>Banco / impuesto / gasto</t>
        </is>
      </c>
      <c r="G850" s="8" t="inlineStr">
        <is>
          <t>Copiar en Flexxus: Tipo=MB-EXT | Movimiento=INGRESOS BRUTOS MENDOZA | Monto=297,36 | Fecha: 22/04/2026</t>
        </is>
      </c>
    </row>
    <row r="851">
      <c r="A851" s="8" t="inlineStr">
        <is>
          <t>Administración/Banco</t>
        </is>
      </c>
      <c r="B851" s="8" t="inlineStr">
        <is>
          <t>Banco egreso no Flexxus</t>
        </is>
      </c>
      <c r="C851" s="8" t="inlineStr">
        <is>
          <t>Retención Ingresos Brutos Mendoza</t>
        </is>
      </c>
      <c r="D851" s="9" t="n">
        <v>1243.77</v>
      </c>
      <c r="E851" s="8" t="inlineStr">
        <is>
          <t>ABIERTO_NUEVO</t>
        </is>
      </c>
      <c r="F851" s="8" t="inlineStr">
        <is>
          <t>Banco / impuesto / gasto</t>
        </is>
      </c>
      <c r="G851" s="8" t="inlineStr">
        <is>
          <t>Copiar en Flexxus: Tipo=MB-EXT | Movimiento=INGRESOS BRUTOS MENDOZA | Monto=1.243,77 | Fecha: 22/04/2026</t>
        </is>
      </c>
    </row>
    <row r="852">
      <c r="A852" s="8" t="inlineStr">
        <is>
          <t>Administración/Banco</t>
        </is>
      </c>
      <c r="B852" s="8" t="inlineStr">
        <is>
          <t>Banco egreso no Flexxus</t>
        </is>
      </c>
      <c r="C852" s="8" t="inlineStr">
        <is>
          <t>Retención Ingresos Brutos Mendoza</t>
        </is>
      </c>
      <c r="D852" s="9" t="n">
        <v>1950.47</v>
      </c>
      <c r="E852" s="8" t="inlineStr">
        <is>
          <t>ABIERTO_NUEVO</t>
        </is>
      </c>
      <c r="F852" s="8" t="inlineStr">
        <is>
          <t>Banco / impuesto / gasto</t>
        </is>
      </c>
      <c r="G852" s="8" t="inlineStr">
        <is>
          <t>Copiar en Flexxus: Tipo=MB-EXT | Movimiento=INGRESOS BRUTOS MENDOZA | Monto=1.950,47 | Fecha: 22/04/2026</t>
        </is>
      </c>
    </row>
    <row r="853">
      <c r="A853" s="8" t="inlineStr">
        <is>
          <t>Administración/Banco</t>
        </is>
      </c>
      <c r="B853" s="8" t="inlineStr">
        <is>
          <t>Banco egreso no Flexxus</t>
        </is>
      </c>
      <c r="C853" s="8" t="inlineStr">
        <is>
          <t>Retención Ingresos Brutos Mendoza</t>
        </is>
      </c>
      <c r="D853" s="9" t="n">
        <v>2938.91</v>
      </c>
      <c r="E853" s="8" t="inlineStr">
        <is>
          <t>ABIERTO_NUEVO</t>
        </is>
      </c>
      <c r="F853" s="8" t="inlineStr">
        <is>
          <t>Banco / impuesto / gasto</t>
        </is>
      </c>
      <c r="G853" s="8" t="inlineStr">
        <is>
          <t>Copiar en Flexxus: Tipo=MB-EXT | Movimiento=INGRESOS BRUTOS MENDOZA | Monto=2.938,91 | Fecha: 22/04/2026</t>
        </is>
      </c>
    </row>
    <row r="854">
      <c r="A854" s="8" t="inlineStr">
        <is>
          <t>Administración/Banco</t>
        </is>
      </c>
      <c r="B854" s="8" t="inlineStr">
        <is>
          <t>Banco egreso no Flexxus</t>
        </is>
      </c>
      <c r="C854" s="8" t="inlineStr">
        <is>
          <t>Retención Ingresos Brutos Mendoza</t>
        </is>
      </c>
      <c r="D854" s="9" t="n">
        <v>239.66</v>
      </c>
      <c r="E854" s="8" t="inlineStr">
        <is>
          <t>ABIERTO_NUEVO</t>
        </is>
      </c>
      <c r="F854" s="8" t="inlineStr">
        <is>
          <t>Banco / impuesto / gasto</t>
        </is>
      </c>
      <c r="G854" s="8" t="inlineStr">
        <is>
          <t>Copiar en Flexxus: Tipo=MB-EXT | Movimiento=INGRESOS BRUTOS MENDOZA | Monto=239,66 | Fecha: 22/04/2026</t>
        </is>
      </c>
    </row>
    <row r="855">
      <c r="A855" s="8" t="inlineStr">
        <is>
          <t>Administración/Banco</t>
        </is>
      </c>
      <c r="B855" s="8" t="inlineStr">
        <is>
          <t>Banco egreso no Flexxus</t>
        </is>
      </c>
      <c r="C855" s="8" t="inlineStr">
        <is>
          <t>Retención Ingresos Brutos Mendoza</t>
        </is>
      </c>
      <c r="D855" s="9" t="n">
        <v>377.59</v>
      </c>
      <c r="E855" s="8" t="inlineStr">
        <is>
          <t>ABIERTO_NUEVO</t>
        </is>
      </c>
      <c r="F855" s="8" t="inlineStr">
        <is>
          <t>Banco / impuesto / gasto</t>
        </is>
      </c>
      <c r="G855" s="8" t="inlineStr">
        <is>
          <t>Copiar en Flexxus: Tipo=MB-EXT | Movimiento=INGRESOS BRUTOS MENDOZA | Monto=377,59 | Fecha: 22/04/2026</t>
        </is>
      </c>
    </row>
    <row r="856">
      <c r="A856" s="8" t="inlineStr">
        <is>
          <t>Administración/Banco</t>
        </is>
      </c>
      <c r="B856" s="8" t="inlineStr">
        <is>
          <t>Banco egreso no Flexxus</t>
        </is>
      </c>
      <c r="C856" s="8" t="inlineStr">
        <is>
          <t>Retención Ingresos Brutos Mendoza</t>
        </is>
      </c>
      <c r="D856" s="9" t="n">
        <v>377.59</v>
      </c>
      <c r="E856" s="8" t="inlineStr">
        <is>
          <t>ABIERTO_NUEVO</t>
        </is>
      </c>
      <c r="F856" s="8" t="inlineStr">
        <is>
          <t>Banco / impuesto / gasto</t>
        </is>
      </c>
      <c r="G856" s="8" t="inlineStr">
        <is>
          <t>Copiar en Flexxus: Tipo=MB-EXT | Movimiento=INGRESOS BRUTOS MENDOZA | Monto=377,59 | Fecha: 22/04/2026</t>
        </is>
      </c>
    </row>
    <row r="857">
      <c r="A857" s="8" t="inlineStr">
        <is>
          <t>Administración/Banco</t>
        </is>
      </c>
      <c r="B857" s="8" t="inlineStr">
        <is>
          <t>Banco egreso no Flexxus</t>
        </is>
      </c>
      <c r="C857" s="8" t="inlineStr">
        <is>
          <t>Retención Ingresos Brutos Mendoza</t>
        </is>
      </c>
      <c r="D857" s="9" t="n">
        <v>420.83</v>
      </c>
      <c r="E857" s="8" t="inlineStr">
        <is>
          <t>ABIERTO_NUEVO</t>
        </is>
      </c>
      <c r="F857" s="8" t="inlineStr">
        <is>
          <t>Banco / impuesto / gasto</t>
        </is>
      </c>
      <c r="G857" s="8" t="inlineStr">
        <is>
          <t>Copiar en Flexxus: Tipo=MB-EXT | Movimiento=INGRESOS BRUTOS MENDOZA | Monto=420,83 | Fecha: 22/04/2026</t>
        </is>
      </c>
    </row>
    <row r="858">
      <c r="A858" s="8" t="inlineStr">
        <is>
          <t>Administración/Banco</t>
        </is>
      </c>
      <c r="B858" s="8" t="inlineStr">
        <is>
          <t>Banco egreso no Flexxus</t>
        </is>
      </c>
      <c r="C858" s="8" t="inlineStr">
        <is>
          <t>Retención Ingresos Brutos Mendoza</t>
        </is>
      </c>
      <c r="D858" s="9" t="n">
        <v>1142.91</v>
      </c>
      <c r="E858" s="8" t="inlineStr">
        <is>
          <t>ABIERTO_NUEVO</t>
        </is>
      </c>
      <c r="F858" s="8" t="inlineStr">
        <is>
          <t>Banco / impuesto / gasto</t>
        </is>
      </c>
      <c r="G858" s="8" t="inlineStr">
        <is>
          <t>Copiar en Flexxus: Tipo=MB-EXT | Movimiento=INGRESOS BRUTOS MENDOZA | Monto=1.142,91 | Fecha: 22/04/2026</t>
        </is>
      </c>
    </row>
    <row r="859">
      <c r="A859" s="8" t="inlineStr">
        <is>
          <t>Administración/Banco</t>
        </is>
      </c>
      <c r="B859" s="8" t="inlineStr">
        <is>
          <t>Banco egreso no Flexxus</t>
        </is>
      </c>
      <c r="C859" s="8" t="inlineStr">
        <is>
          <t>Retención Ingresos Brutos Mendoza</t>
        </is>
      </c>
      <c r="D859" s="9" t="n">
        <v>1114.56</v>
      </c>
      <c r="E859" s="8" t="inlineStr">
        <is>
          <t>ABIERTO_NUEVO</t>
        </is>
      </c>
      <c r="F859" s="8" t="inlineStr">
        <is>
          <t>Banco / impuesto / gasto</t>
        </is>
      </c>
      <c r="G859" s="8" t="inlineStr">
        <is>
          <t>Copiar en Flexxus: Tipo=MB-EXT | Movimiento=INGRESOS BRUTOS MENDOZA | Monto=1.114,56 | Fecha: 22/04/2026</t>
        </is>
      </c>
    </row>
    <row r="860">
      <c r="A860" s="8" t="inlineStr">
        <is>
          <t>Administración/Banco</t>
        </is>
      </c>
      <c r="B860" s="8" t="inlineStr">
        <is>
          <t>Banco egreso no Flexxus</t>
        </is>
      </c>
      <c r="C860" s="8" t="inlineStr">
        <is>
          <t>Retención Ingresos Brutos Mendoza</t>
        </is>
      </c>
      <c r="D860" s="9" t="n">
        <v>7855.66</v>
      </c>
      <c r="E860" s="8" t="inlineStr">
        <is>
          <t>ABIERTO_NUEVO</t>
        </is>
      </c>
      <c r="F860" s="8" t="inlineStr">
        <is>
          <t>Banco / impuesto / gasto</t>
        </is>
      </c>
      <c r="G860" s="8" t="inlineStr">
        <is>
          <t>Copiar en Flexxus: Tipo=MB-EXT | Movimiento=INGRESOS BRUTOS MENDOZA | Monto=7.855,66 | Fecha: 22/04/2026</t>
        </is>
      </c>
    </row>
    <row r="861">
      <c r="A861" s="8" t="inlineStr">
        <is>
          <t>Administración/Banco</t>
        </is>
      </c>
      <c r="B861" s="8" t="inlineStr">
        <is>
          <t>Banco egreso no Flexxus</t>
        </is>
      </c>
      <c r="C861" s="8" t="inlineStr">
        <is>
          <t>Retención Ingresos Brutos Mendoza</t>
        </is>
      </c>
      <c r="D861" s="9" t="n">
        <v>17542.51</v>
      </c>
      <c r="E861" s="8" t="inlineStr">
        <is>
          <t>ABIERTO_NUEVO</t>
        </is>
      </c>
      <c r="F861" s="8" t="inlineStr">
        <is>
          <t>Banco / impuesto / gasto</t>
        </is>
      </c>
      <c r="G861" s="8" t="inlineStr">
        <is>
          <t>Copiar en Flexxus: Tipo=MB-EXT | Movimiento=INGRESOS BRUTOS MENDOZA | Monto=17.542,51 | Fecha: 22/04/2026</t>
        </is>
      </c>
    </row>
    <row r="862">
      <c r="A862" s="8" t="inlineStr">
        <is>
          <t>Administración/Banco</t>
        </is>
      </c>
      <c r="B862" s="8" t="inlineStr">
        <is>
          <t>Banco egreso no Flexxus</t>
        </is>
      </c>
      <c r="C862" s="8" t="inlineStr">
        <is>
          <t>Retención Ingresos Brutos Mendoza</t>
        </is>
      </c>
      <c r="D862" s="9" t="n">
        <v>1307.16</v>
      </c>
      <c r="E862" s="8" t="inlineStr">
        <is>
          <t>ABIERTO_NUEVO</t>
        </is>
      </c>
      <c r="F862" s="8" t="inlineStr">
        <is>
          <t>Banco / impuesto / gasto</t>
        </is>
      </c>
      <c r="G862" s="8" t="inlineStr">
        <is>
          <t>Copiar en Flexxus: Tipo=MB-EXT | Movimiento=INGRESOS BRUTOS MENDOZA | Monto=1.307,16 | Fecha: 22/04/2026</t>
        </is>
      </c>
    </row>
    <row r="863">
      <c r="A863" s="8" t="inlineStr">
        <is>
          <t>Administración/Banco</t>
        </is>
      </c>
      <c r="B863" s="8" t="inlineStr">
        <is>
          <t>Banco egreso no Flexxus</t>
        </is>
      </c>
      <c r="C863" s="8" t="inlineStr">
        <is>
          <t>Retención Ingresos Brutos Mendoza</t>
        </is>
      </c>
      <c r="D863" s="9" t="n">
        <v>428.46</v>
      </c>
      <c r="E863" s="8" t="inlineStr">
        <is>
          <t>ABIERTO_NUEVO</t>
        </is>
      </c>
      <c r="F863" s="8" t="inlineStr">
        <is>
          <t>Banco / impuesto / gasto</t>
        </is>
      </c>
      <c r="G863" s="8" t="inlineStr">
        <is>
          <t>Copiar en Flexxus: Tipo=MB-EXT | Movimiento=INGRESOS BRUTOS MENDOZA | Monto=428,46 | Fecha: 22/04/2026</t>
        </is>
      </c>
    </row>
    <row r="864">
      <c r="A864" s="8" t="inlineStr">
        <is>
          <t>Administración/Banco</t>
        </is>
      </c>
      <c r="B864" s="8" t="inlineStr">
        <is>
          <t>Banco egreso no Flexxus</t>
        </is>
      </c>
      <c r="C864" s="8" t="inlineStr">
        <is>
          <t>Retención Ingresos Brutos Mendoza</t>
        </is>
      </c>
      <c r="D864" s="9" t="n">
        <v>1250.65</v>
      </c>
      <c r="E864" s="8" t="inlineStr">
        <is>
          <t>ABIERTO_NUEVO</t>
        </is>
      </c>
      <c r="F864" s="8" t="inlineStr">
        <is>
          <t>Banco / impuesto / gasto</t>
        </is>
      </c>
      <c r="G864" s="8" t="inlineStr">
        <is>
          <t>Copiar en Flexxus: Tipo=MB-EXT | Movimiento=INGRESOS BRUTOS MENDOZA | Monto=1.250,65 | Fecha: 22/04/2026</t>
        </is>
      </c>
    </row>
    <row r="865">
      <c r="A865" s="8" t="inlineStr">
        <is>
          <t>Administración/Banco</t>
        </is>
      </c>
      <c r="B865" s="8" t="inlineStr">
        <is>
          <t>Banco egreso no Flexxus</t>
        </is>
      </c>
      <c r="C865" s="8" t="inlineStr">
        <is>
          <t>Retención Ingresos Brutos Mendoza</t>
        </is>
      </c>
      <c r="D865" s="9" t="n">
        <v>666.17</v>
      </c>
      <c r="E865" s="8" t="inlineStr">
        <is>
          <t>ABIERTO_NUEVO</t>
        </is>
      </c>
      <c r="F865" s="8" t="inlineStr">
        <is>
          <t>Banco / impuesto / gasto</t>
        </is>
      </c>
      <c r="G865" s="8" t="inlineStr">
        <is>
          <t>Copiar en Flexxus: Tipo=MB-EXT | Movimiento=INGRESOS BRUTOS MENDOZA | Monto=666,17 | Fecha: 22/04/2026</t>
        </is>
      </c>
    </row>
    <row r="866">
      <c r="A866" s="8" t="inlineStr">
        <is>
          <t>Administración/Banco</t>
        </is>
      </c>
      <c r="B866" s="8" t="inlineStr">
        <is>
          <t>Banco egreso no Flexxus</t>
        </is>
      </c>
      <c r="C866" s="8" t="inlineStr">
        <is>
          <t>Retención Ingresos Brutos Mendoza</t>
        </is>
      </c>
      <c r="D866" s="9" t="n">
        <v>132.06</v>
      </c>
      <c r="E866" s="8" t="inlineStr">
        <is>
          <t>ABIERTO_NUEVO</t>
        </is>
      </c>
      <c r="F866" s="8" t="inlineStr">
        <is>
          <t>Banco / impuesto / gasto</t>
        </is>
      </c>
      <c r="G866" s="8" t="inlineStr">
        <is>
          <t>Copiar en Flexxus: Tipo=MB-EXT | Movimiento=INGRESOS BRUTOS MENDOZA | Monto=132,06 | Fecha: 22/04/2026</t>
        </is>
      </c>
    </row>
    <row r="867">
      <c r="A867" s="8" t="inlineStr">
        <is>
          <t>Administración/Banco</t>
        </is>
      </c>
      <c r="B867" s="8" t="inlineStr">
        <is>
          <t>Banco egreso no Flexxus</t>
        </is>
      </c>
      <c r="C867" s="8" t="inlineStr">
        <is>
          <t>Retención Ingresos Brutos Mendoza</t>
        </is>
      </c>
      <c r="D867" s="9" t="n">
        <v>1960.25</v>
      </c>
      <c r="E867" s="8" t="inlineStr">
        <is>
          <t>ABIERTO_NUEVO</t>
        </is>
      </c>
      <c r="F867" s="8" t="inlineStr">
        <is>
          <t>Banco / impuesto / gasto</t>
        </is>
      </c>
      <c r="G867" s="8" t="inlineStr">
        <is>
          <t>Copiar en Flexxus: Tipo=MB-EXT | Movimiento=INGRESOS BRUTOS MENDOZA | Monto=1.960,25 | Fecha: 22/04/2026</t>
        </is>
      </c>
    </row>
    <row r="868">
      <c r="A868" s="8" t="inlineStr">
        <is>
          <t>Administración/Banco</t>
        </is>
      </c>
      <c r="B868" s="8" t="inlineStr">
        <is>
          <t>Banco egreso no Flexxus</t>
        </is>
      </c>
      <c r="C868" s="8" t="inlineStr">
        <is>
          <t>Retención Ingresos Brutos Mendoza</t>
        </is>
      </c>
      <c r="D868" s="9" t="n">
        <v>1693.34</v>
      </c>
      <c r="E868" s="8" t="inlineStr">
        <is>
          <t>ABIERTO_NUEVO</t>
        </is>
      </c>
      <c r="F868" s="8" t="inlineStr">
        <is>
          <t>Banco / impuesto / gasto</t>
        </is>
      </c>
      <c r="G868" s="8" t="inlineStr">
        <is>
          <t>Copiar en Flexxus: Tipo=MB-EXT | Movimiento=INGRESOS BRUTOS MENDOZA | Monto=1.693,34 | Fecha: 22/04/2026</t>
        </is>
      </c>
    </row>
    <row r="869">
      <c r="A869" s="8" t="inlineStr">
        <is>
          <t>Administración/Banco</t>
        </is>
      </c>
      <c r="B869" s="8" t="inlineStr">
        <is>
          <t>Banco egreso no Flexxus</t>
        </is>
      </c>
      <c r="C869" s="8" t="inlineStr">
        <is>
          <t>Retención Ingresos Brutos Mendoza</t>
        </is>
      </c>
      <c r="D869" s="9" t="n">
        <v>336.51</v>
      </c>
      <c r="E869" s="8" t="inlineStr">
        <is>
          <t>ABIERTO_NUEVO</t>
        </is>
      </c>
      <c r="F869" s="8" t="inlineStr">
        <is>
          <t>Banco / impuesto / gasto</t>
        </is>
      </c>
      <c r="G869" s="8" t="inlineStr">
        <is>
          <t>Copiar en Flexxus: Tipo=MB-EXT | Movimiento=INGRESOS BRUTOS MENDOZA | Monto=336,51 | Fecha: 22/04/2026</t>
        </is>
      </c>
    </row>
    <row r="870">
      <c r="A870" s="8" t="inlineStr">
        <is>
          <t>Administración/Banco</t>
        </is>
      </c>
      <c r="B870" s="8" t="inlineStr">
        <is>
          <t>Banco egreso no Flexxus</t>
        </is>
      </c>
      <c r="C870" s="8" t="inlineStr">
        <is>
          <t>Retención Ingresos Brutos Mendoza</t>
        </is>
      </c>
      <c r="D870" s="9" t="n">
        <v>6656.53</v>
      </c>
      <c r="E870" s="8" t="inlineStr">
        <is>
          <t>ABIERTO_NUEVO</t>
        </is>
      </c>
      <c r="F870" s="8" t="inlineStr">
        <is>
          <t>Banco / impuesto / gasto</t>
        </is>
      </c>
      <c r="G870" s="8" t="inlineStr">
        <is>
          <t>Copiar en Flexxus: Tipo=MB-EXT | Movimiento=INGRESOS BRUTOS MENDOZA | Monto=6.656,53 | Fecha: 22/04/2026</t>
        </is>
      </c>
    </row>
    <row r="871">
      <c r="A871" s="8" t="inlineStr">
        <is>
          <t>Administración/Banco</t>
        </is>
      </c>
      <c r="B871" s="8" t="inlineStr">
        <is>
          <t>Banco egreso no Flexxus</t>
        </is>
      </c>
      <c r="C871" s="8" t="inlineStr">
        <is>
          <t>Retención Ingresos Brutos Mendoza</t>
        </is>
      </c>
      <c r="D871" s="9" t="n">
        <v>112.5</v>
      </c>
      <c r="E871" s="8" t="inlineStr">
        <is>
          <t>ABIERTO_NUEVO</t>
        </is>
      </c>
      <c r="F871" s="8" t="inlineStr">
        <is>
          <t>Banco / impuesto / gasto</t>
        </is>
      </c>
      <c r="G871" s="8" t="inlineStr">
        <is>
          <t>Copiar en Flexxus: Tipo=MB-EXT | Movimiento=INGRESOS BRUTOS MENDOZA | Monto=112,50 | Fecha: 22/04/2026</t>
        </is>
      </c>
    </row>
    <row r="872">
      <c r="A872" s="8" t="inlineStr">
        <is>
          <t>Administración/Banco</t>
        </is>
      </c>
      <c r="B872" s="8" t="inlineStr">
        <is>
          <t>Banco egreso no Flexxus</t>
        </is>
      </c>
      <c r="C872" s="8" t="inlineStr">
        <is>
          <t>Retención Ingresos Brutos Mendoza</t>
        </is>
      </c>
      <c r="D872" s="9" t="n">
        <v>112.5</v>
      </c>
      <c r="E872" s="8" t="inlineStr">
        <is>
          <t>ABIERTO_NUEVO</t>
        </is>
      </c>
      <c r="F872" s="8" t="inlineStr">
        <is>
          <t>Banco / impuesto / gasto</t>
        </is>
      </c>
      <c r="G872" s="8" t="inlineStr">
        <is>
          <t>Copiar en Flexxus: Tipo=MB-EXT | Movimiento=INGRESOS BRUTOS MENDOZA | Monto=112,50 | Fecha: 22/04/2026</t>
        </is>
      </c>
    </row>
    <row r="873">
      <c r="A873" s="8" t="inlineStr">
        <is>
          <t>Administración/Banco</t>
        </is>
      </c>
      <c r="B873" s="8" t="inlineStr">
        <is>
          <t>Banco egreso no Flexxus</t>
        </is>
      </c>
      <c r="C873" s="8" t="inlineStr">
        <is>
          <t>Retención Ingresos Brutos Mendoza</t>
        </is>
      </c>
      <c r="D873" s="9" t="n">
        <v>113.89</v>
      </c>
      <c r="E873" s="8" t="inlineStr">
        <is>
          <t>ABIERTO_NUEVO</t>
        </is>
      </c>
      <c r="F873" s="8" t="inlineStr">
        <is>
          <t>Banco / impuesto / gasto</t>
        </is>
      </c>
      <c r="G873" s="8" t="inlineStr">
        <is>
          <t>Copiar en Flexxus: Tipo=MB-EXT | Movimiento=INGRESOS BRUTOS MENDOZA | Monto=113,89 | Fecha: 22/04/2026</t>
        </is>
      </c>
    </row>
    <row r="874">
      <c r="A874" s="8" t="inlineStr">
        <is>
          <t>Administración/Banco</t>
        </is>
      </c>
      <c r="B874" s="8" t="inlineStr">
        <is>
          <t>Banco egreso no Flexxus</t>
        </is>
      </c>
      <c r="C874" s="8" t="inlineStr">
        <is>
          <t>Retención Ingresos Brutos Mendoza</t>
        </is>
      </c>
      <c r="D874" s="9" t="n">
        <v>207.97</v>
      </c>
      <c r="E874" s="8" t="inlineStr">
        <is>
          <t>ABIERTO_NUEVO</t>
        </is>
      </c>
      <c r="F874" s="8" t="inlineStr">
        <is>
          <t>Banco / impuesto / gasto</t>
        </is>
      </c>
      <c r="G874" s="8" t="inlineStr">
        <is>
          <t>Copiar en Flexxus: Tipo=MB-EXT | Movimiento=INGRESOS BRUTOS MENDOZA | Monto=207,97 | Fecha: 22/04/2026</t>
        </is>
      </c>
    </row>
    <row r="875">
      <c r="A875" s="8" t="inlineStr">
        <is>
          <t>Administración/Banco</t>
        </is>
      </c>
      <c r="B875" s="8" t="inlineStr">
        <is>
          <t>Banco egreso no Flexxus</t>
        </is>
      </c>
      <c r="C875" s="8" t="inlineStr">
        <is>
          <t>Retención Ingresos Brutos Mendoza</t>
        </is>
      </c>
      <c r="D875" s="9" t="n">
        <v>148.55</v>
      </c>
      <c r="E875" s="8" t="inlineStr">
        <is>
          <t>ABIERTO_NUEVO</t>
        </is>
      </c>
      <c r="F875" s="8" t="inlineStr">
        <is>
          <t>Banco / impuesto / gasto</t>
        </is>
      </c>
      <c r="G875" s="8" t="inlineStr">
        <is>
          <t>Copiar en Flexxus: Tipo=MB-EXT | Movimiento=INGRESOS BRUTOS MENDOZA | Monto=148,55 | Fecha: 22/04/2026</t>
        </is>
      </c>
    </row>
    <row r="876">
      <c r="A876" s="8" t="inlineStr">
        <is>
          <t>Administración/Banco</t>
        </is>
      </c>
      <c r="B876" s="8" t="inlineStr">
        <is>
          <t>Banco egreso no Flexxus</t>
        </is>
      </c>
      <c r="C876" s="8" t="inlineStr">
        <is>
          <t>Retención Ingresos Brutos Mendoza</t>
        </is>
      </c>
      <c r="D876" s="9" t="n">
        <v>413.95</v>
      </c>
      <c r="E876" s="8" t="inlineStr">
        <is>
          <t>ABIERTO_NUEVO</t>
        </is>
      </c>
      <c r="F876" s="8" t="inlineStr">
        <is>
          <t>Banco / impuesto / gasto</t>
        </is>
      </c>
      <c r="G876" s="8" t="inlineStr">
        <is>
          <t>Copiar en Flexxus: Tipo=MB-EXT | Movimiento=INGRESOS BRUTOS MENDOZA | Monto=413,95 | Fecha: 22/04/2026</t>
        </is>
      </c>
    </row>
    <row r="877">
      <c r="A877" s="8" t="inlineStr">
        <is>
          <t>Administración/Banco</t>
        </is>
      </c>
      <c r="B877" s="8" t="inlineStr">
        <is>
          <t>Banco egreso no Flexxus</t>
        </is>
      </c>
      <c r="C877" s="8" t="inlineStr">
        <is>
          <t>Retención Ingresos Brutos Mendoza</t>
        </is>
      </c>
      <c r="D877" s="9" t="n">
        <v>682.33</v>
      </c>
      <c r="E877" s="8" t="inlineStr">
        <is>
          <t>ABIERTO_NUEVO</t>
        </is>
      </c>
      <c r="F877" s="8" t="inlineStr">
        <is>
          <t>Banco / impuesto / gasto</t>
        </is>
      </c>
      <c r="G877" s="8" t="inlineStr">
        <is>
          <t>Copiar en Flexxus: Tipo=MB-EXT | Movimiento=INGRESOS BRUTOS MENDOZA | Monto=682,33 | Fecha: 22/04/2026</t>
        </is>
      </c>
    </row>
    <row r="878">
      <c r="A878" s="8" t="inlineStr">
        <is>
          <t>Administración/Banco</t>
        </is>
      </c>
      <c r="B878" s="8" t="inlineStr">
        <is>
          <t>Banco egreso no Flexxus</t>
        </is>
      </c>
      <c r="C878" s="8" t="inlineStr">
        <is>
          <t>Retención Ingresos Brutos Mendoza</t>
        </is>
      </c>
      <c r="D878" s="9" t="n">
        <v>401.08</v>
      </c>
      <c r="E878" s="8" t="inlineStr">
        <is>
          <t>ABIERTO_NUEVO</t>
        </is>
      </c>
      <c r="F878" s="8" t="inlineStr">
        <is>
          <t>Banco / impuesto / gasto</t>
        </is>
      </c>
      <c r="G878" s="8" t="inlineStr">
        <is>
          <t>Copiar en Flexxus: Tipo=MB-EXT | Movimiento=INGRESOS BRUTOS MENDOZA | Monto=401,08 | Fecha: 22/04/2026</t>
        </is>
      </c>
    </row>
    <row r="879">
      <c r="A879" s="8" t="inlineStr">
        <is>
          <t>Administración/Banco</t>
        </is>
      </c>
      <c r="B879" s="8" t="inlineStr">
        <is>
          <t>Banco egreso no Flexxus</t>
        </is>
      </c>
      <c r="C879" s="8" t="inlineStr">
        <is>
          <t>Retención Ingresos Brutos Mendoza</t>
        </is>
      </c>
      <c r="D879" s="9" t="n">
        <v>44.56</v>
      </c>
      <c r="E879" s="8" t="inlineStr">
        <is>
          <t>ABIERTO_NUEVO</t>
        </is>
      </c>
      <c r="F879" s="8" t="inlineStr">
        <is>
          <t>Banco / impuesto / gasto</t>
        </is>
      </c>
      <c r="G879" s="8" t="inlineStr">
        <is>
          <t>Copiar en Flexxus: Tipo=MB-EXT | Movimiento=INGRESOS BRUTOS MENDOZA | Monto=44,56 | Fecha: 21/04/2026</t>
        </is>
      </c>
    </row>
    <row r="880">
      <c r="A880" s="8" t="inlineStr">
        <is>
          <t>Administración/Banco</t>
        </is>
      </c>
      <c r="B880" s="8" t="inlineStr">
        <is>
          <t>Banco egreso no Flexxus</t>
        </is>
      </c>
      <c r="C880" s="8" t="inlineStr">
        <is>
          <t>Retención Ingresos Brutos Mendoza</t>
        </is>
      </c>
      <c r="D880" s="9" t="n">
        <v>232.73</v>
      </c>
      <c r="E880" s="8" t="inlineStr">
        <is>
          <t>ABIERTO_NUEVO</t>
        </is>
      </c>
      <c r="F880" s="8" t="inlineStr">
        <is>
          <t>Banco / impuesto / gasto</t>
        </is>
      </c>
      <c r="G880" s="8" t="inlineStr">
        <is>
          <t>Copiar en Flexxus: Tipo=MB-EXT | Movimiento=INGRESOS BRUTOS MENDOZA | Monto=232,73 | Fecha: 21/04/2026</t>
        </is>
      </c>
    </row>
    <row r="881">
      <c r="A881" s="8" t="inlineStr">
        <is>
          <t>Administración/Banco</t>
        </is>
      </c>
      <c r="B881" s="8" t="inlineStr">
        <is>
          <t>Banco egreso no Flexxus</t>
        </is>
      </c>
      <c r="C881" s="8" t="inlineStr">
        <is>
          <t>Retención Ingresos Brutos Mendoza</t>
        </is>
      </c>
      <c r="D881" s="9" t="n">
        <v>146.57</v>
      </c>
      <c r="E881" s="8" t="inlineStr">
        <is>
          <t>ABIERTO_NUEVO</t>
        </is>
      </c>
      <c r="F881" s="8" t="inlineStr">
        <is>
          <t>Banco / impuesto / gasto</t>
        </is>
      </c>
      <c r="G881" s="8" t="inlineStr">
        <is>
          <t>Copiar en Flexxus: Tipo=MB-EXT | Movimiento=INGRESOS BRUTOS MENDOZA | Monto=146,57 | Fecha: 21/04/2026</t>
        </is>
      </c>
    </row>
    <row r="882">
      <c r="A882" s="8" t="inlineStr">
        <is>
          <t>Administración/Banco</t>
        </is>
      </c>
      <c r="B882" s="8" t="inlineStr">
        <is>
          <t>Banco egreso no Flexxus</t>
        </is>
      </c>
      <c r="C882" s="8" t="inlineStr">
        <is>
          <t>Retención Ingresos Brutos Mendoza</t>
        </is>
      </c>
      <c r="D882" s="9" t="n">
        <v>546.66</v>
      </c>
      <c r="E882" s="8" t="inlineStr">
        <is>
          <t>ABIERTO_NUEVO</t>
        </is>
      </c>
      <c r="F882" s="8" t="inlineStr">
        <is>
          <t>Banco / impuesto / gasto</t>
        </is>
      </c>
      <c r="G882" s="8" t="inlineStr">
        <is>
          <t>Copiar en Flexxus: Tipo=MB-EXT | Movimiento=INGRESOS BRUTOS MENDOZA | Monto=546,66 | Fecha: 21/04/2026</t>
        </is>
      </c>
    </row>
    <row r="883">
      <c r="A883" s="8" t="inlineStr">
        <is>
          <t>Administración/Banco</t>
        </is>
      </c>
      <c r="B883" s="8" t="inlineStr">
        <is>
          <t>Banco egreso no Flexxus</t>
        </is>
      </c>
      <c r="C883" s="8" t="inlineStr">
        <is>
          <t>Retención Ingresos Brutos Mendoza</t>
        </is>
      </c>
      <c r="D883" s="9" t="n">
        <v>122.28</v>
      </c>
      <c r="E883" s="8" t="inlineStr">
        <is>
          <t>ABIERTO_NUEVO</t>
        </is>
      </c>
      <c r="F883" s="8" t="inlineStr">
        <is>
          <t>Banco / impuesto / gasto</t>
        </is>
      </c>
      <c r="G883" s="8" t="inlineStr">
        <is>
          <t>Copiar en Flexxus: Tipo=MB-EXT | Movimiento=INGRESOS BRUTOS MENDOZA | Monto=122,28 | Fecha: 21/04/2026</t>
        </is>
      </c>
    </row>
    <row r="884">
      <c r="A884" s="8" t="inlineStr">
        <is>
          <t>Administración/Banco</t>
        </is>
      </c>
      <c r="B884" s="8" t="inlineStr">
        <is>
          <t>Banco egreso no Flexxus</t>
        </is>
      </c>
      <c r="C884" s="8" t="inlineStr">
        <is>
          <t>Retención Ingresos Brutos Mendoza</t>
        </is>
      </c>
      <c r="D884" s="9" t="n">
        <v>321.83</v>
      </c>
      <c r="E884" s="8" t="inlineStr">
        <is>
          <t>ABIERTO_NUEVO</t>
        </is>
      </c>
      <c r="F884" s="8" t="inlineStr">
        <is>
          <t>Banco / impuesto / gasto</t>
        </is>
      </c>
      <c r="G884" s="8" t="inlineStr">
        <is>
          <t>Copiar en Flexxus: Tipo=MB-EXT | Movimiento=INGRESOS BRUTOS MENDOZA | Monto=321,83 | Fecha: 21/04/2026</t>
        </is>
      </c>
    </row>
    <row r="885">
      <c r="A885" s="8" t="inlineStr">
        <is>
          <t>Administración/Banco</t>
        </is>
      </c>
      <c r="B885" s="8" t="inlineStr">
        <is>
          <t>Banco egreso no Flexxus</t>
        </is>
      </c>
      <c r="C885" s="8" t="inlineStr">
        <is>
          <t>Retención Ingresos Brutos Mendoza</t>
        </is>
      </c>
      <c r="D885" s="9" t="n">
        <v>19234</v>
      </c>
      <c r="E885" s="8" t="inlineStr">
        <is>
          <t>ABIERTO_NUEVO</t>
        </is>
      </c>
      <c r="F885" s="8" t="inlineStr">
        <is>
          <t>Banco / impuesto / gasto</t>
        </is>
      </c>
      <c r="G885" s="8" t="inlineStr">
        <is>
          <t>Copiar en Flexxus: Tipo=MB-EXT | Movimiento=INGRESOS BRUTOS MENDOZA | Monto=19.234,00 | Fecha: 21/04/2026</t>
        </is>
      </c>
    </row>
    <row r="886">
      <c r="A886" s="8" t="inlineStr">
        <is>
          <t>Administración/Banco</t>
        </is>
      </c>
      <c r="B886" s="8" t="inlineStr">
        <is>
          <t>Banco egreso no Flexxus</t>
        </is>
      </c>
      <c r="C886" s="8" t="inlineStr">
        <is>
          <t>Retención Ingresos Brutos Mendoza</t>
        </is>
      </c>
      <c r="D886" s="9" t="n">
        <v>20708.98</v>
      </c>
      <c r="E886" s="8" t="inlineStr">
        <is>
          <t>ABIERTO_NUEVO</t>
        </is>
      </c>
      <c r="F886" s="8" t="inlineStr">
        <is>
          <t>Banco / impuesto / gasto</t>
        </is>
      </c>
      <c r="G886" s="8" t="inlineStr">
        <is>
          <t>Copiar en Flexxus: Tipo=MB-EXT | Movimiento=INGRESOS BRUTOS MENDOZA | Monto=20.708,98 | Fecha: 21/04/2026</t>
        </is>
      </c>
    </row>
    <row r="887">
      <c r="A887" s="8" t="inlineStr">
        <is>
          <t>Administración/Banco</t>
        </is>
      </c>
      <c r="B887" s="8" t="inlineStr">
        <is>
          <t>Banco egreso no Flexxus</t>
        </is>
      </c>
      <c r="C887" s="8" t="inlineStr">
        <is>
          <t>Retención Ingresos Brutos Mendoza</t>
        </is>
      </c>
      <c r="D887" s="9" t="n">
        <v>6181.29</v>
      </c>
      <c r="E887" s="8" t="inlineStr">
        <is>
          <t>ABIERTO_NUEVO</t>
        </is>
      </c>
      <c r="F887" s="8" t="inlineStr">
        <is>
          <t>Banco / impuesto / gasto</t>
        </is>
      </c>
      <c r="G887" s="8" t="inlineStr">
        <is>
          <t>Copiar en Flexxus: Tipo=MB-EXT | Movimiento=INGRESOS BRUTOS MENDOZA | Monto=6.181,29 | Fecha: 21/04/2026</t>
        </is>
      </c>
    </row>
    <row r="888">
      <c r="A888" s="8" t="inlineStr">
        <is>
          <t>Administración/Banco</t>
        </is>
      </c>
      <c r="B888" s="8" t="inlineStr">
        <is>
          <t>Banco egreso no Flexxus</t>
        </is>
      </c>
      <c r="C888" s="8" t="inlineStr">
        <is>
          <t>Retención Ingresos Brutos Mendoza</t>
        </is>
      </c>
      <c r="D888" s="9" t="n">
        <v>2074.16</v>
      </c>
      <c r="E888" s="8" t="inlineStr">
        <is>
          <t>ABIERTO_NUEVO</t>
        </is>
      </c>
      <c r="F888" s="8" t="inlineStr">
        <is>
          <t>Banco / impuesto / gasto</t>
        </is>
      </c>
      <c r="G888" s="8" t="inlineStr">
        <is>
          <t>Copiar en Flexxus: Tipo=MB-EXT | Movimiento=INGRESOS BRUTOS MENDOZA | Monto=2.074,16 | Fecha: 21/04/2026</t>
        </is>
      </c>
    </row>
    <row r="889">
      <c r="A889" s="8" t="inlineStr">
        <is>
          <t>Administración/Banco</t>
        </is>
      </c>
      <c r="B889" s="8" t="inlineStr">
        <is>
          <t>Banco egreso no Flexxus</t>
        </is>
      </c>
      <c r="C889" s="8" t="inlineStr">
        <is>
          <t>Retención Ingresos Brutos Mendoza</t>
        </is>
      </c>
      <c r="D889" s="9" t="n">
        <v>2743.55</v>
      </c>
      <c r="E889" s="8" t="inlineStr">
        <is>
          <t>ABIERTO_NUEVO</t>
        </is>
      </c>
      <c r="F889" s="8" t="inlineStr">
        <is>
          <t>Banco / impuesto / gasto</t>
        </is>
      </c>
      <c r="G889" s="8" t="inlineStr">
        <is>
          <t>Copiar en Flexxus: Tipo=MB-EXT | Movimiento=INGRESOS BRUTOS MENDOZA | Monto=2.743,55 | Fecha: 21/04/2026</t>
        </is>
      </c>
    </row>
    <row r="890">
      <c r="A890" s="8" t="inlineStr">
        <is>
          <t>Administración/Banco</t>
        </is>
      </c>
      <c r="B890" s="8" t="inlineStr">
        <is>
          <t>Banco egreso no Flexxus</t>
        </is>
      </c>
      <c r="C890" s="8" t="inlineStr">
        <is>
          <t>Retención Ingresos Brutos Mendoza</t>
        </is>
      </c>
      <c r="D890" s="9" t="n">
        <v>4884.67</v>
      </c>
      <c r="E890" s="8" t="inlineStr">
        <is>
          <t>ABIERTO_NUEVO</t>
        </is>
      </c>
      <c r="F890" s="8" t="inlineStr">
        <is>
          <t>Banco / impuesto / gasto</t>
        </is>
      </c>
      <c r="G890" s="8" t="inlineStr">
        <is>
          <t>Copiar en Flexxus: Tipo=MB-EXT | Movimiento=INGRESOS BRUTOS MENDOZA | Monto=4.884,67 | Fecha: 21/04/2026</t>
        </is>
      </c>
    </row>
    <row r="891">
      <c r="A891" s="8" t="inlineStr">
        <is>
          <t>Administración/Banco</t>
        </is>
      </c>
      <c r="B891" s="8" t="inlineStr">
        <is>
          <t>Banco egreso no Flexxus</t>
        </is>
      </c>
      <c r="C891" s="8" t="inlineStr">
        <is>
          <t>Retención Ingresos Brutos Mendoza</t>
        </is>
      </c>
      <c r="D891" s="9" t="n">
        <v>1444.31</v>
      </c>
      <c r="E891" s="8" t="inlineStr">
        <is>
          <t>ABIERTO_NUEVO</t>
        </is>
      </c>
      <c r="F891" s="8" t="inlineStr">
        <is>
          <t>Banco / impuesto / gasto</t>
        </is>
      </c>
      <c r="G891" s="8" t="inlineStr">
        <is>
          <t>Copiar en Flexxus: Tipo=MB-EXT | Movimiento=INGRESOS BRUTOS MENDOZA | Monto=1.444,31 | Fecha: 21/04/2026</t>
        </is>
      </c>
    </row>
    <row r="892">
      <c r="A892" s="8" t="inlineStr">
        <is>
          <t>Administración/Banco</t>
        </is>
      </c>
      <c r="B892" s="8" t="inlineStr">
        <is>
          <t>Banco egreso no Flexxus</t>
        </is>
      </c>
      <c r="C892" s="8" t="inlineStr">
        <is>
          <t>Retención Ingresos Brutos Mendoza</t>
        </is>
      </c>
      <c r="D892" s="9" t="n">
        <v>2904.53</v>
      </c>
      <c r="E892" s="8" t="inlineStr">
        <is>
          <t>ABIERTO_NUEVO</t>
        </is>
      </c>
      <c r="F892" s="8" t="inlineStr">
        <is>
          <t>Banco / impuesto / gasto</t>
        </is>
      </c>
      <c r="G892" s="8" t="inlineStr">
        <is>
          <t>Copiar en Flexxus: Tipo=MB-EXT | Movimiento=INGRESOS BRUTOS MENDOZA | Monto=2.904,53 | Fecha: 21/04/2026</t>
        </is>
      </c>
    </row>
    <row r="893">
      <c r="A893" s="8" t="inlineStr">
        <is>
          <t>Administración/Banco</t>
        </is>
      </c>
      <c r="B893" s="8" t="inlineStr">
        <is>
          <t>Banco egreso no Flexxus</t>
        </is>
      </c>
      <c r="C893" s="8" t="inlineStr">
        <is>
          <t>Retención Ingresos Brutos Mendoza</t>
        </is>
      </c>
      <c r="D893" s="9" t="n">
        <v>3239.82</v>
      </c>
      <c r="E893" s="8" t="inlineStr">
        <is>
          <t>ABIERTO_NUEVO</t>
        </is>
      </c>
      <c r="F893" s="8" t="inlineStr">
        <is>
          <t>Banco / impuesto / gasto</t>
        </is>
      </c>
      <c r="G893" s="8" t="inlineStr">
        <is>
          <t>Copiar en Flexxus: Tipo=MB-EXT | Movimiento=INGRESOS BRUTOS MENDOZA | Monto=3.239,82 | Fecha: 21/04/2026</t>
        </is>
      </c>
    </row>
    <row r="894">
      <c r="A894" s="8" t="inlineStr">
        <is>
          <t>Administración/Banco</t>
        </is>
      </c>
      <c r="B894" s="8" t="inlineStr">
        <is>
          <t>Banco egreso no Flexxus</t>
        </is>
      </c>
      <c r="C894" s="8" t="inlineStr">
        <is>
          <t>Retención Ingresos Brutos Mendoza</t>
        </is>
      </c>
      <c r="D894" s="9" t="n">
        <v>1586.57</v>
      </c>
      <c r="E894" s="8" t="inlineStr">
        <is>
          <t>ABIERTO_NUEVO</t>
        </is>
      </c>
      <c r="F894" s="8" t="inlineStr">
        <is>
          <t>Banco / impuesto / gasto</t>
        </is>
      </c>
      <c r="G894" s="8" t="inlineStr">
        <is>
          <t>Copiar en Flexxus: Tipo=MB-EXT | Movimiento=INGRESOS BRUTOS MENDOZA | Monto=1.586,57 | Fecha: 21/04/2026</t>
        </is>
      </c>
    </row>
    <row r="895">
      <c r="A895" s="8" t="inlineStr">
        <is>
          <t>Administración/Banco</t>
        </is>
      </c>
      <c r="B895" s="8" t="inlineStr">
        <is>
          <t>Banco egreso no Flexxus</t>
        </is>
      </c>
      <c r="C895" s="8" t="inlineStr">
        <is>
          <t>Retención Ingresos Brutos Mendoza</t>
        </is>
      </c>
      <c r="D895" s="9" t="n">
        <v>2575.66</v>
      </c>
      <c r="E895" s="8" t="inlineStr">
        <is>
          <t>ABIERTO_NUEVO</t>
        </is>
      </c>
      <c r="F895" s="8" t="inlineStr">
        <is>
          <t>Banco / impuesto / gasto</t>
        </is>
      </c>
      <c r="G895" s="8" t="inlineStr">
        <is>
          <t>Copiar en Flexxus: Tipo=MB-EXT | Movimiento=INGRESOS BRUTOS MENDOZA | Monto=2.575,66 | Fecha: 21/04/2026</t>
        </is>
      </c>
    </row>
    <row r="896">
      <c r="A896" s="8" t="inlineStr">
        <is>
          <t>Administración/Banco</t>
        </is>
      </c>
      <c r="B896" s="8" t="inlineStr">
        <is>
          <t>Banco egreso no Flexxus</t>
        </is>
      </c>
      <c r="C896" s="8" t="inlineStr">
        <is>
          <t>Retención Ingresos Brutos Mendoza</t>
        </is>
      </c>
      <c r="D896" s="9" t="n">
        <v>896.03</v>
      </c>
      <c r="E896" s="8" t="inlineStr">
        <is>
          <t>ABIERTO_NUEVO</t>
        </is>
      </c>
      <c r="F896" s="8" t="inlineStr">
        <is>
          <t>Banco / impuesto / gasto</t>
        </is>
      </c>
      <c r="G896" s="8" t="inlineStr">
        <is>
          <t>Copiar en Flexxus: Tipo=MB-EXT | Movimiento=INGRESOS BRUTOS MENDOZA | Monto=896,03 | Fecha: 21/04/2026</t>
        </is>
      </c>
    </row>
    <row r="897">
      <c r="A897" s="8" t="inlineStr">
        <is>
          <t>Administración/Banco</t>
        </is>
      </c>
      <c r="B897" s="8" t="inlineStr">
        <is>
          <t>Banco egreso no Flexxus</t>
        </is>
      </c>
      <c r="C897" s="8" t="inlineStr">
        <is>
          <t>Retención Ingresos Brutos Mendoza</t>
        </is>
      </c>
      <c r="D897" s="9" t="n">
        <v>1743.64</v>
      </c>
      <c r="E897" s="8" t="inlineStr">
        <is>
          <t>ABIERTO_NUEVO</t>
        </is>
      </c>
      <c r="F897" s="8" t="inlineStr">
        <is>
          <t>Banco / impuesto / gasto</t>
        </is>
      </c>
      <c r="G897" s="8" t="inlineStr">
        <is>
          <t>Copiar en Flexxus: Tipo=MB-EXT | Movimiento=INGRESOS BRUTOS MENDOZA | Monto=1.743,64 | Fecha: 21/04/2026</t>
        </is>
      </c>
    </row>
    <row r="898">
      <c r="A898" s="8" t="inlineStr">
        <is>
          <t>Administración/Banco</t>
        </is>
      </c>
      <c r="B898" s="8" t="inlineStr">
        <is>
          <t>Banco egreso no Flexxus</t>
        </is>
      </c>
      <c r="C898" s="8" t="inlineStr">
        <is>
          <t>Retención Ingresos Brutos Mendoza</t>
        </is>
      </c>
      <c r="D898" s="9" t="n">
        <v>1045.2</v>
      </c>
      <c r="E898" s="8" t="inlineStr">
        <is>
          <t>ABIERTO_NUEVO</t>
        </is>
      </c>
      <c r="F898" s="8" t="inlineStr">
        <is>
          <t>Banco / impuesto / gasto</t>
        </is>
      </c>
      <c r="G898" s="8" t="inlineStr">
        <is>
          <t>Copiar en Flexxus: Tipo=MB-EXT | Movimiento=INGRESOS BRUTOS MENDOZA | Monto=1.045,20 | Fecha: 21/04/2026</t>
        </is>
      </c>
    </row>
    <row r="899">
      <c r="A899" s="8" t="inlineStr">
        <is>
          <t>Administración/Banco</t>
        </is>
      </c>
      <c r="B899" s="8" t="inlineStr">
        <is>
          <t>Banco egreso no Flexxus</t>
        </is>
      </c>
      <c r="C899" s="8" t="inlineStr">
        <is>
          <t>Retención Ingresos Brutos Mendoza</t>
        </is>
      </c>
      <c r="D899" s="9" t="n">
        <v>6265.56</v>
      </c>
      <c r="E899" s="8" t="inlineStr">
        <is>
          <t>ABIERTO_NUEVO</t>
        </is>
      </c>
      <c r="F899" s="8" t="inlineStr">
        <is>
          <t>Banco / impuesto / gasto</t>
        </is>
      </c>
      <c r="G899" s="8" t="inlineStr">
        <is>
          <t>Copiar en Flexxus: Tipo=MB-EXT | Movimiento=INGRESOS BRUTOS MENDOZA | Monto=6.265,56 | Fecha: 21/04/2026</t>
        </is>
      </c>
    </row>
    <row r="900">
      <c r="A900" s="8" t="inlineStr">
        <is>
          <t>Administración/Banco</t>
        </is>
      </c>
      <c r="B900" s="8" t="inlineStr">
        <is>
          <t>Banco egreso no Flexxus</t>
        </is>
      </c>
      <c r="C900" s="8" t="inlineStr">
        <is>
          <t>Retención Ingresos Brutos Mendoza</t>
        </is>
      </c>
      <c r="D900" s="9" t="n">
        <v>4540.83</v>
      </c>
      <c r="E900" s="8" t="inlineStr">
        <is>
          <t>ABIERTO_NUEVO</t>
        </is>
      </c>
      <c r="F900" s="8" t="inlineStr">
        <is>
          <t>Banco / impuesto / gasto</t>
        </is>
      </c>
      <c r="G900" s="8" t="inlineStr">
        <is>
          <t>Copiar en Flexxus: Tipo=MB-EXT | Movimiento=INGRESOS BRUTOS MENDOZA | Monto=4.540,83 | Fecha: 21/04/2026</t>
        </is>
      </c>
    </row>
    <row r="901">
      <c r="A901" s="8" t="inlineStr">
        <is>
          <t>Administración/Banco</t>
        </is>
      </c>
      <c r="B901" s="8" t="inlineStr">
        <is>
          <t>Banco egreso no Flexxus</t>
        </is>
      </c>
      <c r="C901" s="8" t="inlineStr">
        <is>
          <t>Retención Ingresos Brutos Mendoza</t>
        </is>
      </c>
      <c r="D901" s="9" t="n">
        <v>2197.82</v>
      </c>
      <c r="E901" s="8" t="inlineStr">
        <is>
          <t>ABIERTO_NUEVO</t>
        </is>
      </c>
      <c r="F901" s="8" t="inlineStr">
        <is>
          <t>Banco / impuesto / gasto</t>
        </is>
      </c>
      <c r="G901" s="8" t="inlineStr">
        <is>
          <t>Copiar en Flexxus: Tipo=MB-EXT | Movimiento=INGRESOS BRUTOS MENDOZA | Monto=2.197,82 | Fecha: 21/04/2026</t>
        </is>
      </c>
    </row>
    <row r="902">
      <c r="A902" s="8" t="inlineStr">
        <is>
          <t>Administración/Banco</t>
        </is>
      </c>
      <c r="B902" s="8" t="inlineStr">
        <is>
          <t>Banco egreso no Flexxus</t>
        </is>
      </c>
      <c r="C902" s="8" t="inlineStr">
        <is>
          <t>Retención Ingresos Brutos Mendoza</t>
        </is>
      </c>
      <c r="D902" s="9" t="n">
        <v>2745.33</v>
      </c>
      <c r="E902" s="8" t="inlineStr">
        <is>
          <t>ABIERTO_NUEVO</t>
        </is>
      </c>
      <c r="F902" s="8" t="inlineStr">
        <is>
          <t>Banco / impuesto / gasto</t>
        </is>
      </c>
      <c r="G902" s="8" t="inlineStr">
        <is>
          <t>Copiar en Flexxus: Tipo=MB-EXT | Movimiento=INGRESOS BRUTOS MENDOZA | Monto=2.745,33 | Fecha: 21/04/2026</t>
        </is>
      </c>
    </row>
    <row r="903">
      <c r="A903" s="8" t="inlineStr">
        <is>
          <t>Administración/Banco</t>
        </is>
      </c>
      <c r="B903" s="8" t="inlineStr">
        <is>
          <t>Banco egreso no Flexxus</t>
        </is>
      </c>
      <c r="C903" s="8" t="inlineStr">
        <is>
          <t>Retención Ingresos Brutos Mendoza</t>
        </is>
      </c>
      <c r="D903" s="9" t="n">
        <v>922.46</v>
      </c>
      <c r="E903" s="8" t="inlineStr">
        <is>
          <t>ABIERTO_NUEVO</t>
        </is>
      </c>
      <c r="F903" s="8" t="inlineStr">
        <is>
          <t>Banco / impuesto / gasto</t>
        </is>
      </c>
      <c r="G903" s="8" t="inlineStr">
        <is>
          <t>Copiar en Flexxus: Tipo=MB-EXT | Movimiento=INGRESOS BRUTOS MENDOZA | Monto=922,46 | Fecha: 21/04/2026</t>
        </is>
      </c>
    </row>
    <row r="904">
      <c r="A904" s="8" t="inlineStr">
        <is>
          <t>Administración/Banco</t>
        </is>
      </c>
      <c r="B904" s="8" t="inlineStr">
        <is>
          <t>Banco egreso no Flexxus</t>
        </is>
      </c>
      <c r="C904" s="8" t="inlineStr">
        <is>
          <t>Retención Ingresos Brutos Mendoza</t>
        </is>
      </c>
      <c r="D904" s="9" t="n">
        <v>266.08</v>
      </c>
      <c r="E904" s="8" t="inlineStr">
        <is>
          <t>ABIERTO_NUEVO</t>
        </is>
      </c>
      <c r="F904" s="8" t="inlineStr">
        <is>
          <t>Banco / impuesto / gasto</t>
        </is>
      </c>
      <c r="G904" s="8" t="inlineStr">
        <is>
          <t>Copiar en Flexxus: Tipo=MB-EXT | Movimiento=INGRESOS BRUTOS MENDOZA | Monto=266,08 | Fecha: 21/04/2026</t>
        </is>
      </c>
    </row>
    <row r="905">
      <c r="A905" s="8" t="inlineStr">
        <is>
          <t>Administración/Banco</t>
        </is>
      </c>
      <c r="B905" s="8" t="inlineStr">
        <is>
          <t>Banco egreso no Flexxus</t>
        </is>
      </c>
      <c r="C905" s="8" t="inlineStr">
        <is>
          <t>Retención Ingresos Brutos Mendoza</t>
        </is>
      </c>
      <c r="D905" s="9" t="n">
        <v>498.89</v>
      </c>
      <c r="E905" s="8" t="inlineStr">
        <is>
          <t>ABIERTO_NUEVO</t>
        </is>
      </c>
      <c r="F905" s="8" t="inlineStr">
        <is>
          <t>Banco / impuesto / gasto</t>
        </is>
      </c>
      <c r="G905" s="8" t="inlineStr">
        <is>
          <t>Copiar en Flexxus: Tipo=MB-EXT | Movimiento=INGRESOS BRUTOS MENDOZA | Monto=498,89 | Fecha: 21/04/2026</t>
        </is>
      </c>
    </row>
    <row r="906">
      <c r="A906" s="8" t="inlineStr">
        <is>
          <t>Administración/Banco</t>
        </is>
      </c>
      <c r="B906" s="8" t="inlineStr">
        <is>
          <t>Banco egreso no Flexxus</t>
        </is>
      </c>
      <c r="C906" s="8" t="inlineStr">
        <is>
          <t>Retención Ingresos Brutos Mendoza</t>
        </is>
      </c>
      <c r="D906" s="9" t="n">
        <v>690.62</v>
      </c>
      <c r="E906" s="8" t="inlineStr">
        <is>
          <t>ABIERTO_NUEVO</t>
        </is>
      </c>
      <c r="F906" s="8" t="inlineStr">
        <is>
          <t>Banco / impuesto / gasto</t>
        </is>
      </c>
      <c r="G906" s="8" t="inlineStr">
        <is>
          <t>Copiar en Flexxus: Tipo=MB-EXT | Movimiento=INGRESOS BRUTOS MENDOZA | Monto=690,62 | Fecha: 21/04/2026</t>
        </is>
      </c>
    </row>
    <row r="907">
      <c r="A907" s="8" t="inlineStr">
        <is>
          <t>Administración/Banco</t>
        </is>
      </c>
      <c r="B907" s="8" t="inlineStr">
        <is>
          <t>Banco egreso no Flexxus</t>
        </is>
      </c>
      <c r="C907" s="8" t="inlineStr">
        <is>
          <t>Retención Ingresos Brutos Mendoza</t>
        </is>
      </c>
      <c r="D907" s="9" t="n">
        <v>655.41</v>
      </c>
      <c r="E907" s="8" t="inlineStr">
        <is>
          <t>ABIERTO_NUEVO</t>
        </is>
      </c>
      <c r="F907" s="8" t="inlineStr">
        <is>
          <t>Banco / impuesto / gasto</t>
        </is>
      </c>
      <c r="G907" s="8" t="inlineStr">
        <is>
          <t>Copiar en Flexxus: Tipo=MB-EXT | Movimiento=INGRESOS BRUTOS MENDOZA | Monto=655,41 | Fecha: 21/04/2026</t>
        </is>
      </c>
    </row>
    <row r="908">
      <c r="A908" s="8" t="inlineStr">
        <is>
          <t>Administración/Banco</t>
        </is>
      </c>
      <c r="B908" s="8" t="inlineStr">
        <is>
          <t>Banco egreso no Flexxus</t>
        </is>
      </c>
      <c r="C908" s="8" t="inlineStr">
        <is>
          <t>Retención Ingresos Brutos Mendoza</t>
        </is>
      </c>
      <c r="D908" s="9" t="n">
        <v>2145.03</v>
      </c>
      <c r="E908" s="8" t="inlineStr">
        <is>
          <t>ABIERTO_NUEVO</t>
        </is>
      </c>
      <c r="F908" s="8" t="inlineStr">
        <is>
          <t>Banco / impuesto / gasto</t>
        </is>
      </c>
      <c r="G908" s="8" t="inlineStr">
        <is>
          <t>Copiar en Flexxus: Tipo=MB-EXT | Movimiento=INGRESOS BRUTOS MENDOZA | Monto=2.145,03 | Fecha: 21/04/2026</t>
        </is>
      </c>
    </row>
    <row r="909">
      <c r="A909" s="8" t="inlineStr">
        <is>
          <t>Administración/Banco</t>
        </is>
      </c>
      <c r="B909" s="8" t="inlineStr">
        <is>
          <t>Banco egreso no Flexxus</t>
        </is>
      </c>
      <c r="C909" s="8" t="inlineStr">
        <is>
          <t>Retención Ingresos Brutos Mendoza</t>
        </is>
      </c>
      <c r="D909" s="9" t="n">
        <v>2119.61</v>
      </c>
      <c r="E909" s="8" t="inlineStr">
        <is>
          <t>ABIERTO_NUEVO</t>
        </is>
      </c>
      <c r="F909" s="8" t="inlineStr">
        <is>
          <t>Banco / impuesto / gasto</t>
        </is>
      </c>
      <c r="G909" s="8" t="inlineStr">
        <is>
          <t>Copiar en Flexxus: Tipo=MB-EXT | Movimiento=INGRESOS BRUTOS MENDOZA | Monto=2.119,61 | Fecha: 21/04/2026</t>
        </is>
      </c>
    </row>
    <row r="910">
      <c r="A910" s="8" t="inlineStr">
        <is>
          <t>Administración/Banco</t>
        </is>
      </c>
      <c r="B910" s="8" t="inlineStr">
        <is>
          <t>Banco egreso no Flexxus</t>
        </is>
      </c>
      <c r="C910" s="8" t="inlineStr">
        <is>
          <t>Retención Ingresos Brutos Mendoza</t>
        </is>
      </c>
      <c r="D910" s="9" t="n">
        <v>347.27</v>
      </c>
      <c r="E910" s="8" t="inlineStr">
        <is>
          <t>ABIERTO_NUEVO</t>
        </is>
      </c>
      <c r="F910" s="8" t="inlineStr">
        <is>
          <t>Banco / impuesto / gasto</t>
        </is>
      </c>
      <c r="G910" s="8" t="inlineStr">
        <is>
          <t>Copiar en Flexxus: Tipo=MB-EXT | Movimiento=INGRESOS BRUTOS MENDOZA | Monto=347,27 | Fecha: 21/04/2026</t>
        </is>
      </c>
    </row>
    <row r="911">
      <c r="A911" s="8" t="inlineStr">
        <is>
          <t>Administración/Banco</t>
        </is>
      </c>
      <c r="B911" s="8" t="inlineStr">
        <is>
          <t>Banco egreso no Flexxus</t>
        </is>
      </c>
      <c r="C911" s="8" t="inlineStr">
        <is>
          <t>Retención Ingresos Brutos Mendoza</t>
        </is>
      </c>
      <c r="D911" s="9" t="n">
        <v>307.16</v>
      </c>
      <c r="E911" s="8" t="inlineStr">
        <is>
          <t>ABIERTO_NUEVO</t>
        </is>
      </c>
      <c r="F911" s="8" t="inlineStr">
        <is>
          <t>Banco / impuesto / gasto</t>
        </is>
      </c>
      <c r="G911" s="8" t="inlineStr">
        <is>
          <t>Copiar en Flexxus: Tipo=MB-EXT | Movimiento=INGRESOS BRUTOS MENDOZA | Monto=307,16 | Fecha: 21/04/2026</t>
        </is>
      </c>
    </row>
    <row r="912">
      <c r="A912" s="8" t="inlineStr">
        <is>
          <t>Administración/Banco</t>
        </is>
      </c>
      <c r="B912" s="8" t="inlineStr">
        <is>
          <t>Banco egreso no Flexxus</t>
        </is>
      </c>
      <c r="C912" s="8" t="inlineStr">
        <is>
          <t>Retención Ingresos Brutos Mendoza</t>
        </is>
      </c>
      <c r="D912" s="9" t="n">
        <v>119.83</v>
      </c>
      <c r="E912" s="8" t="inlineStr">
        <is>
          <t>ABIERTO_NUEVO</t>
        </is>
      </c>
      <c r="F912" s="8" t="inlineStr">
        <is>
          <t>Banco / impuesto / gasto</t>
        </is>
      </c>
      <c r="G912" s="8" t="inlineStr">
        <is>
          <t>Copiar en Flexxus: Tipo=MB-EXT | Movimiento=INGRESOS BRUTOS MENDOZA | Monto=119,83 | Fecha: 21/04/2026</t>
        </is>
      </c>
    </row>
    <row r="913">
      <c r="A913" s="8" t="inlineStr">
        <is>
          <t>Administración/Banco</t>
        </is>
      </c>
      <c r="B913" s="8" t="inlineStr">
        <is>
          <t>Banco egreso no Flexxus</t>
        </is>
      </c>
      <c r="C913" s="8" t="inlineStr">
        <is>
          <t>Retención Ingresos Brutos Mendoza</t>
        </is>
      </c>
      <c r="D913" s="9" t="n">
        <v>641.73</v>
      </c>
      <c r="E913" s="8" t="inlineStr">
        <is>
          <t>ABIERTO_NUEVO</t>
        </is>
      </c>
      <c r="F913" s="8" t="inlineStr">
        <is>
          <t>Banco / impuesto / gasto</t>
        </is>
      </c>
      <c r="G913" s="8" t="inlineStr">
        <is>
          <t>Copiar en Flexxus: Tipo=MB-EXT | Movimiento=INGRESOS BRUTOS MENDOZA | Monto=641,73 | Fecha: 21/04/2026</t>
        </is>
      </c>
    </row>
    <row r="914">
      <c r="A914" s="8" t="inlineStr">
        <is>
          <t>Administración/Banco</t>
        </is>
      </c>
      <c r="B914" s="8" t="inlineStr">
        <is>
          <t>Banco egreso no Flexxus</t>
        </is>
      </c>
      <c r="C914" s="8" t="inlineStr">
        <is>
          <t>Retención Ingresos Brutos Mendoza</t>
        </is>
      </c>
      <c r="D914" s="9" t="n">
        <v>83.19</v>
      </c>
      <c r="E914" s="8" t="inlineStr">
        <is>
          <t>ABIERTO_NUEVO</t>
        </is>
      </c>
      <c r="F914" s="8" t="inlineStr">
        <is>
          <t>Banco / impuesto / gasto</t>
        </is>
      </c>
      <c r="G914" s="8" t="inlineStr">
        <is>
          <t>Copiar en Flexxus: Tipo=MB-EXT | Movimiento=INGRESOS BRUTOS MENDOZA | Monto=83,19 | Fecha: 21/04/2026</t>
        </is>
      </c>
    </row>
    <row r="915">
      <c r="A915" s="8" t="inlineStr">
        <is>
          <t>Administración/Banco</t>
        </is>
      </c>
      <c r="B915" s="8" t="inlineStr">
        <is>
          <t>Banco egreso no Flexxus</t>
        </is>
      </c>
      <c r="C915" s="8" t="inlineStr">
        <is>
          <t>Retención Ingresos Brutos Mendoza</t>
        </is>
      </c>
      <c r="D915" s="9" t="n">
        <v>168.35</v>
      </c>
      <c r="E915" s="8" t="inlineStr">
        <is>
          <t>ABIERTO_NUEVO</t>
        </is>
      </c>
      <c r="F915" s="8" t="inlineStr">
        <is>
          <t>Banco / impuesto / gasto</t>
        </is>
      </c>
      <c r="G915" s="8" t="inlineStr">
        <is>
          <t>Copiar en Flexxus: Tipo=MB-EXT | Movimiento=INGRESOS BRUTOS MENDOZA | Monto=168,35 | Fecha: 21/04/2026</t>
        </is>
      </c>
    </row>
    <row r="916">
      <c r="A916" s="8" t="inlineStr">
        <is>
          <t>Administración/Banco</t>
        </is>
      </c>
      <c r="B916" s="8" t="inlineStr">
        <is>
          <t>Banco egreso no Flexxus</t>
        </is>
      </c>
      <c r="C916" s="8" t="inlineStr">
        <is>
          <t>Retención Ingresos Brutos Mendoza</t>
        </is>
      </c>
      <c r="D916" s="9" t="n">
        <v>220.84</v>
      </c>
      <c r="E916" s="8" t="inlineStr">
        <is>
          <t>ABIERTO_NUEVO</t>
        </is>
      </c>
      <c r="F916" s="8" t="inlineStr">
        <is>
          <t>Banco / impuesto / gasto</t>
        </is>
      </c>
      <c r="G916" s="8" t="inlineStr">
        <is>
          <t>Copiar en Flexxus: Tipo=MB-EXT | Movimiento=INGRESOS BRUTOS MENDOZA | Monto=220,84 | Fecha: 21/04/2026</t>
        </is>
      </c>
    </row>
    <row r="917">
      <c r="A917" s="8" t="inlineStr">
        <is>
          <t>Administración/Banco</t>
        </is>
      </c>
      <c r="B917" s="8" t="inlineStr">
        <is>
          <t>Banco egreso no Flexxus</t>
        </is>
      </c>
      <c r="C917" s="8" t="inlineStr">
        <is>
          <t>Retención Ingresos Brutos Mendoza</t>
        </is>
      </c>
      <c r="D917" s="9" t="n">
        <v>151.52</v>
      </c>
      <c r="E917" s="8" t="inlineStr">
        <is>
          <t>ABIERTO_NUEVO</t>
        </is>
      </c>
      <c r="F917" s="8" t="inlineStr">
        <is>
          <t>Banco / impuesto / gasto</t>
        </is>
      </c>
      <c r="G917" s="8" t="inlineStr">
        <is>
          <t>Copiar en Flexxus: Tipo=MB-EXT | Movimiento=INGRESOS BRUTOS MENDOZA | Monto=151,52 | Fecha: 21/04/2026</t>
        </is>
      </c>
    </row>
    <row r="918">
      <c r="A918" s="8" t="inlineStr">
        <is>
          <t>Administración/Banco</t>
        </is>
      </c>
      <c r="B918" s="8" t="inlineStr">
        <is>
          <t>Banco egreso no Flexxus</t>
        </is>
      </c>
      <c r="C918" s="8" t="inlineStr">
        <is>
          <t>Retención Ingresos Brutos Mendoza</t>
        </is>
      </c>
      <c r="D918" s="9" t="n">
        <v>113.89</v>
      </c>
      <c r="E918" s="8" t="inlineStr">
        <is>
          <t>ABIERTO_NUEVO</t>
        </is>
      </c>
      <c r="F918" s="8" t="inlineStr">
        <is>
          <t>Banco / impuesto / gasto</t>
        </is>
      </c>
      <c r="G918" s="8" t="inlineStr">
        <is>
          <t>Copiar en Flexxus: Tipo=MB-EXT | Movimiento=INGRESOS BRUTOS MENDOZA | Monto=113,89 | Fecha: 20/04/2026</t>
        </is>
      </c>
    </row>
    <row r="919">
      <c r="A919" s="8" t="inlineStr">
        <is>
          <t>Administración/Banco</t>
        </is>
      </c>
      <c r="B919" s="8" t="inlineStr">
        <is>
          <t>Banco egreso no Flexxus</t>
        </is>
      </c>
      <c r="C919" s="8" t="inlineStr">
        <is>
          <t>Retención Ingresos Brutos Mendoza</t>
        </is>
      </c>
      <c r="D919" s="9" t="n">
        <v>361.47</v>
      </c>
      <c r="E919" s="8" t="inlineStr">
        <is>
          <t>ABIERTO_NUEVO</t>
        </is>
      </c>
      <c r="F919" s="8" t="inlineStr">
        <is>
          <t>Banco / impuesto / gasto</t>
        </is>
      </c>
      <c r="G919" s="8" t="inlineStr">
        <is>
          <t>Copiar en Flexxus: Tipo=MB-EXT | Movimiento=INGRESOS BRUTOS MENDOZA | Monto=361,47 | Fecha: 20/04/2026</t>
        </is>
      </c>
    </row>
    <row r="920">
      <c r="A920" s="8" t="inlineStr">
        <is>
          <t>Administración/Banco</t>
        </is>
      </c>
      <c r="B920" s="8" t="inlineStr">
        <is>
          <t>Banco egreso no Flexxus</t>
        </is>
      </c>
      <c r="C920" s="8" t="inlineStr">
        <is>
          <t>Retención Ingresos Brutos Mendoza</t>
        </is>
      </c>
      <c r="D920" s="9" t="n">
        <v>210.94</v>
      </c>
      <c r="E920" s="8" t="inlineStr">
        <is>
          <t>ABIERTO_NUEVO</t>
        </is>
      </c>
      <c r="F920" s="8" t="inlineStr">
        <is>
          <t>Banco / impuesto / gasto</t>
        </is>
      </c>
      <c r="G920" s="8" t="inlineStr">
        <is>
          <t>Copiar en Flexxus: Tipo=MB-EXT | Movimiento=INGRESOS BRUTOS MENDOZA | Monto=210,94 | Fecha: 20/04/2026</t>
        </is>
      </c>
    </row>
    <row r="921">
      <c r="A921" s="8" t="inlineStr">
        <is>
          <t>Administración/Banco</t>
        </is>
      </c>
      <c r="B921" s="8" t="inlineStr">
        <is>
          <t>Banco egreso no Flexxus</t>
        </is>
      </c>
      <c r="C921" s="8" t="inlineStr">
        <is>
          <t>Retención Ingresos Brutos Mendoza</t>
        </is>
      </c>
      <c r="D921" s="9" t="n">
        <v>1553.97</v>
      </c>
      <c r="E921" s="8" t="inlineStr">
        <is>
          <t>ABIERTO_NUEVO</t>
        </is>
      </c>
      <c r="F921" s="8" t="inlineStr">
        <is>
          <t>Banco / impuesto / gasto</t>
        </is>
      </c>
      <c r="G921" s="8" t="inlineStr">
        <is>
          <t>Copiar en Flexxus: Tipo=MB-EXT | Movimiento=INGRESOS BRUTOS MENDOZA | Monto=1.553,97 | Fecha: 20/04/2026</t>
        </is>
      </c>
    </row>
    <row r="922">
      <c r="A922" s="8" t="inlineStr">
        <is>
          <t>Administración/Banco</t>
        </is>
      </c>
      <c r="B922" s="8" t="inlineStr">
        <is>
          <t>Banco egreso no Flexxus</t>
        </is>
      </c>
      <c r="C922" s="8" t="inlineStr">
        <is>
          <t>Retención Ingresos Brutos Mendoza</t>
        </is>
      </c>
      <c r="D922" s="9" t="n">
        <v>5934.49</v>
      </c>
      <c r="E922" s="8" t="inlineStr">
        <is>
          <t>ABIERTO_NUEVO</t>
        </is>
      </c>
      <c r="F922" s="8" t="inlineStr">
        <is>
          <t>Banco / impuesto / gasto</t>
        </is>
      </c>
      <c r="G922" s="8" t="inlineStr">
        <is>
          <t>Copiar en Flexxus: Tipo=MB-EXT | Movimiento=INGRESOS BRUTOS MENDOZA | Monto=5.934,49 | Fecha: 20/04/2026</t>
        </is>
      </c>
    </row>
    <row r="923">
      <c r="A923" s="8" t="inlineStr">
        <is>
          <t>Administración/Banco</t>
        </is>
      </c>
      <c r="B923" s="8" t="inlineStr">
        <is>
          <t>Banco egreso no Flexxus</t>
        </is>
      </c>
      <c r="C923" s="8" t="inlineStr">
        <is>
          <t>Retención Ingresos Brutos Mendoza</t>
        </is>
      </c>
      <c r="D923" s="9" t="n">
        <v>1037.3</v>
      </c>
      <c r="E923" s="8" t="inlineStr">
        <is>
          <t>ABIERTO_NUEVO</t>
        </is>
      </c>
      <c r="F923" s="8" t="inlineStr">
        <is>
          <t>Banco / impuesto / gasto</t>
        </is>
      </c>
      <c r="G923" s="8" t="inlineStr">
        <is>
          <t>Copiar en Flexxus: Tipo=MB-EXT | Movimiento=INGRESOS BRUTOS MENDOZA | Monto=1.037,30 | Fecha: 20/04/2026</t>
        </is>
      </c>
    </row>
    <row r="924">
      <c r="A924" s="8" t="inlineStr">
        <is>
          <t>Administración/Banco</t>
        </is>
      </c>
      <c r="B924" s="8" t="inlineStr">
        <is>
          <t>Banco egreso no Flexxus</t>
        </is>
      </c>
      <c r="C924" s="8" t="inlineStr">
        <is>
          <t>Retención Ingresos Brutos Mendoza</t>
        </is>
      </c>
      <c r="D924" s="9" t="n">
        <v>3012.18</v>
      </c>
      <c r="E924" s="8" t="inlineStr">
        <is>
          <t>ABIERTO_NUEVO</t>
        </is>
      </c>
      <c r="F924" s="8" t="inlineStr">
        <is>
          <t>Banco / impuesto / gasto</t>
        </is>
      </c>
      <c r="G924" s="8" t="inlineStr">
        <is>
          <t>Copiar en Flexxus: Tipo=MB-EXT | Movimiento=INGRESOS BRUTOS MENDOZA | Monto=3.012,18 | Fecha: 20/04/2026</t>
        </is>
      </c>
    </row>
    <row r="925">
      <c r="A925" s="8" t="inlineStr">
        <is>
          <t>Administración/Banco</t>
        </is>
      </c>
      <c r="B925" s="8" t="inlineStr">
        <is>
          <t>Banco egreso no Flexxus</t>
        </is>
      </c>
      <c r="C925" s="8" t="inlineStr">
        <is>
          <t>Retención Ingresos Brutos Mendoza</t>
        </is>
      </c>
      <c r="D925" s="9" t="n">
        <v>987.9</v>
      </c>
      <c r="E925" s="8" t="inlineStr">
        <is>
          <t>ABIERTO_NUEVO</t>
        </is>
      </c>
      <c r="F925" s="8" t="inlineStr">
        <is>
          <t>Banco / impuesto / gasto</t>
        </is>
      </c>
      <c r="G925" s="8" t="inlineStr">
        <is>
          <t>Copiar en Flexxus: Tipo=MB-EXT | Movimiento=INGRESOS BRUTOS MENDOZA | Monto=987,90 | Fecha: 20/04/2026</t>
        </is>
      </c>
    </row>
    <row r="926">
      <c r="A926" s="8" t="inlineStr">
        <is>
          <t>Administración/Banco</t>
        </is>
      </c>
      <c r="B926" s="8" t="inlineStr">
        <is>
          <t>Banco egreso no Flexxus</t>
        </is>
      </c>
      <c r="C926" s="8" t="inlineStr">
        <is>
          <t>Retención Ingresos Brutos Mendoza</t>
        </is>
      </c>
      <c r="D926" s="9" t="n">
        <v>496.81</v>
      </c>
      <c r="E926" s="8" t="inlineStr">
        <is>
          <t>ABIERTO_NUEVO</t>
        </is>
      </c>
      <c r="F926" s="8" t="inlineStr">
        <is>
          <t>Banco / impuesto / gasto</t>
        </is>
      </c>
      <c r="G926" s="8" t="inlineStr">
        <is>
          <t>Copiar en Flexxus: Tipo=MB-EXT | Movimiento=INGRESOS BRUTOS MENDOZA | Monto=496,81 | Fecha: 20/04/2026</t>
        </is>
      </c>
    </row>
    <row r="927">
      <c r="A927" s="8" t="inlineStr">
        <is>
          <t>Administración/Banco</t>
        </is>
      </c>
      <c r="B927" s="8" t="inlineStr">
        <is>
          <t>Banco egreso no Flexxus</t>
        </is>
      </c>
      <c r="C927" s="8" t="inlineStr">
        <is>
          <t>Retención Ingresos Brutos Mendoza</t>
        </is>
      </c>
      <c r="D927" s="9" t="n">
        <v>113.61</v>
      </c>
      <c r="E927" s="8" t="inlineStr">
        <is>
          <t>ABIERTO_NUEVO</t>
        </is>
      </c>
      <c r="F927" s="8" t="inlineStr">
        <is>
          <t>Banco / impuesto / gasto</t>
        </is>
      </c>
      <c r="G927" s="8" t="inlineStr">
        <is>
          <t>Copiar en Flexxus: Tipo=MB-EXT | Movimiento=INGRESOS BRUTOS MENDOZA | Monto=113,61 | Fecha: 20/04/2026</t>
        </is>
      </c>
    </row>
    <row r="928">
      <c r="A928" s="8" t="inlineStr">
        <is>
          <t>Administración/Banco</t>
        </is>
      </c>
      <c r="B928" s="8" t="inlineStr">
        <is>
          <t>Banco egreso no Flexxus</t>
        </is>
      </c>
      <c r="C928" s="8" t="inlineStr">
        <is>
          <t>Retención Ingresos Brutos Mendoza</t>
        </is>
      </c>
      <c r="D928" s="9" t="n">
        <v>341.22</v>
      </c>
      <c r="E928" s="8" t="inlineStr">
        <is>
          <t>ABIERTO_NUEVO</t>
        </is>
      </c>
      <c r="F928" s="8" t="inlineStr">
        <is>
          <t>Banco / impuesto / gasto</t>
        </is>
      </c>
      <c r="G928" s="8" t="inlineStr">
        <is>
          <t>Copiar en Flexxus: Tipo=MB-EXT | Movimiento=INGRESOS BRUTOS MENDOZA | Monto=341,22 | Fecha: 20/04/2026</t>
        </is>
      </c>
    </row>
    <row r="929">
      <c r="A929" s="8" t="inlineStr">
        <is>
          <t>Administración/Banco</t>
        </is>
      </c>
      <c r="B929" s="8" t="inlineStr">
        <is>
          <t>Banco egreso no Flexxus</t>
        </is>
      </c>
      <c r="C929" s="8" t="inlineStr">
        <is>
          <t>Retención Ingresos Brutos Mendoza</t>
        </is>
      </c>
      <c r="D929" s="9" t="n">
        <v>4051.14</v>
      </c>
      <c r="E929" s="8" t="inlineStr">
        <is>
          <t>ABIERTO_NUEVO</t>
        </is>
      </c>
      <c r="F929" s="8" t="inlineStr">
        <is>
          <t>Banco / impuesto / gasto</t>
        </is>
      </c>
      <c r="G929" s="8" t="inlineStr">
        <is>
          <t>Copiar en Flexxus: Tipo=MB-EXT | Movimiento=INGRESOS BRUTOS MENDOZA | Monto=4.051,14 | Fecha: 20/04/2026</t>
        </is>
      </c>
    </row>
    <row r="930">
      <c r="A930" s="8" t="inlineStr">
        <is>
          <t>Administración/Banco</t>
        </is>
      </c>
      <c r="B930" s="8" t="inlineStr">
        <is>
          <t>Banco egreso no Flexxus</t>
        </is>
      </c>
      <c r="C930" s="8" t="inlineStr">
        <is>
          <t>Retención Ingresos Brutos Mendoza</t>
        </is>
      </c>
      <c r="D930" s="9" t="n">
        <v>123.49</v>
      </c>
      <c r="E930" s="8" t="inlineStr">
        <is>
          <t>ABIERTO_NUEVO</t>
        </is>
      </c>
      <c r="F930" s="8" t="inlineStr">
        <is>
          <t>Banco / impuesto / gasto</t>
        </is>
      </c>
      <c r="G930" s="8" t="inlineStr">
        <is>
          <t>Copiar en Flexxus: Tipo=MB-EXT | Movimiento=INGRESOS BRUTOS MENDOZA | Monto=123,49 | Fecha: 20/04/2026</t>
        </is>
      </c>
    </row>
    <row r="931">
      <c r="A931" s="8" t="inlineStr">
        <is>
          <t>Administración/Banco</t>
        </is>
      </c>
      <c r="B931" s="8" t="inlineStr">
        <is>
          <t>Banco egreso no Flexxus</t>
        </is>
      </c>
      <c r="C931" s="8" t="inlineStr">
        <is>
          <t>Retención Ingresos Brutos Mendoza</t>
        </is>
      </c>
      <c r="D931" s="9" t="n">
        <v>358.03</v>
      </c>
      <c r="E931" s="8" t="inlineStr">
        <is>
          <t>ABIERTO_NUEVO</t>
        </is>
      </c>
      <c r="F931" s="8" t="inlineStr">
        <is>
          <t>Banco / impuesto / gasto</t>
        </is>
      </c>
      <c r="G931" s="8" t="inlineStr">
        <is>
          <t>Copiar en Flexxus: Tipo=MB-EXT | Movimiento=INGRESOS BRUTOS MENDOZA | Monto=358,03 | Fecha: 20/04/2026</t>
        </is>
      </c>
    </row>
    <row r="932">
      <c r="A932" s="8" t="inlineStr">
        <is>
          <t>Administración/Banco</t>
        </is>
      </c>
      <c r="B932" s="8" t="inlineStr">
        <is>
          <t>Banco egreso no Flexxus</t>
        </is>
      </c>
      <c r="C932" s="8" t="inlineStr">
        <is>
          <t>Retención Ingresos Brutos Mendoza</t>
        </is>
      </c>
      <c r="D932" s="9" t="n">
        <v>247.58</v>
      </c>
      <c r="E932" s="8" t="inlineStr">
        <is>
          <t>ABIERTO_NUEVO</t>
        </is>
      </c>
      <c r="F932" s="8" t="inlineStr">
        <is>
          <t>Banco / impuesto / gasto</t>
        </is>
      </c>
      <c r="G932" s="8" t="inlineStr">
        <is>
          <t>Copiar en Flexxus: Tipo=MB-EXT | Movimiento=INGRESOS BRUTOS MENDOZA | Monto=247,58 | Fecha: 20/04/2026</t>
        </is>
      </c>
    </row>
    <row r="933">
      <c r="A933" s="8" t="inlineStr">
        <is>
          <t>Administración/Banco</t>
        </is>
      </c>
      <c r="B933" s="8" t="inlineStr">
        <is>
          <t>Banco egreso no Flexxus</t>
        </is>
      </c>
      <c r="C933" s="8" t="inlineStr">
        <is>
          <t>Retención Ingresos Brutos Mendoza</t>
        </is>
      </c>
      <c r="D933" s="9" t="n">
        <v>6305.28</v>
      </c>
      <c r="E933" s="8" t="inlineStr">
        <is>
          <t>ABIERTO_NUEVO</t>
        </is>
      </c>
      <c r="F933" s="8" t="inlineStr">
        <is>
          <t>Banco / impuesto / gasto</t>
        </is>
      </c>
      <c r="G933" s="8" t="inlineStr">
        <is>
          <t>Copiar en Flexxus: Tipo=MB-EXT | Movimiento=INGRESOS BRUTOS MENDOZA | Monto=6.305,28 | Fecha: 20/04/2026</t>
        </is>
      </c>
    </row>
    <row r="934">
      <c r="A934" s="8" t="inlineStr">
        <is>
          <t>Administración/Banco</t>
        </is>
      </c>
      <c r="B934" s="8" t="inlineStr">
        <is>
          <t>Banco egreso no Flexxus</t>
        </is>
      </c>
      <c r="C934" s="8" t="inlineStr">
        <is>
          <t>Retención Ingresos Brutos Mendoza</t>
        </is>
      </c>
      <c r="D934" s="9" t="n">
        <v>1219.17</v>
      </c>
      <c r="E934" s="8" t="inlineStr">
        <is>
          <t>ABIERTO_NUEVO</t>
        </is>
      </c>
      <c r="F934" s="8" t="inlineStr">
        <is>
          <t>Banco / impuesto / gasto</t>
        </is>
      </c>
      <c r="G934" s="8" t="inlineStr">
        <is>
          <t>Copiar en Flexxus: Tipo=MB-EXT | Movimiento=INGRESOS BRUTOS MENDOZA | Monto=1.219,17 | Fecha: 20/04/2026</t>
        </is>
      </c>
    </row>
    <row r="935">
      <c r="A935" s="8" t="inlineStr">
        <is>
          <t>Administración/Banco</t>
        </is>
      </c>
      <c r="B935" s="8" t="inlineStr">
        <is>
          <t>Banco egreso no Flexxus</t>
        </is>
      </c>
      <c r="C935" s="8" t="inlineStr">
        <is>
          <t>Retención Ingresos Brutos Mendoza</t>
        </is>
      </c>
      <c r="D935" s="9" t="n">
        <v>313.03</v>
      </c>
      <c r="E935" s="8" t="inlineStr">
        <is>
          <t>ABIERTO_NUEVO</t>
        </is>
      </c>
      <c r="F935" s="8" t="inlineStr">
        <is>
          <t>Banco / impuesto / gasto</t>
        </is>
      </c>
      <c r="G935" s="8" t="inlineStr">
        <is>
          <t>Copiar en Flexxus: Tipo=MB-EXT | Movimiento=INGRESOS BRUTOS MENDOZA | Monto=313,03 | Fecha: 20/04/2026</t>
        </is>
      </c>
    </row>
    <row r="936">
      <c r="A936" s="8" t="inlineStr">
        <is>
          <t>Administración/Banco</t>
        </is>
      </c>
      <c r="B936" s="8" t="inlineStr">
        <is>
          <t>Banco egreso no Flexxus</t>
        </is>
      </c>
      <c r="C936" s="8" t="inlineStr">
        <is>
          <t>Retención Ingresos Brutos Mendoza</t>
        </is>
      </c>
      <c r="D936" s="9" t="n">
        <v>521.85</v>
      </c>
      <c r="E936" s="8" t="inlineStr">
        <is>
          <t>ABIERTO_NUEVO</t>
        </is>
      </c>
      <c r="F936" s="8" t="inlineStr">
        <is>
          <t>Banco / impuesto / gasto</t>
        </is>
      </c>
      <c r="G936" s="8" t="inlineStr">
        <is>
          <t>Copiar en Flexxus: Tipo=MB-EXT | Movimiento=INGRESOS BRUTOS MENDOZA | Monto=521,85 | Fecha: 20/04/2026</t>
        </is>
      </c>
    </row>
    <row r="937">
      <c r="A937" s="8" t="inlineStr">
        <is>
          <t>Administración/Banco</t>
        </is>
      </c>
      <c r="B937" s="8" t="inlineStr">
        <is>
          <t>Banco egreso no Flexxus</t>
        </is>
      </c>
      <c r="C937" s="8" t="inlineStr">
        <is>
          <t>Retención Ingresos Brutos Mendoza</t>
        </is>
      </c>
      <c r="D937" s="9" t="n">
        <v>916.59</v>
      </c>
      <c r="E937" s="8" t="inlineStr">
        <is>
          <t>ABIERTO_NUEVO</t>
        </is>
      </c>
      <c r="F937" s="8" t="inlineStr">
        <is>
          <t>Banco / impuesto / gasto</t>
        </is>
      </c>
      <c r="G937" s="8" t="inlineStr">
        <is>
          <t>Copiar en Flexxus: Tipo=MB-EXT | Movimiento=INGRESOS BRUTOS MENDOZA | Monto=916,59 | Fecha: 20/04/2026</t>
        </is>
      </c>
    </row>
    <row r="938">
      <c r="A938" s="8" t="inlineStr">
        <is>
          <t>Administración/Banco</t>
        </is>
      </c>
      <c r="B938" s="8" t="inlineStr">
        <is>
          <t>Banco egreso no Flexxus</t>
        </is>
      </c>
      <c r="C938" s="8" t="inlineStr">
        <is>
          <t>Retención Ingresos Brutos Mendoza</t>
        </is>
      </c>
      <c r="D938" s="9" t="n">
        <v>22532.11</v>
      </c>
      <c r="E938" s="8" t="inlineStr">
        <is>
          <t>ABIERTO_NUEVO</t>
        </is>
      </c>
      <c r="F938" s="8" t="inlineStr">
        <is>
          <t>Banco / impuesto / gasto</t>
        </is>
      </c>
      <c r="G938" s="8" t="inlineStr">
        <is>
          <t>Copiar en Flexxus: Tipo=MB-EXT | Movimiento=INGRESOS BRUTOS MENDOZA | Monto=22.532,11 | Fecha: 20/04/2026</t>
        </is>
      </c>
    </row>
    <row r="939">
      <c r="A939" s="8" t="inlineStr">
        <is>
          <t>Administración/Banco</t>
        </is>
      </c>
      <c r="B939" s="8" t="inlineStr">
        <is>
          <t>Banco egreso no Flexxus</t>
        </is>
      </c>
      <c r="C939" s="8" t="inlineStr">
        <is>
          <t>Retención Ingresos Brutos Mendoza</t>
        </is>
      </c>
      <c r="D939" s="9" t="n">
        <v>316.94</v>
      </c>
      <c r="E939" s="8" t="inlineStr">
        <is>
          <t>ABIERTO_NUEVO</t>
        </is>
      </c>
      <c r="F939" s="8" t="inlineStr">
        <is>
          <t>Banco / impuesto / gasto</t>
        </is>
      </c>
      <c r="G939" s="8" t="inlineStr">
        <is>
          <t>Copiar en Flexxus: Tipo=MB-EXT | Movimiento=INGRESOS BRUTOS MENDOZA | Monto=316,94 | Fecha: 20/04/2026</t>
        </is>
      </c>
    </row>
    <row r="940">
      <c r="A940" s="8" t="inlineStr">
        <is>
          <t>Administración/Banco</t>
        </is>
      </c>
      <c r="B940" s="8" t="inlineStr">
        <is>
          <t>Banco egreso no Flexxus</t>
        </is>
      </c>
      <c r="C940" s="8" t="inlineStr">
        <is>
          <t>Retención Ingresos Brutos Mendoza</t>
        </is>
      </c>
      <c r="D940" s="9" t="n">
        <v>82.17</v>
      </c>
      <c r="E940" s="8" t="inlineStr">
        <is>
          <t>ABIERTO_NUEVO</t>
        </is>
      </c>
      <c r="F940" s="8" t="inlineStr">
        <is>
          <t>Banco / impuesto / gasto</t>
        </is>
      </c>
      <c r="G940" s="8" t="inlineStr">
        <is>
          <t>Copiar en Flexxus: Tipo=MB-EXT | Movimiento=INGRESOS BRUTOS MENDOZA | Monto=82,17 | Fecha: 20/04/2026</t>
        </is>
      </c>
    </row>
    <row r="941">
      <c r="A941" s="8" t="inlineStr">
        <is>
          <t>Administración/Banco</t>
        </is>
      </c>
      <c r="B941" s="8" t="inlineStr">
        <is>
          <t>Banco egreso no Flexxus</t>
        </is>
      </c>
      <c r="C941" s="8" t="inlineStr">
        <is>
          <t>Retención Ingresos Brutos Mendoza</t>
        </is>
      </c>
      <c r="D941" s="9" t="n">
        <v>141.84</v>
      </c>
      <c r="E941" s="8" t="inlineStr">
        <is>
          <t>ABIERTO_NUEVO</t>
        </is>
      </c>
      <c r="F941" s="8" t="inlineStr">
        <is>
          <t>Banco / impuesto / gasto</t>
        </is>
      </c>
      <c r="G941" s="8" t="inlineStr">
        <is>
          <t>Copiar en Flexxus: Tipo=MB-EXT | Movimiento=INGRESOS BRUTOS MENDOZA | Monto=141,84 | Fecha: 20/04/2026</t>
        </is>
      </c>
    </row>
    <row r="942">
      <c r="A942" s="8" t="inlineStr">
        <is>
          <t>Administración/Banco</t>
        </is>
      </c>
      <c r="B942" s="8" t="inlineStr">
        <is>
          <t>Banco egreso no Flexxus</t>
        </is>
      </c>
      <c r="C942" s="8" t="inlineStr">
        <is>
          <t>Retención Ingresos Brutos Mendoza</t>
        </is>
      </c>
      <c r="D942" s="9" t="n">
        <v>954.74</v>
      </c>
      <c r="E942" s="8" t="inlineStr">
        <is>
          <t>ABIERTO_NUEVO</t>
        </is>
      </c>
      <c r="F942" s="8" t="inlineStr">
        <is>
          <t>Banco / impuesto / gasto</t>
        </is>
      </c>
      <c r="G942" s="8" t="inlineStr">
        <is>
          <t>Copiar en Flexxus: Tipo=MB-EXT | Movimiento=INGRESOS BRUTOS MENDOZA | Monto=954,74 | Fecha: 20/04/2026</t>
        </is>
      </c>
    </row>
    <row r="943">
      <c r="A943" s="8" t="inlineStr">
        <is>
          <t>Administración/Banco</t>
        </is>
      </c>
      <c r="B943" s="8" t="inlineStr">
        <is>
          <t>Banco egreso no Flexxus</t>
        </is>
      </c>
      <c r="C943" s="8" t="inlineStr">
        <is>
          <t>Retención Ingresos Brutos Mendoza</t>
        </is>
      </c>
      <c r="D943" s="9" t="n">
        <v>521.85</v>
      </c>
      <c r="E943" s="8" t="inlineStr">
        <is>
          <t>ABIERTO_NUEVO</t>
        </is>
      </c>
      <c r="F943" s="8" t="inlineStr">
        <is>
          <t>Banco / impuesto / gasto</t>
        </is>
      </c>
      <c r="G943" s="8" t="inlineStr">
        <is>
          <t>Copiar en Flexxus: Tipo=MB-EXT | Movimiento=INGRESOS BRUTOS MENDOZA | Monto=521,85 | Fecha: 20/04/2026</t>
        </is>
      </c>
    </row>
    <row r="944">
      <c r="A944" s="8" t="inlineStr">
        <is>
          <t>Administración/Banco</t>
        </is>
      </c>
      <c r="B944" s="8" t="inlineStr">
        <is>
          <t>Banco egreso no Flexxus</t>
        </is>
      </c>
      <c r="C944" s="8" t="inlineStr">
        <is>
          <t>Retención Ingresos Brutos Mendoza</t>
        </is>
      </c>
      <c r="D944" s="9" t="n">
        <v>3161.82</v>
      </c>
      <c r="E944" s="8" t="inlineStr">
        <is>
          <t>ABIERTO_NUEVO</t>
        </is>
      </c>
      <c r="F944" s="8" t="inlineStr">
        <is>
          <t>Banco / impuesto / gasto</t>
        </is>
      </c>
      <c r="G944" s="8" t="inlineStr">
        <is>
          <t>Copiar en Flexxus: Tipo=MB-EXT | Movimiento=INGRESOS BRUTOS MENDOZA | Monto=3.161,82 | Fecha: 20/04/2026</t>
        </is>
      </c>
    </row>
    <row r="945">
      <c r="A945" s="8" t="inlineStr">
        <is>
          <t>Administración/Banco</t>
        </is>
      </c>
      <c r="B945" s="8" t="inlineStr">
        <is>
          <t>Banco egreso no Flexxus</t>
        </is>
      </c>
      <c r="C945" s="8" t="inlineStr">
        <is>
          <t>Retención Ingresos Brutos Mendoza</t>
        </is>
      </c>
      <c r="D945" s="9" t="n">
        <v>352.16</v>
      </c>
      <c r="E945" s="8" t="inlineStr">
        <is>
          <t>ABIERTO_NUEVO</t>
        </is>
      </c>
      <c r="F945" s="8" t="inlineStr">
        <is>
          <t>Banco / impuesto / gasto</t>
        </is>
      </c>
      <c r="G945" s="8" t="inlineStr">
        <is>
          <t>Copiar en Flexxus: Tipo=MB-EXT | Movimiento=INGRESOS BRUTOS MENDOZA | Monto=352,16 | Fecha: 20/04/2026</t>
        </is>
      </c>
    </row>
    <row r="946">
      <c r="A946" s="8" t="inlineStr">
        <is>
          <t>Administración/Banco</t>
        </is>
      </c>
      <c r="B946" s="8" t="inlineStr">
        <is>
          <t>Banco egreso no Flexxus</t>
        </is>
      </c>
      <c r="C946" s="8" t="inlineStr">
        <is>
          <t>Retención Ingresos Brutos Mendoza</t>
        </is>
      </c>
      <c r="D946" s="9" t="n">
        <v>328.68</v>
      </c>
      <c r="E946" s="8" t="inlineStr">
        <is>
          <t>ABIERTO_NUEVO</t>
        </is>
      </c>
      <c r="F946" s="8" t="inlineStr">
        <is>
          <t>Banco / impuesto / gasto</t>
        </is>
      </c>
      <c r="G946" s="8" t="inlineStr">
        <is>
          <t>Copiar en Flexxus: Tipo=MB-EXT | Movimiento=INGRESOS BRUTOS MENDOZA | Monto=328,68 | Fecha: 20/04/2026</t>
        </is>
      </c>
    </row>
    <row r="947">
      <c r="A947" s="8" t="inlineStr">
        <is>
          <t>Administración/Banco</t>
        </is>
      </c>
      <c r="B947" s="8" t="inlineStr">
        <is>
          <t>Banco egreso no Flexxus</t>
        </is>
      </c>
      <c r="C947" s="8" t="inlineStr">
        <is>
          <t>Retención Ingresos Brutos Mendoza</t>
        </is>
      </c>
      <c r="D947" s="9" t="n">
        <v>249.56</v>
      </c>
      <c r="E947" s="8" t="inlineStr">
        <is>
          <t>ABIERTO_NUEVO</t>
        </is>
      </c>
      <c r="F947" s="8" t="inlineStr">
        <is>
          <t>Banco / impuesto / gasto</t>
        </is>
      </c>
      <c r="G947" s="8" t="inlineStr">
        <is>
          <t>Copiar en Flexxus: Tipo=MB-EXT | Movimiento=INGRESOS BRUTOS MENDOZA | Monto=249,56 | Fecha: 20/04/2026</t>
        </is>
      </c>
    </row>
    <row r="948">
      <c r="A948" s="8" t="inlineStr">
        <is>
          <t>Administración/Banco</t>
        </is>
      </c>
      <c r="B948" s="8" t="inlineStr">
        <is>
          <t>Banco egreso no Flexxus</t>
        </is>
      </c>
      <c r="C948" s="8" t="inlineStr">
        <is>
          <t>Retención Ingresos Brutos Mendoza</t>
        </is>
      </c>
      <c r="D948" s="9" t="n">
        <v>265.41</v>
      </c>
      <c r="E948" s="8" t="inlineStr">
        <is>
          <t>ABIERTO_NUEVO</t>
        </is>
      </c>
      <c r="F948" s="8" t="inlineStr">
        <is>
          <t>Banco / impuesto / gasto</t>
        </is>
      </c>
      <c r="G948" s="8" t="inlineStr">
        <is>
          <t>Copiar en Flexxus: Tipo=MB-EXT | Movimiento=INGRESOS BRUTOS MENDOZA | Monto=265,41 | Fecha: 20/04/2026</t>
        </is>
      </c>
    </row>
    <row r="949">
      <c r="A949" s="8" t="inlineStr">
        <is>
          <t>Administración/Banco</t>
        </is>
      </c>
      <c r="B949" s="8" t="inlineStr">
        <is>
          <t>Banco egreso no Flexxus</t>
        </is>
      </c>
      <c r="C949" s="8" t="inlineStr">
        <is>
          <t>Retención Ingresos Brutos Mendoza</t>
        </is>
      </c>
      <c r="D949" s="9" t="n">
        <v>227.77</v>
      </c>
      <c r="E949" s="8" t="inlineStr">
        <is>
          <t>ABIERTO_NUEVO</t>
        </is>
      </c>
      <c r="F949" s="8" t="inlineStr">
        <is>
          <t>Banco / impuesto / gasto</t>
        </is>
      </c>
      <c r="G949" s="8" t="inlineStr">
        <is>
          <t>Copiar en Flexxus: Tipo=MB-EXT | Movimiento=INGRESOS BRUTOS MENDOZA | Monto=227,77 | Fecha: 20/04/2026</t>
        </is>
      </c>
    </row>
    <row r="950">
      <c r="A950" s="8" t="inlineStr">
        <is>
          <t>Administración/Banco</t>
        </is>
      </c>
      <c r="B950" s="8" t="inlineStr">
        <is>
          <t>Banco egreso no Flexxus</t>
        </is>
      </c>
      <c r="C950" s="8" t="inlineStr">
        <is>
          <t>Retención Ingresos Brutos Mendoza</t>
        </is>
      </c>
      <c r="D950" s="9" t="n">
        <v>113.89</v>
      </c>
      <c r="E950" s="8" t="inlineStr">
        <is>
          <t>ABIERTO_NUEVO</t>
        </is>
      </c>
      <c r="F950" s="8" t="inlineStr">
        <is>
          <t>Banco / impuesto / gasto</t>
        </is>
      </c>
      <c r="G950" s="8" t="inlineStr">
        <is>
          <t>Copiar en Flexxus: Tipo=MB-EXT | Movimiento=INGRESOS BRUTOS MENDOZA | Monto=113,89 | Fecha: 20/04/2026</t>
        </is>
      </c>
    </row>
    <row r="951">
      <c r="A951" s="8" t="inlineStr">
        <is>
          <t>Administración/Banco</t>
        </is>
      </c>
      <c r="B951" s="8" t="inlineStr">
        <is>
          <t>Banco egreso no Flexxus</t>
        </is>
      </c>
      <c r="C951" s="8" t="inlineStr">
        <is>
          <t>Retención Ingresos Brutos Mendoza</t>
        </is>
      </c>
      <c r="D951" s="9" t="n">
        <v>179.25</v>
      </c>
      <c r="E951" s="8" t="inlineStr">
        <is>
          <t>ABIERTO_NUEVO</t>
        </is>
      </c>
      <c r="F951" s="8" t="inlineStr">
        <is>
          <t>Banco / impuesto / gasto</t>
        </is>
      </c>
      <c r="G951" s="8" t="inlineStr">
        <is>
          <t>Copiar en Flexxus: Tipo=MB-EXT | Movimiento=INGRESOS BRUTOS MENDOZA | Monto=179,25 | Fecha: 20/04/2026</t>
        </is>
      </c>
    </row>
    <row r="952">
      <c r="A952" s="8" t="inlineStr">
        <is>
          <t>Administración/Banco</t>
        </is>
      </c>
      <c r="B952" s="8" t="inlineStr">
        <is>
          <t>Banco egreso no Flexxus</t>
        </is>
      </c>
      <c r="C952" s="8" t="inlineStr">
        <is>
          <t>Retención Ingresos Brutos Mendoza</t>
        </is>
      </c>
      <c r="D952" s="9" t="n">
        <v>168.35</v>
      </c>
      <c r="E952" s="8" t="inlineStr">
        <is>
          <t>ABIERTO_NUEVO</t>
        </is>
      </c>
      <c r="F952" s="8" t="inlineStr">
        <is>
          <t>Banco / impuesto / gasto</t>
        </is>
      </c>
      <c r="G952" s="8" t="inlineStr">
        <is>
          <t>Copiar en Flexxus: Tipo=MB-EXT | Movimiento=INGRESOS BRUTOS MENDOZA | Monto=168,35 | Fecha: 20/04/2026</t>
        </is>
      </c>
    </row>
    <row r="953">
      <c r="A953" s="8" t="inlineStr">
        <is>
          <t>Administración/Banco</t>
        </is>
      </c>
      <c r="B953" s="8" t="inlineStr">
        <is>
          <t>Banco egreso no Flexxus</t>
        </is>
      </c>
      <c r="C953" s="8" t="inlineStr">
        <is>
          <t>Retención Ingresos Brutos Mendoza</t>
        </is>
      </c>
      <c r="D953" s="9" t="n">
        <v>229.75</v>
      </c>
      <c r="E953" s="8" t="inlineStr">
        <is>
          <t>ABIERTO_NUEVO</t>
        </is>
      </c>
      <c r="F953" s="8" t="inlineStr">
        <is>
          <t>Banco / impuesto / gasto</t>
        </is>
      </c>
      <c r="G953" s="8" t="inlineStr">
        <is>
          <t>Copiar en Flexxus: Tipo=MB-EXT | Movimiento=INGRESOS BRUTOS MENDOZA | Monto=229,75 | Fecha: 20/04/2026</t>
        </is>
      </c>
    </row>
    <row r="954">
      <c r="A954" s="8" t="inlineStr">
        <is>
          <t>Administración/Banco</t>
        </is>
      </c>
      <c r="B954" s="8" t="inlineStr">
        <is>
          <t>Banco egreso no Flexxus</t>
        </is>
      </c>
      <c r="C954" s="8" t="inlineStr">
        <is>
          <t>Retención Ingresos Brutos Mendoza</t>
        </is>
      </c>
      <c r="D954" s="9" t="n">
        <v>526.36</v>
      </c>
      <c r="E954" s="8" t="inlineStr">
        <is>
          <t>ABIERTO_NUEVO</t>
        </is>
      </c>
      <c r="F954" s="8" t="inlineStr">
        <is>
          <t>Banco / impuesto / gasto</t>
        </is>
      </c>
      <c r="G954" s="8" t="inlineStr">
        <is>
          <t>Copiar en Flexxus: Tipo=MB-EXT | Movimiento=INGRESOS BRUTOS MENDOZA | Monto=526,36 | Fecha: 20/04/2026</t>
        </is>
      </c>
    </row>
    <row r="955">
      <c r="A955" s="8" t="inlineStr">
        <is>
          <t>Administración/Banco</t>
        </is>
      </c>
      <c r="B955" s="8" t="inlineStr">
        <is>
          <t>Banco egreso no Flexxus</t>
        </is>
      </c>
      <c r="C955" s="8" t="inlineStr">
        <is>
          <t>Retención Ingresos Brutos Mendoza</t>
        </is>
      </c>
      <c r="D955" s="9" t="n">
        <v>526.36</v>
      </c>
      <c r="E955" s="8" t="inlineStr">
        <is>
          <t>ABIERTO_NUEVO</t>
        </is>
      </c>
      <c r="F955" s="8" t="inlineStr">
        <is>
          <t>Banco / impuesto / gasto</t>
        </is>
      </c>
      <c r="G955" s="8" t="inlineStr">
        <is>
          <t>Copiar en Flexxus: Tipo=MB-EXT | Movimiento=INGRESOS BRUTOS MENDOZA | Monto=526,36 | Fecha: 20/04/2026</t>
        </is>
      </c>
    </row>
    <row r="956">
      <c r="A956" s="8" t="inlineStr">
        <is>
          <t>Administración/Banco</t>
        </is>
      </c>
      <c r="B956" s="8" t="inlineStr">
        <is>
          <t>Banco egreso no Flexxus</t>
        </is>
      </c>
      <c r="C956" s="8" t="inlineStr">
        <is>
          <t>Retención Ingresos Brutos Mendoza</t>
        </is>
      </c>
      <c r="D956" s="9" t="n">
        <v>232.73</v>
      </c>
      <c r="E956" s="8" t="inlineStr">
        <is>
          <t>ABIERTO_NUEVO</t>
        </is>
      </c>
      <c r="F956" s="8" t="inlineStr">
        <is>
          <t>Banco / impuesto / gasto</t>
        </is>
      </c>
      <c r="G956" s="8" t="inlineStr">
        <is>
          <t>Copiar en Flexxus: Tipo=MB-EXT | Movimiento=INGRESOS BRUTOS MENDOZA | Monto=232,73 | Fecha: 20/04/2026</t>
        </is>
      </c>
    </row>
    <row r="957">
      <c r="A957" s="8" t="inlineStr">
        <is>
          <t>Administración/Banco</t>
        </is>
      </c>
      <c r="B957" s="8" t="inlineStr">
        <is>
          <t>Banco egreso no Flexxus</t>
        </is>
      </c>
      <c r="C957" s="8" t="inlineStr">
        <is>
          <t>Retención Ingresos Brutos Mendoza</t>
        </is>
      </c>
      <c r="D957" s="9" t="n">
        <v>2972.94</v>
      </c>
      <c r="E957" s="8" t="inlineStr">
        <is>
          <t>ABIERTO_NUEVO</t>
        </is>
      </c>
      <c r="F957" s="8" t="inlineStr">
        <is>
          <t>Banco / impuesto / gasto</t>
        </is>
      </c>
      <c r="G957" s="8" t="inlineStr">
        <is>
          <t>Copiar en Flexxus: Tipo=MB-EXT | Movimiento=INGRESOS BRUTOS MENDOZA | Monto=2.972,94 | Fecha: 20/04/2026</t>
        </is>
      </c>
    </row>
    <row r="958">
      <c r="A958" s="8" t="inlineStr">
        <is>
          <t>Administración/Banco</t>
        </is>
      </c>
      <c r="B958" s="8" t="inlineStr">
        <is>
          <t>Banco egreso no Flexxus</t>
        </is>
      </c>
      <c r="C958" s="8" t="inlineStr">
        <is>
          <t>Retención Ingresos Brutos Mendoza</t>
        </is>
      </c>
      <c r="D958" s="9" t="n">
        <v>1592.43</v>
      </c>
      <c r="E958" s="8" t="inlineStr">
        <is>
          <t>ABIERTO_NUEVO</t>
        </is>
      </c>
      <c r="F958" s="8" t="inlineStr">
        <is>
          <t>Banco / impuesto / gasto</t>
        </is>
      </c>
      <c r="G958" s="8" t="inlineStr">
        <is>
          <t>Copiar en Flexxus: Tipo=MB-EXT | Movimiento=INGRESOS BRUTOS MENDOZA | Monto=1.592,43 | Fecha: 20/04/2026</t>
        </is>
      </c>
    </row>
    <row r="959">
      <c r="A959" s="8" t="inlineStr">
        <is>
          <t>Administración/Banco</t>
        </is>
      </c>
      <c r="B959" s="8" t="inlineStr">
        <is>
          <t>Banco egreso no Flexxus</t>
        </is>
      </c>
      <c r="C959" s="8" t="inlineStr">
        <is>
          <t>Retención Ingresos Brutos Mendoza</t>
        </is>
      </c>
      <c r="D959" s="9" t="n">
        <v>1442.9</v>
      </c>
      <c r="E959" s="8" t="inlineStr">
        <is>
          <t>ABIERTO_NUEVO</t>
        </is>
      </c>
      <c r="F959" s="8" t="inlineStr">
        <is>
          <t>Banco / impuesto / gasto</t>
        </is>
      </c>
      <c r="G959" s="8" t="inlineStr">
        <is>
          <t>Copiar en Flexxus: Tipo=MB-EXT | Movimiento=INGRESOS BRUTOS MENDOZA | Monto=1.442,90 | Fecha: 20/04/2026</t>
        </is>
      </c>
    </row>
    <row r="960">
      <c r="A960" s="8" t="inlineStr">
        <is>
          <t>Administración/Banco</t>
        </is>
      </c>
      <c r="B960" s="8" t="inlineStr">
        <is>
          <t>Banco egreso no Flexxus</t>
        </is>
      </c>
      <c r="C960" s="8" t="inlineStr">
        <is>
          <t>Retención Ingresos Brutos Mendoza</t>
        </is>
      </c>
      <c r="D960" s="9" t="n">
        <v>342.65</v>
      </c>
      <c r="E960" s="8" t="inlineStr">
        <is>
          <t>ABIERTO_NUEVO</t>
        </is>
      </c>
      <c r="F960" s="8" t="inlineStr">
        <is>
          <t>Banco / impuesto / gasto</t>
        </is>
      </c>
      <c r="G960" s="8" t="inlineStr">
        <is>
          <t>Copiar en Flexxus: Tipo=MB-EXT | Movimiento=INGRESOS BRUTOS MENDOZA | Monto=342,65 | Fecha: 20/04/2026</t>
        </is>
      </c>
    </row>
    <row r="961">
      <c r="A961" s="8" t="inlineStr">
        <is>
          <t>Administración/Banco</t>
        </is>
      </c>
      <c r="B961" s="8" t="inlineStr">
        <is>
          <t>Banco egreso no Flexxus</t>
        </is>
      </c>
      <c r="C961" s="8" t="inlineStr">
        <is>
          <t>Retención Ingresos Brutos Mendoza</t>
        </is>
      </c>
      <c r="D961" s="9" t="n">
        <v>350.57</v>
      </c>
      <c r="E961" s="8" t="inlineStr">
        <is>
          <t>ABIERTO_NUEVO</t>
        </is>
      </c>
      <c r="F961" s="8" t="inlineStr">
        <is>
          <t>Banco / impuesto / gasto</t>
        </is>
      </c>
      <c r="G961" s="8" t="inlineStr">
        <is>
          <t>Copiar en Flexxus: Tipo=MB-EXT | Movimiento=INGRESOS BRUTOS MENDOZA | Monto=350,57 | Fecha: 20/04/2026</t>
        </is>
      </c>
    </row>
    <row r="962">
      <c r="A962" s="8" t="inlineStr">
        <is>
          <t>Administración/Banco</t>
        </is>
      </c>
      <c r="B962" s="8" t="inlineStr">
        <is>
          <t>Banco egreso no Flexxus</t>
        </is>
      </c>
      <c r="C962" s="8" t="inlineStr">
        <is>
          <t>Retención Ingresos Brutos Mendoza</t>
        </is>
      </c>
      <c r="D962" s="9" t="n">
        <v>406.03</v>
      </c>
      <c r="E962" s="8" t="inlineStr">
        <is>
          <t>ABIERTO_NUEVO</t>
        </is>
      </c>
      <c r="F962" s="8" t="inlineStr">
        <is>
          <t>Banco / impuesto / gasto</t>
        </is>
      </c>
      <c r="G962" s="8" t="inlineStr">
        <is>
          <t>Copiar en Flexxus: Tipo=MB-EXT | Movimiento=INGRESOS BRUTOS MENDOZA | Monto=406,03 | Fecha: 20/04/2026</t>
        </is>
      </c>
    </row>
    <row r="963">
      <c r="A963" s="8" t="inlineStr">
        <is>
          <t>Administración/Banco</t>
        </is>
      </c>
      <c r="B963" s="8" t="inlineStr">
        <is>
          <t>Banco egreso no Flexxus</t>
        </is>
      </c>
      <c r="C963" s="8" t="inlineStr">
        <is>
          <t>Retención Ingresos Brutos Mendoza</t>
        </is>
      </c>
      <c r="D963" s="9" t="n">
        <v>314.92</v>
      </c>
      <c r="E963" s="8" t="inlineStr">
        <is>
          <t>ABIERTO_NUEVO</t>
        </is>
      </c>
      <c r="F963" s="8" t="inlineStr">
        <is>
          <t>Banco / impuesto / gasto</t>
        </is>
      </c>
      <c r="G963" s="8" t="inlineStr">
        <is>
          <t>Copiar en Flexxus: Tipo=MB-EXT | Movimiento=INGRESOS BRUTOS MENDOZA | Monto=314,92 | Fecha: 20/04/2026</t>
        </is>
      </c>
    </row>
    <row r="964">
      <c r="A964" s="8" t="inlineStr">
        <is>
          <t>Administración/Banco</t>
        </is>
      </c>
      <c r="B964" s="8" t="inlineStr">
        <is>
          <t>Banco egreso no Flexxus</t>
        </is>
      </c>
      <c r="C964" s="8" t="inlineStr">
        <is>
          <t>Retención Ingresos Brutos Mendoza</t>
        </is>
      </c>
      <c r="D964" s="9" t="n">
        <v>377.31</v>
      </c>
      <c r="E964" s="8" t="inlineStr">
        <is>
          <t>ABIERTO_NUEVO</t>
        </is>
      </c>
      <c r="F964" s="8" t="inlineStr">
        <is>
          <t>Banco / impuesto / gasto</t>
        </is>
      </c>
      <c r="G964" s="8" t="inlineStr">
        <is>
          <t>Copiar en Flexxus: Tipo=MB-EXT | Movimiento=INGRESOS BRUTOS MENDOZA | Monto=377,31 | Fecha: 20/04/2026</t>
        </is>
      </c>
    </row>
    <row r="965">
      <c r="A965" s="8" t="inlineStr">
        <is>
          <t>Administración/Banco</t>
        </is>
      </c>
      <c r="B965" s="8" t="inlineStr">
        <is>
          <t>Banco egreso no Flexxus</t>
        </is>
      </c>
      <c r="C965" s="8" t="inlineStr">
        <is>
          <t>Retención Ingresos Brutos Mendoza</t>
        </is>
      </c>
      <c r="D965" s="9" t="n">
        <v>32.68</v>
      </c>
      <c r="E965" s="8" t="inlineStr">
        <is>
          <t>ABIERTO_NUEVO</t>
        </is>
      </c>
      <c r="F965" s="8" t="inlineStr">
        <is>
          <t>Banco / impuesto / gasto</t>
        </is>
      </c>
      <c r="G965" s="8" t="inlineStr">
        <is>
          <t>Copiar en Flexxus: Tipo=MB-EXT | Movimiento=INGRESOS BRUTOS MENDOZA | Monto=32,68 | Fecha: 20/04/2026</t>
        </is>
      </c>
    </row>
    <row r="966">
      <c r="A966" s="8" t="inlineStr">
        <is>
          <t>Administración/Banco</t>
        </is>
      </c>
      <c r="B966" s="8" t="inlineStr">
        <is>
          <t>Banco egreso no Flexxus</t>
        </is>
      </c>
      <c r="C966" s="8" t="inlineStr">
        <is>
          <t>Retención Ingresos Brutos Mendoza</t>
        </is>
      </c>
      <c r="D966" s="9" t="n">
        <v>276.3</v>
      </c>
      <c r="E966" s="8" t="inlineStr">
        <is>
          <t>ABIERTO_NUEVO</t>
        </is>
      </c>
      <c r="F966" s="8" t="inlineStr">
        <is>
          <t>Banco / impuesto / gasto</t>
        </is>
      </c>
      <c r="G966" s="8" t="inlineStr">
        <is>
          <t>Copiar en Flexxus: Tipo=MB-EXT | Movimiento=INGRESOS BRUTOS MENDOZA | Monto=276,30 | Fecha: 20/04/2026</t>
        </is>
      </c>
    </row>
    <row r="967">
      <c r="A967" s="8" t="inlineStr">
        <is>
          <t>Administración/Banco</t>
        </is>
      </c>
      <c r="B967" s="8" t="inlineStr">
        <is>
          <t>Banco egreso no Flexxus</t>
        </is>
      </c>
      <c r="C967" s="8" t="inlineStr">
        <is>
          <t>Retención Ingresos Brutos Mendoza</t>
        </is>
      </c>
      <c r="D967" s="9" t="n">
        <v>133.69</v>
      </c>
      <c r="E967" s="8" t="inlineStr">
        <is>
          <t>ABIERTO_NUEVO</t>
        </is>
      </c>
      <c r="F967" s="8" t="inlineStr">
        <is>
          <t>Banco / impuesto / gasto</t>
        </is>
      </c>
      <c r="G967" s="8" t="inlineStr">
        <is>
          <t>Copiar en Flexxus: Tipo=MB-EXT | Movimiento=INGRESOS BRUTOS MENDOZA | Monto=133,69 | Fecha: 20/04/2026</t>
        </is>
      </c>
    </row>
    <row r="968">
      <c r="A968" s="8" t="inlineStr">
        <is>
          <t>Administración/Banco</t>
        </is>
      </c>
      <c r="B968" s="8" t="inlineStr">
        <is>
          <t>Banco egreso no Flexxus</t>
        </is>
      </c>
      <c r="C968" s="8" t="inlineStr">
        <is>
          <t>Retención Ingresos Brutos Mendoza</t>
        </is>
      </c>
      <c r="D968" s="9" t="n">
        <v>436.73</v>
      </c>
      <c r="E968" s="8" t="inlineStr">
        <is>
          <t>ABIERTO_NUEVO</t>
        </is>
      </c>
      <c r="F968" s="8" t="inlineStr">
        <is>
          <t>Banco / impuesto / gasto</t>
        </is>
      </c>
      <c r="G968" s="8" t="inlineStr">
        <is>
          <t>Copiar en Flexxus: Tipo=MB-EXT | Movimiento=INGRESOS BRUTOS MENDOZA | Monto=436,73 | Fecha: 20/04/2026</t>
        </is>
      </c>
    </row>
    <row r="969">
      <c r="A969" s="8" t="inlineStr">
        <is>
          <t>Administración/Banco</t>
        </is>
      </c>
      <c r="B969" s="8" t="inlineStr">
        <is>
          <t>Banco egreso no Flexxus</t>
        </is>
      </c>
      <c r="C969" s="8" t="inlineStr">
        <is>
          <t>Retención Ingresos Brutos Mendoza</t>
        </is>
      </c>
      <c r="D969" s="9" t="n">
        <v>454.56</v>
      </c>
      <c r="E969" s="8" t="inlineStr">
        <is>
          <t>ABIERTO_NUEVO</t>
        </is>
      </c>
      <c r="F969" s="8" t="inlineStr">
        <is>
          <t>Banco / impuesto / gasto</t>
        </is>
      </c>
      <c r="G969" s="8" t="inlineStr">
        <is>
          <t>Copiar en Flexxus: Tipo=MB-EXT | Movimiento=INGRESOS BRUTOS MENDOZA | Monto=454,56 | Fecha: 20/04/2026</t>
        </is>
      </c>
    </row>
    <row r="970">
      <c r="A970" s="8" t="inlineStr">
        <is>
          <t>Administración/Banco</t>
        </is>
      </c>
      <c r="B970" s="8" t="inlineStr">
        <is>
          <t>Banco egreso no Flexxus</t>
        </is>
      </c>
      <c r="C970" s="8" t="inlineStr">
        <is>
          <t>Retención Ingresos Brutos Mendoza</t>
        </is>
      </c>
      <c r="D970" s="9" t="n">
        <v>184.2</v>
      </c>
      <c r="E970" s="8" t="inlineStr">
        <is>
          <t>ABIERTO_NUEVO</t>
        </is>
      </c>
      <c r="F970" s="8" t="inlineStr">
        <is>
          <t>Banco / impuesto / gasto</t>
        </is>
      </c>
      <c r="G970" s="8" t="inlineStr">
        <is>
          <t>Copiar en Flexxus: Tipo=MB-EXT | Movimiento=INGRESOS BRUTOS MENDOZA | Monto=184,20 | Fecha: 20/04/2026</t>
        </is>
      </c>
    </row>
    <row r="971">
      <c r="A971" s="8" t="inlineStr">
        <is>
          <t>Administración/Banco</t>
        </is>
      </c>
      <c r="B971" s="8" t="inlineStr">
        <is>
          <t>Banco egreso no Flexxus</t>
        </is>
      </c>
      <c r="C971" s="8" t="inlineStr">
        <is>
          <t>Retención Ingresos Brutos Mendoza</t>
        </is>
      </c>
      <c r="D971" s="9" t="n">
        <v>264.42</v>
      </c>
      <c r="E971" s="8" t="inlineStr">
        <is>
          <t>ABIERTO_NUEVO</t>
        </is>
      </c>
      <c r="F971" s="8" t="inlineStr">
        <is>
          <t>Banco / impuesto / gasto</t>
        </is>
      </c>
      <c r="G971" s="8" t="inlineStr">
        <is>
          <t>Copiar en Flexxus: Tipo=MB-EXT | Movimiento=INGRESOS BRUTOS MENDOZA | Monto=264,42 | Fecha: 20/04/2026</t>
        </is>
      </c>
    </row>
    <row r="972">
      <c r="A972" s="8" t="inlineStr">
        <is>
          <t>Administración/Banco</t>
        </is>
      </c>
      <c r="B972" s="8" t="inlineStr">
        <is>
          <t>Banco egreso no Flexxus</t>
        </is>
      </c>
      <c r="C972" s="8" t="inlineStr">
        <is>
          <t>Retención Ingresos Brutos Mendoza</t>
        </is>
      </c>
      <c r="D972" s="9" t="n">
        <v>152.51</v>
      </c>
      <c r="E972" s="8" t="inlineStr">
        <is>
          <t>ABIERTO_NUEVO</t>
        </is>
      </c>
      <c r="F972" s="8" t="inlineStr">
        <is>
          <t>Banco / impuesto / gasto</t>
        </is>
      </c>
      <c r="G972" s="8" t="inlineStr">
        <is>
          <t>Copiar en Flexxus: Tipo=MB-EXT | Movimiento=INGRESOS BRUTOS MENDOZA | Monto=152,51 | Fecha: 20/04/2026</t>
        </is>
      </c>
    </row>
    <row r="973">
      <c r="A973" s="8" t="inlineStr">
        <is>
          <t>Administración/Banco</t>
        </is>
      </c>
      <c r="B973" s="8" t="inlineStr">
        <is>
          <t>Banco egreso no Flexxus</t>
        </is>
      </c>
      <c r="C973" s="8" t="inlineStr">
        <is>
          <t>Retención Ingresos Brutos Mendoza</t>
        </is>
      </c>
      <c r="D973" s="9" t="n">
        <v>247.58</v>
      </c>
      <c r="E973" s="8" t="inlineStr">
        <is>
          <t>ABIERTO_NUEVO</t>
        </is>
      </c>
      <c r="F973" s="8" t="inlineStr">
        <is>
          <t>Banco / impuesto / gasto</t>
        </is>
      </c>
      <c r="G973" s="8" t="inlineStr">
        <is>
          <t>Copiar en Flexxus: Tipo=MB-EXT | Movimiento=INGRESOS BRUTOS MENDOZA | Monto=247,58 | Fecha: 20/04/2026</t>
        </is>
      </c>
    </row>
    <row r="974">
      <c r="A974" s="8" t="inlineStr">
        <is>
          <t>Administración/Banco</t>
        </is>
      </c>
      <c r="B974" s="8" t="inlineStr">
        <is>
          <t>Banco egreso no Flexxus</t>
        </is>
      </c>
      <c r="C974" s="8" t="inlineStr">
        <is>
          <t>Retención Ingresos Brutos Mendoza</t>
        </is>
      </c>
      <c r="D974" s="9" t="n">
        <v>170.34</v>
      </c>
      <c r="E974" s="8" t="inlineStr">
        <is>
          <t>ABIERTO_NUEVO</t>
        </is>
      </c>
      <c r="F974" s="8" t="inlineStr">
        <is>
          <t>Banco / impuesto / gasto</t>
        </is>
      </c>
      <c r="G974" s="8" t="inlineStr">
        <is>
          <t>Copiar en Flexxus: Tipo=MB-EXT | Movimiento=INGRESOS BRUTOS MENDOZA | Monto=170,34 | Fecha: 20/04/2026</t>
        </is>
      </c>
    </row>
    <row r="975">
      <c r="A975" s="8" t="inlineStr">
        <is>
          <t>Administración/Banco</t>
        </is>
      </c>
      <c r="B975" s="8" t="inlineStr">
        <is>
          <t>Banco egreso no Flexxus</t>
        </is>
      </c>
      <c r="C975" s="8" t="inlineStr">
        <is>
          <t>Retención Ingresos Brutos Mendoza</t>
        </is>
      </c>
      <c r="D975" s="9" t="n">
        <v>180.24</v>
      </c>
      <c r="E975" s="8" t="inlineStr">
        <is>
          <t>ABIERTO_NUEVO</t>
        </is>
      </c>
      <c r="F975" s="8" t="inlineStr">
        <is>
          <t>Banco / impuesto / gasto</t>
        </is>
      </c>
      <c r="G975" s="8" t="inlineStr">
        <is>
          <t>Copiar en Flexxus: Tipo=MB-EXT | Movimiento=INGRESOS BRUTOS MENDOZA | Monto=180,24 | Fecha: 20/04/2026</t>
        </is>
      </c>
    </row>
    <row r="976">
      <c r="A976" s="8" t="inlineStr">
        <is>
          <t>Administración/Banco</t>
        </is>
      </c>
      <c r="B976" s="8" t="inlineStr">
        <is>
          <t>Banco egreso no Flexxus</t>
        </is>
      </c>
      <c r="C976" s="8" t="inlineStr">
        <is>
          <t>Retención Ingresos Brutos Mendoza</t>
        </is>
      </c>
      <c r="D976" s="9" t="n">
        <v>55.46</v>
      </c>
      <c r="E976" s="8" t="inlineStr">
        <is>
          <t>ABIERTO_NUEVO</t>
        </is>
      </c>
      <c r="F976" s="8" t="inlineStr">
        <is>
          <t>Banco / impuesto / gasto</t>
        </is>
      </c>
      <c r="G976" s="8" t="inlineStr">
        <is>
          <t>Copiar en Flexxus: Tipo=MB-EXT | Movimiento=INGRESOS BRUTOS MENDOZA | Monto=55,46 | Fecha: 20/04/2026</t>
        </is>
      </c>
    </row>
    <row r="977">
      <c r="A977" s="8" t="inlineStr">
        <is>
          <t>Administración/Banco</t>
        </is>
      </c>
      <c r="B977" s="8" t="inlineStr">
        <is>
          <t>Banco egreso no Flexxus</t>
        </is>
      </c>
      <c r="C977" s="8" t="inlineStr">
        <is>
          <t>Retención Ingresos Brutos Mendoza</t>
        </is>
      </c>
      <c r="D977" s="9" t="n">
        <v>191.13</v>
      </c>
      <c r="E977" s="8" t="inlineStr">
        <is>
          <t>ABIERTO_NUEVO</t>
        </is>
      </c>
      <c r="F977" s="8" t="inlineStr">
        <is>
          <t>Banco / impuesto / gasto</t>
        </is>
      </c>
      <c r="G977" s="8" t="inlineStr">
        <is>
          <t>Copiar en Flexxus: Tipo=MB-EXT | Movimiento=INGRESOS BRUTOS MENDOZA | Monto=191,13 | Fecha: 20/04/2026</t>
        </is>
      </c>
    </row>
    <row r="978">
      <c r="A978" s="8" t="inlineStr">
        <is>
          <t>Administración/Banco</t>
        </is>
      </c>
      <c r="B978" s="8" t="inlineStr">
        <is>
          <t>Banco egreso no Flexxus</t>
        </is>
      </c>
      <c r="C978" s="8" t="inlineStr">
        <is>
          <t>Retención Ingresos Brutos Mendoza</t>
        </is>
      </c>
      <c r="D978" s="9" t="n">
        <v>381.27</v>
      </c>
      <c r="E978" s="8" t="inlineStr">
        <is>
          <t>ABIERTO_NUEVO</t>
        </is>
      </c>
      <c r="F978" s="8" t="inlineStr">
        <is>
          <t>Banco / impuesto / gasto</t>
        </is>
      </c>
      <c r="G978" s="8" t="inlineStr">
        <is>
          <t>Copiar en Flexxus: Tipo=MB-EXT | Movimiento=INGRESOS BRUTOS MENDOZA | Monto=381,27 | Fecha: 20/04/2026</t>
        </is>
      </c>
    </row>
    <row r="979">
      <c r="A979" s="8" t="inlineStr">
        <is>
          <t>Administración/Banco</t>
        </is>
      </c>
      <c r="B979" s="8" t="inlineStr">
        <is>
          <t>Banco egreso no Flexxus</t>
        </is>
      </c>
      <c r="C979" s="8" t="inlineStr">
        <is>
          <t>Retención Ingresos Brutos Mendoza</t>
        </is>
      </c>
      <c r="D979" s="9" t="n">
        <v>227.77</v>
      </c>
      <c r="E979" s="8" t="inlineStr">
        <is>
          <t>ABIERTO_NUEVO</t>
        </is>
      </c>
      <c r="F979" s="8" t="inlineStr">
        <is>
          <t>Banco / impuesto / gasto</t>
        </is>
      </c>
      <c r="G979" s="8" t="inlineStr">
        <is>
          <t>Copiar en Flexxus: Tipo=MB-EXT | Movimiento=INGRESOS BRUTOS MENDOZA | Monto=227,77 | Fecha: 20/04/2026</t>
        </is>
      </c>
    </row>
    <row r="980">
      <c r="A980" s="8" t="inlineStr">
        <is>
          <t>Administración/Banco</t>
        </is>
      </c>
      <c r="B980" s="8" t="inlineStr">
        <is>
          <t>Banco egreso no Flexxus</t>
        </is>
      </c>
      <c r="C980" s="8" t="inlineStr">
        <is>
          <t>Retención Ingresos Brutos Mendoza</t>
        </is>
      </c>
      <c r="D980" s="9" t="n">
        <v>89.13</v>
      </c>
      <c r="E980" s="8" t="inlineStr">
        <is>
          <t>ABIERTO_NUEVO</t>
        </is>
      </c>
      <c r="F980" s="8" t="inlineStr">
        <is>
          <t>Banco / impuesto / gasto</t>
        </is>
      </c>
      <c r="G980" s="8" t="inlineStr">
        <is>
          <t>Copiar en Flexxus: Tipo=MB-EXT | Movimiento=INGRESOS BRUTOS MENDOZA | Monto=89,13 | Fecha: 20/04/2026</t>
        </is>
      </c>
    </row>
    <row r="981">
      <c r="A981" s="8" t="inlineStr">
        <is>
          <t>Administración/Banco</t>
        </is>
      </c>
      <c r="B981" s="8" t="inlineStr">
        <is>
          <t>Banco egreso no Flexxus</t>
        </is>
      </c>
      <c r="C981" s="8" t="inlineStr">
        <is>
          <t>Retención Ingresos Brutos Mendoza</t>
        </is>
      </c>
      <c r="D981" s="9" t="n">
        <v>418.91</v>
      </c>
      <c r="E981" s="8" t="inlineStr">
        <is>
          <t>ABIERTO_NUEVO</t>
        </is>
      </c>
      <c r="F981" s="8" t="inlineStr">
        <is>
          <t>Banco / impuesto / gasto</t>
        </is>
      </c>
      <c r="G981" s="8" t="inlineStr">
        <is>
          <t>Copiar en Flexxus: Tipo=MB-EXT | Movimiento=INGRESOS BRUTOS MENDOZA | Monto=418,91 | Fecha: 20/04/2026</t>
        </is>
      </c>
    </row>
    <row r="982">
      <c r="A982" s="8" t="inlineStr">
        <is>
          <t>Administración/Banco</t>
        </is>
      </c>
      <c r="B982" s="8" t="inlineStr">
        <is>
          <t>Banco egreso no Flexxus</t>
        </is>
      </c>
      <c r="C982" s="8" t="inlineStr">
        <is>
          <t>Retención Ingresos Brutos Mendoza</t>
        </is>
      </c>
      <c r="D982" s="9" t="n">
        <v>389.2</v>
      </c>
      <c r="E982" s="8" t="inlineStr">
        <is>
          <t>ABIERTO_NUEVO</t>
        </is>
      </c>
      <c r="F982" s="8" t="inlineStr">
        <is>
          <t>Banco / impuesto / gasto</t>
        </is>
      </c>
      <c r="G982" s="8" t="inlineStr">
        <is>
          <t>Copiar en Flexxus: Tipo=MB-EXT | Movimiento=INGRESOS BRUTOS MENDOZA | Monto=389,20 | Fecha: 20/04/2026</t>
        </is>
      </c>
    </row>
    <row r="983">
      <c r="A983" s="8" t="inlineStr">
        <is>
          <t>Administración/Banco</t>
        </is>
      </c>
      <c r="B983" s="8" t="inlineStr">
        <is>
          <t>Banco egreso no Flexxus</t>
        </is>
      </c>
      <c r="C983" s="8" t="inlineStr">
        <is>
          <t>Retención Ingresos Brutos Mendoza</t>
        </is>
      </c>
      <c r="D983" s="9" t="n">
        <v>544.6799999999999</v>
      </c>
      <c r="E983" s="8" t="inlineStr">
        <is>
          <t>ABIERTO_NUEVO</t>
        </is>
      </c>
      <c r="F983" s="8" t="inlineStr">
        <is>
          <t>Banco / impuesto / gasto</t>
        </is>
      </c>
      <c r="G983" s="8" t="inlineStr">
        <is>
          <t>Copiar en Flexxus: Tipo=MB-EXT | Movimiento=INGRESOS BRUTOS MENDOZA | Monto=544,68 | Fecha: 20/04/2026</t>
        </is>
      </c>
    </row>
    <row r="984">
      <c r="A984" s="8" t="inlineStr">
        <is>
          <t>Administración/Banco</t>
        </is>
      </c>
      <c r="B984" s="8" t="inlineStr">
        <is>
          <t>Banco egreso no Flexxus</t>
        </is>
      </c>
      <c r="C984" s="8" t="inlineStr">
        <is>
          <t>Retención Ingresos Brutos Mendoza</t>
        </is>
      </c>
      <c r="D984" s="9" t="n">
        <v>1000</v>
      </c>
      <c r="E984" s="8" t="inlineStr">
        <is>
          <t>ABIERTO_NUEVO</t>
        </is>
      </c>
      <c r="F984" s="8" t="inlineStr">
        <is>
          <t>Banco / impuesto / gasto</t>
        </is>
      </c>
      <c r="G984" s="8" t="inlineStr">
        <is>
          <t>Copiar en Flexxus: Tipo=MB-EXT | Movimiento=INGRESOS BRUTOS MENDOZA | Monto=1.000,00 | Fecha: 20/04/2026</t>
        </is>
      </c>
    </row>
    <row r="985">
      <c r="A985" s="8" t="inlineStr">
        <is>
          <t>Administración/Banco</t>
        </is>
      </c>
      <c r="B985" s="8" t="inlineStr">
        <is>
          <t>Banco egreso no Flexxus</t>
        </is>
      </c>
      <c r="C985" s="8" t="inlineStr">
        <is>
          <t>Retención Ingresos Brutos Mendoza</t>
        </is>
      </c>
      <c r="D985" s="9" t="n">
        <v>282.24</v>
      </c>
      <c r="E985" s="8" t="inlineStr">
        <is>
          <t>ABIERTO_NUEVO</t>
        </is>
      </c>
      <c r="F985" s="8" t="inlineStr">
        <is>
          <t>Banco / impuesto / gasto</t>
        </is>
      </c>
      <c r="G985" s="8" t="inlineStr">
        <is>
          <t>Copiar en Flexxus: Tipo=MB-EXT | Movimiento=INGRESOS BRUTOS MENDOZA | Monto=282,24 | Fecha: 20/04/2026</t>
        </is>
      </c>
    </row>
    <row r="986">
      <c r="A986" s="8" t="inlineStr">
        <is>
          <t>Administración/Banco</t>
        </is>
      </c>
      <c r="B986" s="8" t="inlineStr">
        <is>
          <t>Banco egreso no Flexxus</t>
        </is>
      </c>
      <c r="C986" s="8" t="inlineStr">
        <is>
          <t>Retención Ingresos Brutos Mendoza</t>
        </is>
      </c>
      <c r="D986" s="9" t="n">
        <v>113.89</v>
      </c>
      <c r="E986" s="8" t="inlineStr">
        <is>
          <t>ABIERTO_NUEVO</t>
        </is>
      </c>
      <c r="F986" s="8" t="inlineStr">
        <is>
          <t>Banco / impuesto / gasto</t>
        </is>
      </c>
      <c r="G986" s="8" t="inlineStr">
        <is>
          <t>Copiar en Flexxus: Tipo=MB-EXT | Movimiento=INGRESOS BRUTOS MENDOZA | Monto=113,89 | Fecha: 20/04/2026</t>
        </is>
      </c>
    </row>
    <row r="987">
      <c r="A987" s="8" t="inlineStr">
        <is>
          <t>Administración/Banco</t>
        </is>
      </c>
      <c r="B987" s="8" t="inlineStr">
        <is>
          <t>Banco egreso no Flexxus</t>
        </is>
      </c>
      <c r="C987" s="8" t="inlineStr">
        <is>
          <t>Retención Ingresos Brutos Mendoza</t>
        </is>
      </c>
      <c r="D987" s="9" t="n">
        <v>530.8099999999999</v>
      </c>
      <c r="E987" s="8" t="inlineStr">
        <is>
          <t>ABIERTO_NUEVO</t>
        </is>
      </c>
      <c r="F987" s="8" t="inlineStr">
        <is>
          <t>Banco / impuesto / gasto</t>
        </is>
      </c>
      <c r="G987" s="8" t="inlineStr">
        <is>
          <t>Copiar en Flexxus: Tipo=MB-EXT | Movimiento=INGRESOS BRUTOS MENDOZA | Monto=530,81 | Fecha: 20/04/2026</t>
        </is>
      </c>
    </row>
    <row r="988">
      <c r="A988" s="8" t="inlineStr">
        <is>
          <t>Administración/Banco</t>
        </is>
      </c>
      <c r="B988" s="8" t="inlineStr">
        <is>
          <t>Banco egreso no Flexxus</t>
        </is>
      </c>
      <c r="C988" s="8" t="inlineStr">
        <is>
          <t>Retención Ingresos Brutos Mendoza</t>
        </is>
      </c>
      <c r="D988" s="9" t="n">
        <v>475.35</v>
      </c>
      <c r="E988" s="8" t="inlineStr">
        <is>
          <t>ABIERTO_NUEVO</t>
        </is>
      </c>
      <c r="F988" s="8" t="inlineStr">
        <is>
          <t>Banco / impuesto / gasto</t>
        </is>
      </c>
      <c r="G988" s="8" t="inlineStr">
        <is>
          <t>Copiar en Flexxus: Tipo=MB-EXT | Movimiento=INGRESOS BRUTOS MENDOZA | Monto=475,35 | Fecha: 20/04/2026</t>
        </is>
      </c>
    </row>
    <row r="989">
      <c r="A989" s="8" t="inlineStr">
        <is>
          <t>Administración/Banco</t>
        </is>
      </c>
      <c r="B989" s="8" t="inlineStr">
        <is>
          <t>Banco egreso no Flexxus</t>
        </is>
      </c>
      <c r="C989" s="8" t="inlineStr">
        <is>
          <t>Retención Ingresos Brutos Mendoza</t>
        </is>
      </c>
      <c r="D989" s="9" t="n">
        <v>472.38</v>
      </c>
      <c r="E989" s="8" t="inlineStr">
        <is>
          <t>ABIERTO_NUEVO</t>
        </is>
      </c>
      <c r="F989" s="8" t="inlineStr">
        <is>
          <t>Banco / impuesto / gasto</t>
        </is>
      </c>
      <c r="G989" s="8" t="inlineStr">
        <is>
          <t>Copiar en Flexxus: Tipo=MB-EXT | Movimiento=INGRESOS BRUTOS MENDOZA | Monto=472,38 | Fecha: 20/04/2026</t>
        </is>
      </c>
    </row>
    <row r="990">
      <c r="A990" s="8" t="inlineStr">
        <is>
          <t>Administración/Banco</t>
        </is>
      </c>
      <c r="B990" s="8" t="inlineStr">
        <is>
          <t>Banco egreso no Flexxus</t>
        </is>
      </c>
      <c r="C990" s="8" t="inlineStr">
        <is>
          <t>Retención Ingresos Brutos Mendoza</t>
        </is>
      </c>
      <c r="D990" s="9" t="n">
        <v>331.76</v>
      </c>
      <c r="E990" s="8" t="inlineStr">
        <is>
          <t>ABIERTO_NUEVO</t>
        </is>
      </c>
      <c r="F990" s="8" t="inlineStr">
        <is>
          <t>Banco / impuesto / gasto</t>
        </is>
      </c>
      <c r="G990" s="8" t="inlineStr">
        <is>
          <t>Copiar en Flexxus: Tipo=MB-EXT | Movimiento=INGRESOS BRUTOS MENDOZA | Monto=331,76 | Fecha: 20/04/2026</t>
        </is>
      </c>
    </row>
    <row r="991">
      <c r="A991" s="8" t="inlineStr">
        <is>
          <t>Administración/Banco</t>
        </is>
      </c>
      <c r="B991" s="8" t="inlineStr">
        <is>
          <t>Banco egreso no Flexxus</t>
        </is>
      </c>
      <c r="C991" s="8" t="inlineStr">
        <is>
          <t>Retención Ingresos Brutos Mendoza</t>
        </is>
      </c>
      <c r="D991" s="9" t="n">
        <v>341.66</v>
      </c>
      <c r="E991" s="8" t="inlineStr">
        <is>
          <t>ABIERTO_NUEVO</t>
        </is>
      </c>
      <c r="F991" s="8" t="inlineStr">
        <is>
          <t>Banco / impuesto / gasto</t>
        </is>
      </c>
      <c r="G991" s="8" t="inlineStr">
        <is>
          <t>Copiar en Flexxus: Tipo=MB-EXT | Movimiento=INGRESOS BRUTOS MENDOZA | Monto=341,66 | Fecha: 20/04/2026</t>
        </is>
      </c>
    </row>
    <row r="992">
      <c r="A992" s="8" t="inlineStr">
        <is>
          <t>Administración/Banco</t>
        </is>
      </c>
      <c r="B992" s="8" t="inlineStr">
        <is>
          <t>Banco egreso no Flexxus</t>
        </is>
      </c>
      <c r="C992" s="8" t="inlineStr">
        <is>
          <t>Retención Ingresos Brutos Mendoza</t>
        </is>
      </c>
      <c r="D992" s="9" t="n">
        <v>287.19</v>
      </c>
      <c r="E992" s="8" t="inlineStr">
        <is>
          <t>ABIERTO_NUEVO</t>
        </is>
      </c>
      <c r="F992" s="8" t="inlineStr">
        <is>
          <t>Banco / impuesto / gasto</t>
        </is>
      </c>
      <c r="G992" s="8" t="inlineStr">
        <is>
          <t>Copiar en Flexxus: Tipo=MB-EXT | Movimiento=INGRESOS BRUTOS MENDOZA | Monto=287,19 | Fecha: 20/04/2026</t>
        </is>
      </c>
    </row>
    <row r="993">
      <c r="A993" s="8" t="inlineStr">
        <is>
          <t>Administración/Banco</t>
        </is>
      </c>
      <c r="B993" s="8" t="inlineStr">
        <is>
          <t>Banco egreso no Flexxus</t>
        </is>
      </c>
      <c r="C993" s="8" t="inlineStr">
        <is>
          <t>Retención Ingresos Brutos Mendoza</t>
        </is>
      </c>
      <c r="D993" s="9" t="n">
        <v>220.84</v>
      </c>
      <c r="E993" s="8" t="inlineStr">
        <is>
          <t>ABIERTO_NUEVO</t>
        </is>
      </c>
      <c r="F993" s="8" t="inlineStr">
        <is>
          <t>Banco / impuesto / gasto</t>
        </is>
      </c>
      <c r="G993" s="8" t="inlineStr">
        <is>
          <t>Copiar en Flexxus: Tipo=MB-EXT | Movimiento=INGRESOS BRUTOS MENDOZA | Monto=220,84 | Fecha: 20/04/2026</t>
        </is>
      </c>
    </row>
    <row r="994">
      <c r="A994" s="8" t="inlineStr">
        <is>
          <t>Administración/Banco</t>
        </is>
      </c>
      <c r="B994" s="8" t="inlineStr">
        <is>
          <t>Banco egreso no Flexxus</t>
        </is>
      </c>
      <c r="C994" s="8" t="inlineStr">
        <is>
          <t>Retención Ingresos Brutos Mendoza</t>
        </is>
      </c>
      <c r="D994" s="9" t="n">
        <v>79.23</v>
      </c>
      <c r="E994" s="8" t="inlineStr">
        <is>
          <t>ABIERTO_NUEVO</t>
        </is>
      </c>
      <c r="F994" s="8" t="inlineStr">
        <is>
          <t>Banco / impuesto / gasto</t>
        </is>
      </c>
      <c r="G994" s="8" t="inlineStr">
        <is>
          <t>Copiar en Flexxus: Tipo=MB-EXT | Movimiento=INGRESOS BRUTOS MENDOZA | Monto=79,23 | Fecha: 20/04/2026</t>
        </is>
      </c>
    </row>
    <row r="995">
      <c r="A995" s="8" t="inlineStr">
        <is>
          <t>Administración/Banco</t>
        </is>
      </c>
      <c r="B995" s="8" t="inlineStr">
        <is>
          <t>Banco egreso no Flexxus</t>
        </is>
      </c>
      <c r="C995" s="8" t="inlineStr">
        <is>
          <t>Retención Ingresos Brutos Mendoza</t>
        </is>
      </c>
      <c r="D995" s="9" t="n">
        <v>154.49</v>
      </c>
      <c r="E995" s="8" t="inlineStr">
        <is>
          <t>ABIERTO_NUEVO</t>
        </is>
      </c>
      <c r="F995" s="8" t="inlineStr">
        <is>
          <t>Banco / impuesto / gasto</t>
        </is>
      </c>
      <c r="G995" s="8" t="inlineStr">
        <is>
          <t>Copiar en Flexxus: Tipo=MB-EXT | Movimiento=INGRESOS BRUTOS MENDOZA | Monto=154,49 | Fecha: 20/04/2026</t>
        </is>
      </c>
    </row>
    <row r="996">
      <c r="A996" s="8" t="inlineStr">
        <is>
          <t>Administración/Banco</t>
        </is>
      </c>
      <c r="B996" s="8" t="inlineStr">
        <is>
          <t>Banco egreso no Flexxus</t>
        </is>
      </c>
      <c r="C996" s="8" t="inlineStr">
        <is>
          <t>Retención Ingresos Brutos Mendoza</t>
        </is>
      </c>
      <c r="D996" s="9" t="n">
        <v>267.39</v>
      </c>
      <c r="E996" s="8" t="inlineStr">
        <is>
          <t>ABIERTO_NUEVO</t>
        </is>
      </c>
      <c r="F996" s="8" t="inlineStr">
        <is>
          <t>Banco / impuesto / gasto</t>
        </is>
      </c>
      <c r="G996" s="8" t="inlineStr">
        <is>
          <t>Copiar en Flexxus: Tipo=MB-EXT | Movimiento=INGRESOS BRUTOS MENDOZA | Monto=267,39 | Fecha: 20/04/2026</t>
        </is>
      </c>
    </row>
    <row r="997">
      <c r="A997" s="8" t="inlineStr">
        <is>
          <t>Administración/Banco</t>
        </is>
      </c>
      <c r="B997" s="8" t="inlineStr">
        <is>
          <t>Banco egreso no Flexxus</t>
        </is>
      </c>
      <c r="C997" s="8" t="inlineStr">
        <is>
          <t>Retención Ingresos Brutos Mendoza</t>
        </is>
      </c>
      <c r="D997" s="9" t="n">
        <v>349.58</v>
      </c>
      <c r="E997" s="8" t="inlineStr">
        <is>
          <t>ABIERTO_NUEVO</t>
        </is>
      </c>
      <c r="F997" s="8" t="inlineStr">
        <is>
          <t>Banco / impuesto / gasto</t>
        </is>
      </c>
      <c r="G997" s="8" t="inlineStr">
        <is>
          <t>Copiar en Flexxus: Tipo=MB-EXT | Movimiento=INGRESOS BRUTOS MENDOZA | Monto=349,58 | Fecha: 20/04/2026</t>
        </is>
      </c>
    </row>
    <row r="998">
      <c r="A998" s="8" t="inlineStr">
        <is>
          <t>Administración/Banco</t>
        </is>
      </c>
      <c r="B998" s="8" t="inlineStr">
        <is>
          <t>Banco egreso no Flexxus</t>
        </is>
      </c>
      <c r="C998" s="8" t="inlineStr">
        <is>
          <t>Retención Ingresos Brutos Mendoza</t>
        </is>
      </c>
      <c r="D998" s="9" t="n">
        <v>790.28</v>
      </c>
      <c r="E998" s="8" t="inlineStr">
        <is>
          <t>ABIERTO_NUEVO</t>
        </is>
      </c>
      <c r="F998" s="8" t="inlineStr">
        <is>
          <t>Banco / impuesto / gasto</t>
        </is>
      </c>
      <c r="G998" s="8" t="inlineStr">
        <is>
          <t>Copiar en Flexxus: Tipo=MB-EXT | Movimiento=INGRESOS BRUTOS MENDOZA | Monto=790,28 | Fecha: 20/04/2026</t>
        </is>
      </c>
    </row>
    <row r="999">
      <c r="A999" s="8" t="inlineStr">
        <is>
          <t>Administración/Banco</t>
        </is>
      </c>
      <c r="B999" s="8" t="inlineStr">
        <is>
          <t>Banco egreso no Flexxus</t>
        </is>
      </c>
      <c r="C999" s="8" t="inlineStr">
        <is>
          <t>Retención Ingresos Brutos Mendoza</t>
        </is>
      </c>
      <c r="D999" s="9" t="n">
        <v>44.56</v>
      </c>
      <c r="E999" s="8" t="inlineStr">
        <is>
          <t>ABIERTO_NUEVO</t>
        </is>
      </c>
      <c r="F999" s="8" t="inlineStr">
        <is>
          <t>Banco / impuesto / gasto</t>
        </is>
      </c>
      <c r="G999" s="8" t="inlineStr">
        <is>
          <t>Copiar en Flexxus: Tipo=MB-EXT | Movimiento=INGRESOS BRUTOS MENDOZA | Monto=44,56 | Fecha: 20/04/2026</t>
        </is>
      </c>
    </row>
    <row r="1000">
      <c r="A1000" s="8" t="inlineStr">
        <is>
          <t>Administración/Banco</t>
        </is>
      </c>
      <c r="B1000" s="8" t="inlineStr">
        <is>
          <t>Banco egreso no Flexxus</t>
        </is>
      </c>
      <c r="C1000" s="8" t="inlineStr">
        <is>
          <t>Retención Ingresos Brutos Mendoza</t>
        </is>
      </c>
      <c r="D1000" s="9" t="n">
        <v>227.77</v>
      </c>
      <c r="E1000" s="8" t="inlineStr">
        <is>
          <t>ABIERTO_NUEVO</t>
        </is>
      </c>
      <c r="F1000" s="8" t="inlineStr">
        <is>
          <t>Banco / impuesto / gasto</t>
        </is>
      </c>
      <c r="G1000" s="8" t="inlineStr">
        <is>
          <t>Copiar en Flexxus: Tipo=MB-EXT | Movimiento=INGRESOS BRUTOS MENDOZA | Monto=227,77 | Fecha: 20/04/2026</t>
        </is>
      </c>
    </row>
    <row r="1001">
      <c r="A1001" s="8" t="inlineStr">
        <is>
          <t>Administración/Banco</t>
        </is>
      </c>
      <c r="B1001" s="8" t="inlineStr">
        <is>
          <t>Banco egreso no Flexxus</t>
        </is>
      </c>
      <c r="C1001" s="8" t="inlineStr">
        <is>
          <t>Retención Ingresos Brutos Mendoza</t>
        </is>
      </c>
      <c r="D1001" s="9" t="n">
        <v>649.65</v>
      </c>
      <c r="E1001" s="8" t="inlineStr">
        <is>
          <t>ABIERTO_NUEVO</t>
        </is>
      </c>
      <c r="F1001" s="8" t="inlineStr">
        <is>
          <t>Banco / impuesto / gasto</t>
        </is>
      </c>
      <c r="G1001" s="8" t="inlineStr">
        <is>
          <t>Copiar en Flexxus: Tipo=MB-EXT | Movimiento=INGRESOS BRUTOS MENDOZA | Monto=649,65 | Fecha: 20/04/2026</t>
        </is>
      </c>
    </row>
    <row r="1002">
      <c r="A1002" s="8" t="inlineStr">
        <is>
          <t>Administración/Banco</t>
        </is>
      </c>
      <c r="B1002" s="8" t="inlineStr">
        <is>
          <t>Banco egreso no Flexxus</t>
        </is>
      </c>
      <c r="C1002" s="8" t="inlineStr">
        <is>
          <t>Retención Ingresos Brutos Mendoza</t>
        </is>
      </c>
      <c r="D1002" s="9" t="n">
        <v>287.19</v>
      </c>
      <c r="E1002" s="8" t="inlineStr">
        <is>
          <t>ABIERTO_NUEVO</t>
        </is>
      </c>
      <c r="F1002" s="8" t="inlineStr">
        <is>
          <t>Banco / impuesto / gasto</t>
        </is>
      </c>
      <c r="G1002" s="8" t="inlineStr">
        <is>
          <t>Copiar en Flexxus: Tipo=MB-EXT | Movimiento=INGRESOS BRUTOS MENDOZA | Monto=287,19 | Fecha: 20/04/2026</t>
        </is>
      </c>
    </row>
    <row r="1003">
      <c r="A1003" s="8" t="inlineStr">
        <is>
          <t>Administración/Banco</t>
        </is>
      </c>
      <c r="B1003" s="8" t="inlineStr">
        <is>
          <t>Banco egreso no Flexxus</t>
        </is>
      </c>
      <c r="C1003" s="8" t="inlineStr">
        <is>
          <t>Retención Ingresos Brutos Mendoza</t>
        </is>
      </c>
      <c r="D1003" s="9" t="n">
        <v>237.68</v>
      </c>
      <c r="E1003" s="8" t="inlineStr">
        <is>
          <t>ABIERTO_NUEVO</t>
        </is>
      </c>
      <c r="F1003" s="8" t="inlineStr">
        <is>
          <t>Banco / impuesto / gasto</t>
        </is>
      </c>
      <c r="G1003" s="8" t="inlineStr">
        <is>
          <t>Copiar en Flexxus: Tipo=MB-EXT | Movimiento=INGRESOS BRUTOS MENDOZA | Monto=237,68 | Fecha: 20/04/2026</t>
        </is>
      </c>
    </row>
    <row r="1004">
      <c r="A1004" s="8" t="inlineStr">
        <is>
          <t>Administración/Banco</t>
        </is>
      </c>
      <c r="B1004" s="8" t="inlineStr">
        <is>
          <t>Banco egreso no Flexxus</t>
        </is>
      </c>
      <c r="C1004" s="8" t="inlineStr">
        <is>
          <t>Retención Ingresos Brutos Mendoza</t>
        </is>
      </c>
      <c r="D1004" s="9" t="n">
        <v>247.58</v>
      </c>
      <c r="E1004" s="8" t="inlineStr">
        <is>
          <t>ABIERTO_NUEVO</t>
        </is>
      </c>
      <c r="F1004" s="8" t="inlineStr">
        <is>
          <t>Banco / impuesto / gasto</t>
        </is>
      </c>
      <c r="G1004" s="8" t="inlineStr">
        <is>
          <t>Copiar en Flexxus: Tipo=MB-EXT | Movimiento=INGRESOS BRUTOS MENDOZA | Monto=247,58 | Fecha: 20/04/2026</t>
        </is>
      </c>
    </row>
    <row r="1005">
      <c r="A1005" s="8" t="inlineStr">
        <is>
          <t>Administración/Banco</t>
        </is>
      </c>
      <c r="B1005" s="8" t="inlineStr">
        <is>
          <t>Banco egreso no Flexxus</t>
        </is>
      </c>
      <c r="C1005" s="8" t="inlineStr">
        <is>
          <t>Retención Ingresos Brutos Mendoza</t>
        </is>
      </c>
      <c r="D1005" s="9" t="n">
        <v>228.76</v>
      </c>
      <c r="E1005" s="8" t="inlineStr">
        <is>
          <t>ABIERTO_NUEVO</t>
        </is>
      </c>
      <c r="F1005" s="8" t="inlineStr">
        <is>
          <t>Banco / impuesto / gasto</t>
        </is>
      </c>
      <c r="G1005" s="8" t="inlineStr">
        <is>
          <t>Copiar en Flexxus: Tipo=MB-EXT | Movimiento=INGRESOS BRUTOS MENDOZA | Monto=228,76 | Fecha: 20/04/2026</t>
        </is>
      </c>
    </row>
    <row r="1006">
      <c r="A1006" s="8" t="inlineStr">
        <is>
          <t>Administración/Banco</t>
        </is>
      </c>
      <c r="B1006" s="8" t="inlineStr">
        <is>
          <t>Banco egreso no Flexxus</t>
        </is>
      </c>
      <c r="C1006" s="8" t="inlineStr">
        <is>
          <t>Retención Ingresos Brutos Mendoza</t>
        </is>
      </c>
      <c r="D1006" s="9" t="n">
        <v>369.39</v>
      </c>
      <c r="E1006" s="8" t="inlineStr">
        <is>
          <t>ABIERTO_NUEVO</t>
        </is>
      </c>
      <c r="F1006" s="8" t="inlineStr">
        <is>
          <t>Banco / impuesto / gasto</t>
        </is>
      </c>
      <c r="G1006" s="8" t="inlineStr">
        <is>
          <t>Copiar en Flexxus: Tipo=MB-EXT | Movimiento=INGRESOS BRUTOS MENDOZA | Monto=369,39 | Fecha: 20/04/2026</t>
        </is>
      </c>
    </row>
    <row r="1007">
      <c r="A1007" s="8" t="inlineStr">
        <is>
          <t>Administración/Banco</t>
        </is>
      </c>
      <c r="B1007" s="8" t="inlineStr">
        <is>
          <t>Banco egreso no Flexxus</t>
        </is>
      </c>
      <c r="C1007" s="8" t="inlineStr">
        <is>
          <t>Retención Ingresos Brutos Mendoza</t>
        </is>
      </c>
      <c r="D1007" s="9" t="n">
        <v>295.12</v>
      </c>
      <c r="E1007" s="8" t="inlineStr">
        <is>
          <t>ABIERTO_NUEVO</t>
        </is>
      </c>
      <c r="F1007" s="8" t="inlineStr">
        <is>
          <t>Banco / impuesto / gasto</t>
        </is>
      </c>
      <c r="G1007" s="8" t="inlineStr">
        <is>
          <t>Copiar en Flexxus: Tipo=MB-EXT | Movimiento=INGRESOS BRUTOS MENDOZA | Monto=295,12 | Fecha: 20/04/2026</t>
        </is>
      </c>
    </row>
    <row r="1008">
      <c r="A1008" s="8" t="inlineStr">
        <is>
          <t>Administración/Banco</t>
        </is>
      </c>
      <c r="B1008" s="8" t="inlineStr">
        <is>
          <t>Banco egreso no Flexxus</t>
        </is>
      </c>
      <c r="C1008" s="8" t="inlineStr">
        <is>
          <t>Retención Ingresos Brutos Mendoza</t>
        </is>
      </c>
      <c r="D1008" s="9" t="n">
        <v>154.49</v>
      </c>
      <c r="E1008" s="8" t="inlineStr">
        <is>
          <t>ABIERTO_NUEVO</t>
        </is>
      </c>
      <c r="F1008" s="8" t="inlineStr">
        <is>
          <t>Banco / impuesto / gasto</t>
        </is>
      </c>
      <c r="G1008" s="8" t="inlineStr">
        <is>
          <t>Copiar en Flexxus: Tipo=MB-EXT | Movimiento=INGRESOS BRUTOS MENDOZA | Monto=154,49 | Fecha: 20/04/2026</t>
        </is>
      </c>
    </row>
    <row r="1009">
      <c r="A1009" s="8" t="inlineStr">
        <is>
          <t>Administración/Banco</t>
        </is>
      </c>
      <c r="B1009" s="8" t="inlineStr">
        <is>
          <t>Banco egreso no Flexxus</t>
        </is>
      </c>
      <c r="C1009" s="8" t="inlineStr">
        <is>
          <t>Retención Ingresos Brutos Mendoza</t>
        </is>
      </c>
      <c r="D1009" s="9" t="n">
        <v>161.42</v>
      </c>
      <c r="E1009" s="8" t="inlineStr">
        <is>
          <t>ABIERTO_NUEVO</t>
        </is>
      </c>
      <c r="F1009" s="8" t="inlineStr">
        <is>
          <t>Banco / impuesto / gasto</t>
        </is>
      </c>
      <c r="G1009" s="8" t="inlineStr">
        <is>
          <t>Copiar en Flexxus: Tipo=MB-EXT | Movimiento=INGRESOS BRUTOS MENDOZA | Monto=161,42 | Fecha: 20/04/2026</t>
        </is>
      </c>
    </row>
    <row r="1010">
      <c r="A1010" s="8" t="inlineStr">
        <is>
          <t>Administración/Banco</t>
        </is>
      </c>
      <c r="B1010" s="8" t="inlineStr">
        <is>
          <t>Banco egreso no Flexxus</t>
        </is>
      </c>
      <c r="C1010" s="8" t="inlineStr">
        <is>
          <t>Retención Ingresos Brutos Mendoza</t>
        </is>
      </c>
      <c r="D1010" s="9" t="n">
        <v>199.05</v>
      </c>
      <c r="E1010" s="8" t="inlineStr">
        <is>
          <t>ABIERTO_NUEVO</t>
        </is>
      </c>
      <c r="F1010" s="8" t="inlineStr">
        <is>
          <t>Banco / impuesto / gasto</t>
        </is>
      </c>
      <c r="G1010" s="8" t="inlineStr">
        <is>
          <t>Copiar en Flexxus: Tipo=MB-EXT | Movimiento=INGRESOS BRUTOS MENDOZA | Monto=199,05 | Fecha: 20/04/2026</t>
        </is>
      </c>
    </row>
    <row r="1011">
      <c r="A1011" s="8" t="inlineStr">
        <is>
          <t>Administración/Banco</t>
        </is>
      </c>
      <c r="B1011" s="8" t="inlineStr">
        <is>
          <t>Banco egreso no Flexxus</t>
        </is>
      </c>
      <c r="C1011" s="8" t="inlineStr">
        <is>
          <t>Retención Ingresos Brutos Mendoza</t>
        </is>
      </c>
      <c r="D1011" s="9" t="n">
        <v>189.15</v>
      </c>
      <c r="E1011" s="8" t="inlineStr">
        <is>
          <t>ABIERTO_NUEVO</t>
        </is>
      </c>
      <c r="F1011" s="8" t="inlineStr">
        <is>
          <t>Banco / impuesto / gasto</t>
        </is>
      </c>
      <c r="G1011" s="8" t="inlineStr">
        <is>
          <t>Copiar en Flexxus: Tipo=MB-EXT | Movimiento=INGRESOS BRUTOS MENDOZA | Monto=189,15 | Fecha: 20/04/2026</t>
        </is>
      </c>
    </row>
    <row r="1012">
      <c r="A1012" s="8" t="inlineStr">
        <is>
          <t>Administración/Banco</t>
        </is>
      </c>
      <c r="B1012" s="8" t="inlineStr">
        <is>
          <t>Banco egreso no Flexxus</t>
        </is>
      </c>
      <c r="C1012" s="8" t="inlineStr">
        <is>
          <t>Retención Ingresos Brutos Mendoza</t>
        </is>
      </c>
      <c r="D1012" s="9" t="n">
        <v>148.55</v>
      </c>
      <c r="E1012" s="8" t="inlineStr">
        <is>
          <t>ABIERTO_NUEVO</t>
        </is>
      </c>
      <c r="F1012" s="8" t="inlineStr">
        <is>
          <t>Banco / impuesto / gasto</t>
        </is>
      </c>
      <c r="G1012" s="8" t="inlineStr">
        <is>
          <t>Copiar en Flexxus: Tipo=MB-EXT | Movimiento=INGRESOS BRUTOS MENDOZA | Monto=148,55 | Fecha: 20/04/2026</t>
        </is>
      </c>
    </row>
    <row r="1013">
      <c r="A1013" s="8" t="inlineStr">
        <is>
          <t>Administración/Banco</t>
        </is>
      </c>
      <c r="B1013" s="8" t="inlineStr">
        <is>
          <t>Banco egreso no Flexxus</t>
        </is>
      </c>
      <c r="C1013" s="8" t="inlineStr">
        <is>
          <t>Retención Ingresos Brutos Mendoza</t>
        </is>
      </c>
      <c r="D1013" s="9" t="n">
        <v>724.91</v>
      </c>
      <c r="E1013" s="8" t="inlineStr">
        <is>
          <t>ABIERTO_NUEVO</t>
        </is>
      </c>
      <c r="F1013" s="8" t="inlineStr">
        <is>
          <t>Banco / impuesto / gasto</t>
        </is>
      </c>
      <c r="G1013" s="8" t="inlineStr">
        <is>
          <t>Copiar en Flexxus: Tipo=MB-EXT | Movimiento=INGRESOS BRUTOS MENDOZA | Monto=724,91 | Fecha: 20/04/2026</t>
        </is>
      </c>
    </row>
    <row r="1014">
      <c r="A1014" s="8" t="inlineStr">
        <is>
          <t>Administración/Banco</t>
        </is>
      </c>
      <c r="B1014" s="8" t="inlineStr">
        <is>
          <t>Banco egreso no Flexxus</t>
        </is>
      </c>
      <c r="C1014" s="8" t="inlineStr">
        <is>
          <t>Retención Ingresos Brutos Mendoza</t>
        </is>
      </c>
      <c r="D1014" s="9" t="n">
        <v>668.47</v>
      </c>
      <c r="E1014" s="8" t="inlineStr">
        <is>
          <t>ABIERTO_NUEVO</t>
        </is>
      </c>
      <c r="F1014" s="8" t="inlineStr">
        <is>
          <t>Banco / impuesto / gasto</t>
        </is>
      </c>
      <c r="G1014" s="8" t="inlineStr">
        <is>
          <t>Copiar en Flexxus: Tipo=MB-EXT | Movimiento=INGRESOS BRUTOS MENDOZA | Monto=668,47 | Fecha: 20/04/2026</t>
        </is>
      </c>
    </row>
    <row r="1015">
      <c r="A1015" s="8" t="inlineStr">
        <is>
          <t>Administración/Banco</t>
        </is>
      </c>
      <c r="B1015" s="8" t="inlineStr">
        <is>
          <t>Banco egreso no Flexxus</t>
        </is>
      </c>
      <c r="C1015" s="8" t="inlineStr">
        <is>
          <t>Retención Ingresos Brutos Mendoza</t>
        </is>
      </c>
      <c r="D1015" s="9" t="n">
        <v>589.24</v>
      </c>
      <c r="E1015" s="8" t="inlineStr">
        <is>
          <t>ABIERTO_NUEVO</t>
        </is>
      </c>
      <c r="F1015" s="8" t="inlineStr">
        <is>
          <t>Banco / impuesto / gasto</t>
        </is>
      </c>
      <c r="G1015" s="8" t="inlineStr">
        <is>
          <t>Copiar en Flexxus: Tipo=MB-EXT | Movimiento=INGRESOS BRUTOS MENDOZA | Monto=589,24 | Fecha: 20/04/2026</t>
        </is>
      </c>
    </row>
    <row r="1016">
      <c r="A1016" s="8" t="inlineStr">
        <is>
          <t>Administración/Banco</t>
        </is>
      </c>
      <c r="B1016" s="8" t="inlineStr">
        <is>
          <t>Banco egreso no Flexxus</t>
        </is>
      </c>
      <c r="C1016" s="8" t="inlineStr">
        <is>
          <t>Retención Ingresos Brutos Mendoza</t>
        </is>
      </c>
      <c r="D1016" s="9" t="n">
        <v>1099.26</v>
      </c>
      <c r="E1016" s="8" t="inlineStr">
        <is>
          <t>ABIERTO_NUEVO</t>
        </is>
      </c>
      <c r="F1016" s="8" t="inlineStr">
        <is>
          <t>Banco / impuesto / gasto</t>
        </is>
      </c>
      <c r="G1016" s="8" t="inlineStr">
        <is>
          <t>Copiar en Flexxus: Tipo=MB-EXT | Movimiento=INGRESOS BRUTOS MENDOZA | Monto=1.099,26 | Fecha: 20/04/2026</t>
        </is>
      </c>
    </row>
    <row r="1017">
      <c r="A1017" s="8" t="inlineStr">
        <is>
          <t>Administración/Banco</t>
        </is>
      </c>
      <c r="B1017" s="8" t="inlineStr">
        <is>
          <t>Banco egreso no Flexxus</t>
        </is>
      </c>
      <c r="C1017" s="8" t="inlineStr">
        <is>
          <t>Retención Ingresos Brutos Mendoza</t>
        </is>
      </c>
      <c r="D1017" s="9" t="n">
        <v>514.97</v>
      </c>
      <c r="E1017" s="8" t="inlineStr">
        <is>
          <t>ABIERTO_NUEVO</t>
        </is>
      </c>
      <c r="F1017" s="8" t="inlineStr">
        <is>
          <t>Banco / impuesto / gasto</t>
        </is>
      </c>
      <c r="G1017" s="8" t="inlineStr">
        <is>
          <t>Copiar en Flexxus: Tipo=MB-EXT | Movimiento=INGRESOS BRUTOS MENDOZA | Monto=514,97 | Fecha: 20/04/2026</t>
        </is>
      </c>
    </row>
    <row r="1018">
      <c r="A1018" s="8" t="inlineStr">
        <is>
          <t>Administración/Banco</t>
        </is>
      </c>
      <c r="B1018" s="8" t="inlineStr">
        <is>
          <t>Banco egreso no Flexxus</t>
        </is>
      </c>
      <c r="C1018" s="8" t="inlineStr">
        <is>
          <t>Retención Ingresos Brutos Mendoza</t>
        </is>
      </c>
      <c r="D1018" s="9" t="n">
        <v>554.58</v>
      </c>
      <c r="E1018" s="8" t="inlineStr">
        <is>
          <t>ABIERTO_NUEVO</t>
        </is>
      </c>
      <c r="F1018" s="8" t="inlineStr">
        <is>
          <t>Banco / impuesto / gasto</t>
        </is>
      </c>
      <c r="G1018" s="8" t="inlineStr">
        <is>
          <t>Copiar en Flexxus: Tipo=MB-EXT | Movimiento=INGRESOS BRUTOS MENDOZA | Monto=554,58 | Fecha: 20/04/2026</t>
        </is>
      </c>
    </row>
    <row r="1019">
      <c r="A1019" s="8" t="inlineStr">
        <is>
          <t>Administración/Banco</t>
        </is>
      </c>
      <c r="B1019" s="8" t="inlineStr">
        <is>
          <t>Banco egreso no Flexxus</t>
        </is>
      </c>
      <c r="C1019" s="8" t="inlineStr">
        <is>
          <t>Retención Ingresos Brutos Mendoza</t>
        </is>
      </c>
      <c r="D1019" s="9" t="n">
        <v>321.85</v>
      </c>
      <c r="E1019" s="8" t="inlineStr">
        <is>
          <t>ABIERTO_NUEVO</t>
        </is>
      </c>
      <c r="F1019" s="8" t="inlineStr">
        <is>
          <t>Banco / impuesto / gasto</t>
        </is>
      </c>
      <c r="G1019" s="8" t="inlineStr">
        <is>
          <t>Copiar en Flexxus: Tipo=MB-EXT | Movimiento=INGRESOS BRUTOS MENDOZA | Monto=321,85 | Fecha: 20/04/2026</t>
        </is>
      </c>
    </row>
    <row r="1020">
      <c r="A1020" s="8" t="inlineStr">
        <is>
          <t>Administración/Banco</t>
        </is>
      </c>
      <c r="B1020" s="8" t="inlineStr">
        <is>
          <t>Banco egreso no Flexxus</t>
        </is>
      </c>
      <c r="C1020" s="8" t="inlineStr">
        <is>
          <t>Retención Ingresos Brutos Mendoza</t>
        </is>
      </c>
      <c r="D1020" s="9" t="n">
        <v>83.19</v>
      </c>
      <c r="E1020" s="8" t="inlineStr">
        <is>
          <t>ABIERTO_NUEVO</t>
        </is>
      </c>
      <c r="F1020" s="8" t="inlineStr">
        <is>
          <t>Banco / impuesto / gasto</t>
        </is>
      </c>
      <c r="G1020" s="8" t="inlineStr">
        <is>
          <t>Copiar en Flexxus: Tipo=MB-EXT | Movimiento=INGRESOS BRUTOS MENDOZA | Monto=83,19 | Fecha: 20/04/2026</t>
        </is>
      </c>
    </row>
    <row r="1021">
      <c r="A1021" s="8" t="inlineStr">
        <is>
          <t>Administración/Banco</t>
        </is>
      </c>
      <c r="B1021" s="8" t="inlineStr">
        <is>
          <t>Banco egreso no Flexxus</t>
        </is>
      </c>
      <c r="C1021" s="8" t="inlineStr">
        <is>
          <t>Retención Ingresos Brutos Mendoza</t>
        </is>
      </c>
      <c r="D1021" s="9" t="n">
        <v>133.69</v>
      </c>
      <c r="E1021" s="8" t="inlineStr">
        <is>
          <t>ABIERTO_NUEVO</t>
        </is>
      </c>
      <c r="F1021" s="8" t="inlineStr">
        <is>
          <t>Banco / impuesto / gasto</t>
        </is>
      </c>
      <c r="G1021" s="8" t="inlineStr">
        <is>
          <t>Copiar en Flexxus: Tipo=MB-EXT | Movimiento=INGRESOS BRUTOS MENDOZA | Monto=133,69 | Fecha: 20/04/2026</t>
        </is>
      </c>
    </row>
    <row r="1022">
      <c r="A1022" s="8" t="inlineStr">
        <is>
          <t>Administración/Banco</t>
        </is>
      </c>
      <c r="B1022" s="8" t="inlineStr">
        <is>
          <t>Banco egreso no Flexxus</t>
        </is>
      </c>
      <c r="C1022" s="8" t="inlineStr">
        <is>
          <t>Retención Ingresos Brutos Mendoza</t>
        </is>
      </c>
      <c r="D1022" s="9" t="n">
        <v>113.89</v>
      </c>
      <c r="E1022" s="8" t="inlineStr">
        <is>
          <t>ABIERTO_NUEVO</t>
        </is>
      </c>
      <c r="F1022" s="8" t="inlineStr">
        <is>
          <t>Banco / impuesto / gasto</t>
        </is>
      </c>
      <c r="G1022" s="8" t="inlineStr">
        <is>
          <t>Copiar en Flexxus: Tipo=MB-EXT | Movimiento=INGRESOS BRUTOS MENDOZA | Monto=113,89 | Fecha: 20/04/2026</t>
        </is>
      </c>
    </row>
    <row r="1023">
      <c r="A1023" s="8" t="inlineStr">
        <is>
          <t>Administración/Banco</t>
        </is>
      </c>
      <c r="B1023" s="8" t="inlineStr">
        <is>
          <t>Banco egreso no Flexxus</t>
        </is>
      </c>
      <c r="C1023" s="8" t="inlineStr">
        <is>
          <t>Retención Ingresos Brutos Mendoza</t>
        </is>
      </c>
      <c r="D1023" s="9" t="n">
        <v>401.08</v>
      </c>
      <c r="E1023" s="8" t="inlineStr">
        <is>
          <t>ABIERTO_NUEVO</t>
        </is>
      </c>
      <c r="F1023" s="8" t="inlineStr">
        <is>
          <t>Banco / impuesto / gasto</t>
        </is>
      </c>
      <c r="G1023" s="8" t="inlineStr">
        <is>
          <t>Copiar en Flexxus: Tipo=MB-EXT | Movimiento=INGRESOS BRUTOS MENDOZA | Monto=401,08 | Fecha: 20/04/2026</t>
        </is>
      </c>
    </row>
    <row r="1024">
      <c r="A1024" s="8" t="inlineStr">
        <is>
          <t>Administración/Banco</t>
        </is>
      </c>
      <c r="B1024" s="8" t="inlineStr">
        <is>
          <t>Banco egreso no Flexxus</t>
        </is>
      </c>
      <c r="C1024" s="8" t="inlineStr">
        <is>
          <t>Retención Ingresos Brutos Mendoza</t>
        </is>
      </c>
      <c r="D1024" s="9" t="n">
        <v>68.33</v>
      </c>
      <c r="E1024" s="8" t="inlineStr">
        <is>
          <t>ABIERTO_NUEVO</t>
        </is>
      </c>
      <c r="F1024" s="8" t="inlineStr">
        <is>
          <t>Banco / impuesto / gasto</t>
        </is>
      </c>
      <c r="G1024" s="8" t="inlineStr">
        <is>
          <t>Copiar en Flexxus: Tipo=MB-EXT | Movimiento=INGRESOS BRUTOS MENDOZA | Monto=68,33 | Fecha: 20/04/2026</t>
        </is>
      </c>
    </row>
    <row r="1025">
      <c r="A1025" s="8" t="inlineStr">
        <is>
          <t>Administración/Banco</t>
        </is>
      </c>
      <c r="B1025" s="8" t="inlineStr">
        <is>
          <t>Banco egreso no Flexxus</t>
        </is>
      </c>
      <c r="C1025" s="8" t="inlineStr">
        <is>
          <t>Retención Ingresos Brutos Mendoza</t>
        </is>
      </c>
      <c r="D1025" s="9" t="n">
        <v>227.77</v>
      </c>
      <c r="E1025" s="8" t="inlineStr">
        <is>
          <t>ABIERTO_NUEVO</t>
        </is>
      </c>
      <c r="F1025" s="8" t="inlineStr">
        <is>
          <t>Banco / impuesto / gasto</t>
        </is>
      </c>
      <c r="G1025" s="8" t="inlineStr">
        <is>
          <t>Copiar en Flexxus: Tipo=MB-EXT | Movimiento=INGRESOS BRUTOS MENDOZA | Monto=227,77 | Fecha: 20/04/2026</t>
        </is>
      </c>
    </row>
    <row r="1026">
      <c r="A1026" s="8" t="inlineStr">
        <is>
          <t>Administración/Banco</t>
        </is>
      </c>
      <c r="B1026" s="8" t="inlineStr">
        <is>
          <t>Banco egreso no Flexxus</t>
        </is>
      </c>
      <c r="C1026" s="8" t="inlineStr">
        <is>
          <t>Retención Ingresos Brutos Mendoza</t>
        </is>
      </c>
      <c r="D1026" s="9" t="n">
        <v>711.05</v>
      </c>
      <c r="E1026" s="8" t="inlineStr">
        <is>
          <t>ABIERTO_NUEVO</t>
        </is>
      </c>
      <c r="F1026" s="8" t="inlineStr">
        <is>
          <t>Banco / impuesto / gasto</t>
        </is>
      </c>
      <c r="G1026" s="8" t="inlineStr">
        <is>
          <t>Copiar en Flexxus: Tipo=MB-EXT | Movimiento=INGRESOS BRUTOS MENDOZA | Monto=711,05 | Fecha: 20/04/2026</t>
        </is>
      </c>
    </row>
    <row r="1027">
      <c r="A1027" s="8" t="inlineStr">
        <is>
          <t>Administración/Banco</t>
        </is>
      </c>
      <c r="B1027" s="8" t="inlineStr">
        <is>
          <t>Banco egreso no Flexxus</t>
        </is>
      </c>
      <c r="C1027" s="8" t="inlineStr">
        <is>
          <t>Retención Ingresos Brutos Mendoza</t>
        </is>
      </c>
      <c r="D1027" s="9" t="n">
        <v>227.77</v>
      </c>
      <c r="E1027" s="8" t="inlineStr">
        <is>
          <t>ABIERTO_NUEVO</t>
        </is>
      </c>
      <c r="F1027" s="8" t="inlineStr">
        <is>
          <t>Banco / impuesto / gasto</t>
        </is>
      </c>
      <c r="G1027" s="8" t="inlineStr">
        <is>
          <t>Copiar en Flexxus: Tipo=MB-EXT | Movimiento=INGRESOS BRUTOS MENDOZA | Monto=227,77 | Fecha: 20/04/2026</t>
        </is>
      </c>
    </row>
    <row r="1028">
      <c r="A1028" s="8" t="inlineStr">
        <is>
          <t>Administración/Banco</t>
        </is>
      </c>
      <c r="B1028" s="8" t="inlineStr">
        <is>
          <t>Banco egreso no Flexxus</t>
        </is>
      </c>
      <c r="C1028" s="8" t="inlineStr">
        <is>
          <t>Retención Ingresos Brutos Mendoza</t>
        </is>
      </c>
      <c r="D1028" s="9" t="n">
        <v>713.03</v>
      </c>
      <c r="E1028" s="8" t="inlineStr">
        <is>
          <t>ABIERTO_NUEVO</t>
        </is>
      </c>
      <c r="F1028" s="8" t="inlineStr">
        <is>
          <t>Banco / impuesto / gasto</t>
        </is>
      </c>
      <c r="G1028" s="8" t="inlineStr">
        <is>
          <t>Copiar en Flexxus: Tipo=MB-EXT | Movimiento=INGRESOS BRUTOS MENDOZA | Monto=713,03 | Fecha: 20/04/2026</t>
        </is>
      </c>
    </row>
    <row r="1029">
      <c r="A1029" s="8" t="inlineStr">
        <is>
          <t>Administración/Banco</t>
        </is>
      </c>
      <c r="B1029" s="8" t="inlineStr">
        <is>
          <t>Banco egreso no Flexxus</t>
        </is>
      </c>
      <c r="C1029" s="8" t="inlineStr">
        <is>
          <t>Retención Ingresos Brutos Mendoza</t>
        </is>
      </c>
      <c r="D1029" s="9" t="n">
        <v>413.95</v>
      </c>
      <c r="E1029" s="8" t="inlineStr">
        <is>
          <t>ABIERTO_NUEVO</t>
        </is>
      </c>
      <c r="F1029" s="8" t="inlineStr">
        <is>
          <t>Banco / impuesto / gasto</t>
        </is>
      </c>
      <c r="G1029" s="8" t="inlineStr">
        <is>
          <t>Copiar en Flexxus: Tipo=MB-EXT | Movimiento=INGRESOS BRUTOS MENDOZA | Monto=413,95 | Fecha: 20/04/2026</t>
        </is>
      </c>
    </row>
    <row r="1030">
      <c r="A1030" s="8" t="inlineStr">
        <is>
          <t>Administración/Banco</t>
        </is>
      </c>
      <c r="B1030" s="8" t="inlineStr">
        <is>
          <t>Banco egreso no Flexxus</t>
        </is>
      </c>
      <c r="C1030" s="8" t="inlineStr">
        <is>
          <t>Retención Ingresos Brutos Mendoza</t>
        </is>
      </c>
      <c r="D1030" s="9" t="n">
        <v>83.19</v>
      </c>
      <c r="E1030" s="8" t="inlineStr">
        <is>
          <t>ABIERTO_NUEVO</t>
        </is>
      </c>
      <c r="F1030" s="8" t="inlineStr">
        <is>
          <t>Banco / impuesto / gasto</t>
        </is>
      </c>
      <c r="G1030" s="8" t="inlineStr">
        <is>
          <t>Copiar en Flexxus: Tipo=MB-EXT | Movimiento=INGRESOS BRUTOS MENDOZA | Monto=83,19 | Fecha: 20/04/2026</t>
        </is>
      </c>
    </row>
    <row r="1031">
      <c r="A1031" s="8" t="inlineStr">
        <is>
          <t>Administración/Banco</t>
        </is>
      </c>
      <c r="B1031" s="8" t="inlineStr">
        <is>
          <t>Banco egreso no Flexxus</t>
        </is>
      </c>
      <c r="C1031" s="8" t="inlineStr">
        <is>
          <t>Retención Ingresos Brutos Mendoza</t>
        </is>
      </c>
      <c r="D1031" s="9" t="n">
        <v>314.92</v>
      </c>
      <c r="E1031" s="8" t="inlineStr">
        <is>
          <t>ABIERTO_NUEVO</t>
        </is>
      </c>
      <c r="F1031" s="8" t="inlineStr">
        <is>
          <t>Banco / impuesto / gasto</t>
        </is>
      </c>
      <c r="G1031" s="8" t="inlineStr">
        <is>
          <t>Copiar en Flexxus: Tipo=MB-EXT | Movimiento=INGRESOS BRUTOS MENDOZA | Monto=314,92 | Fecha: 20/04/2026</t>
        </is>
      </c>
    </row>
    <row r="1032">
      <c r="A1032" s="8" t="inlineStr">
        <is>
          <t>Administración/Banco</t>
        </is>
      </c>
      <c r="B1032" s="8" t="inlineStr">
        <is>
          <t>Banco egreso no Flexxus</t>
        </is>
      </c>
      <c r="C1032" s="8" t="inlineStr">
        <is>
          <t>Retención Ingresos Brutos Mendoza</t>
        </is>
      </c>
      <c r="D1032" s="9" t="n">
        <v>247.58</v>
      </c>
      <c r="E1032" s="8" t="inlineStr">
        <is>
          <t>ABIERTO_NUEVO</t>
        </is>
      </c>
      <c r="F1032" s="8" t="inlineStr">
        <is>
          <t>Banco / impuesto / gasto</t>
        </is>
      </c>
      <c r="G1032" s="8" t="inlineStr">
        <is>
          <t>Copiar en Flexxus: Tipo=MB-EXT | Movimiento=INGRESOS BRUTOS MENDOZA | Monto=247,58 | Fecha: 20/04/2026</t>
        </is>
      </c>
    </row>
    <row r="1033">
      <c r="A1033" s="8" t="inlineStr">
        <is>
          <t>Administración/Banco</t>
        </is>
      </c>
      <c r="B1033" s="8" t="inlineStr">
        <is>
          <t>Banco egreso no Flexxus</t>
        </is>
      </c>
      <c r="C1033" s="8" t="inlineStr">
        <is>
          <t>Retención Ingresos Brutos Mendoza</t>
        </is>
      </c>
      <c r="D1033" s="9" t="n">
        <v>267.39</v>
      </c>
      <c r="E1033" s="8" t="inlineStr">
        <is>
          <t>ABIERTO_NUEVO</t>
        </is>
      </c>
      <c r="F1033" s="8" t="inlineStr">
        <is>
          <t>Banco / impuesto / gasto</t>
        </is>
      </c>
      <c r="G1033" s="8" t="inlineStr">
        <is>
          <t>Copiar en Flexxus: Tipo=MB-EXT | Movimiento=INGRESOS BRUTOS MENDOZA | Monto=267,39 | Fecha: 20/04/2026</t>
        </is>
      </c>
    </row>
    <row r="1034">
      <c r="A1034" s="8" t="inlineStr">
        <is>
          <t>Administración/Banco</t>
        </is>
      </c>
      <c r="B1034" s="8" t="inlineStr">
        <is>
          <t>Banco egreso no Flexxus</t>
        </is>
      </c>
      <c r="C1034" s="8" t="inlineStr">
        <is>
          <t>Retención Ingresos Brutos Mendoza</t>
        </is>
      </c>
      <c r="D1034" s="9" t="n">
        <v>77.25</v>
      </c>
      <c r="E1034" s="8" t="inlineStr">
        <is>
          <t>ABIERTO_NUEVO</t>
        </is>
      </c>
      <c r="F1034" s="8" t="inlineStr">
        <is>
          <t>Banco / impuesto / gasto</t>
        </is>
      </c>
      <c r="G1034" s="8" t="inlineStr">
        <is>
          <t>Copiar en Flexxus: Tipo=MB-EXT | Movimiento=INGRESOS BRUTOS MENDOZA | Monto=77,25 | Fecha: 20/04/2026</t>
        </is>
      </c>
    </row>
    <row r="1035">
      <c r="A1035" s="8" t="inlineStr">
        <is>
          <t>Administración/Banco</t>
        </is>
      </c>
      <c r="B1035" s="8" t="inlineStr">
        <is>
          <t>Banco egreso no Flexxus</t>
        </is>
      </c>
      <c r="C1035" s="8" t="inlineStr">
        <is>
          <t>Retención Ingresos Brutos Mendoza</t>
        </is>
      </c>
      <c r="D1035" s="9" t="n">
        <v>267.39</v>
      </c>
      <c r="E1035" s="8" t="inlineStr">
        <is>
          <t>ABIERTO_NUEVO</t>
        </is>
      </c>
      <c r="F1035" s="8" t="inlineStr">
        <is>
          <t>Banco / impuesto / gasto</t>
        </is>
      </c>
      <c r="G1035" s="8" t="inlineStr">
        <is>
          <t>Copiar en Flexxus: Tipo=MB-EXT | Movimiento=INGRESOS BRUTOS MENDOZA | Monto=267,39 | Fecha: 20/04/2026</t>
        </is>
      </c>
    </row>
    <row r="1036">
      <c r="A1036" s="8" t="inlineStr">
        <is>
          <t>Administración/Banco</t>
        </is>
      </c>
      <c r="B1036" s="8" t="inlineStr">
        <is>
          <t>Banco egreso no Flexxus</t>
        </is>
      </c>
      <c r="C1036" s="8" t="inlineStr">
        <is>
          <t>Retención Ingresos Brutos Mendoza</t>
        </is>
      </c>
      <c r="D1036" s="9" t="n">
        <v>267.39</v>
      </c>
      <c r="E1036" s="8" t="inlineStr">
        <is>
          <t>ABIERTO_NUEVO</t>
        </is>
      </c>
      <c r="F1036" s="8" t="inlineStr">
        <is>
          <t>Banco / impuesto / gasto</t>
        </is>
      </c>
      <c r="G1036" s="8" t="inlineStr">
        <is>
          <t>Copiar en Flexxus: Tipo=MB-EXT | Movimiento=INGRESOS BRUTOS MENDOZA | Monto=267,39 | Fecha: 20/04/2026</t>
        </is>
      </c>
    </row>
    <row r="1037">
      <c r="A1037" s="8" t="inlineStr">
        <is>
          <t>Administración/Banco</t>
        </is>
      </c>
      <c r="B1037" s="8" t="inlineStr">
        <is>
          <t>Banco egreso no Flexxus</t>
        </is>
      </c>
      <c r="C1037" s="8" t="inlineStr">
        <is>
          <t>Retención Ingresos Brutos Mendoza</t>
        </is>
      </c>
      <c r="D1037" s="9" t="n">
        <v>267.39</v>
      </c>
      <c r="E1037" s="8" t="inlineStr">
        <is>
          <t>ABIERTO_NUEVO</t>
        </is>
      </c>
      <c r="F1037" s="8" t="inlineStr">
        <is>
          <t>Banco / impuesto / gasto</t>
        </is>
      </c>
      <c r="G1037" s="8" t="inlineStr">
        <is>
          <t>Copiar en Flexxus: Tipo=MB-EXT | Movimiento=INGRESOS BRUTOS MENDOZA | Monto=267,39 | Fecha: 20/04/2026</t>
        </is>
      </c>
    </row>
    <row r="1038">
      <c r="A1038" s="8" t="inlineStr">
        <is>
          <t>Administración/Banco</t>
        </is>
      </c>
      <c r="B1038" s="8" t="inlineStr">
        <is>
          <t>Banco egreso no Flexxus</t>
        </is>
      </c>
      <c r="C1038" s="8" t="inlineStr">
        <is>
          <t>Retención Ingresos Brutos Mendoza</t>
        </is>
      </c>
      <c r="D1038" s="9" t="n">
        <v>113.89</v>
      </c>
      <c r="E1038" s="8" t="inlineStr">
        <is>
          <t>ABIERTO_NUEVO</t>
        </is>
      </c>
      <c r="F1038" s="8" t="inlineStr">
        <is>
          <t>Banco / impuesto / gasto</t>
        </is>
      </c>
      <c r="G1038" s="8" t="inlineStr">
        <is>
          <t>Copiar en Flexxus: Tipo=MB-EXT | Movimiento=INGRESOS BRUTOS MENDOZA | Monto=113,89 | Fecha: 20/04/2026</t>
        </is>
      </c>
    </row>
    <row r="1039">
      <c r="A1039" s="8" t="inlineStr">
        <is>
          <t>Administración/Banco</t>
        </is>
      </c>
      <c r="B1039" s="8" t="inlineStr">
        <is>
          <t>Banco egreso no Flexxus</t>
        </is>
      </c>
      <c r="C1039" s="8" t="inlineStr">
        <is>
          <t>Retención Ingresos Brutos Mendoza</t>
        </is>
      </c>
      <c r="D1039" s="9" t="n">
        <v>263.33</v>
      </c>
      <c r="E1039" s="8" t="inlineStr">
        <is>
          <t>ABIERTO_NUEVO</t>
        </is>
      </c>
      <c r="F1039" s="8" t="inlineStr">
        <is>
          <t>Banco / impuesto / gasto</t>
        </is>
      </c>
      <c r="G1039" s="8" t="inlineStr">
        <is>
          <t>Copiar en Flexxus: Tipo=MB-EXT | Movimiento=INGRESOS BRUTOS MENDOZA | Monto=263,33 | Fecha: 20/04/2026</t>
        </is>
      </c>
    </row>
    <row r="1040">
      <c r="A1040" s="8" t="inlineStr">
        <is>
          <t>Administración/Banco</t>
        </is>
      </c>
      <c r="B1040" s="8" t="inlineStr">
        <is>
          <t>Banco egreso no Flexxus</t>
        </is>
      </c>
      <c r="C1040" s="8" t="inlineStr">
        <is>
          <t>Retención Ingresos Brutos Mendoza</t>
        </is>
      </c>
      <c r="D1040" s="9" t="n">
        <v>267.39</v>
      </c>
      <c r="E1040" s="8" t="inlineStr">
        <is>
          <t>ABIERTO_NUEVO</t>
        </is>
      </c>
      <c r="F1040" s="8" t="inlineStr">
        <is>
          <t>Banco / impuesto / gasto</t>
        </is>
      </c>
      <c r="G1040" s="8" t="inlineStr">
        <is>
          <t>Copiar en Flexxus: Tipo=MB-EXT | Movimiento=INGRESOS BRUTOS MENDOZA | Monto=267,39 | Fecha: 20/04/2026</t>
        </is>
      </c>
    </row>
    <row r="1041">
      <c r="A1041" s="8" t="inlineStr">
        <is>
          <t>Administración/Banco</t>
        </is>
      </c>
      <c r="B1041" s="8" t="inlineStr">
        <is>
          <t>Banco egreso no Flexxus</t>
        </is>
      </c>
      <c r="C1041" s="8" t="inlineStr">
        <is>
          <t>Retención Ingresos Brutos Mendoza</t>
        </is>
      </c>
      <c r="D1041" s="9" t="n">
        <v>697.1900000000001</v>
      </c>
      <c r="E1041" s="8" t="inlineStr">
        <is>
          <t>ABIERTO_NUEVO</t>
        </is>
      </c>
      <c r="F1041" s="8" t="inlineStr">
        <is>
          <t>Banco / impuesto / gasto</t>
        </is>
      </c>
      <c r="G1041" s="8" t="inlineStr">
        <is>
          <t>Copiar en Flexxus: Tipo=MB-EXT | Movimiento=INGRESOS BRUTOS MENDOZA | Monto=697,19 | Fecha: 20/04/2026</t>
        </is>
      </c>
    </row>
    <row r="1042">
      <c r="A1042" s="8" t="inlineStr">
        <is>
          <t>Administración/Banco</t>
        </is>
      </c>
      <c r="B1042" s="8" t="inlineStr">
        <is>
          <t>Banco egreso no Flexxus</t>
        </is>
      </c>
      <c r="C1042" s="8" t="inlineStr">
        <is>
          <t>Retención Ingresos Brutos Mendoza</t>
        </is>
      </c>
      <c r="D1042" s="9" t="n">
        <v>320.86</v>
      </c>
      <c r="E1042" s="8" t="inlineStr">
        <is>
          <t>ABIERTO_NUEVO</t>
        </is>
      </c>
      <c r="F1042" s="8" t="inlineStr">
        <is>
          <t>Banco / impuesto / gasto</t>
        </is>
      </c>
      <c r="G1042" s="8" t="inlineStr">
        <is>
          <t>Copiar en Flexxus: Tipo=MB-EXT | Movimiento=INGRESOS BRUTOS MENDOZA | Monto=320,86 | Fecha: 20/04/2026</t>
        </is>
      </c>
    </row>
    <row r="1043">
      <c r="A1043" s="8" t="inlineStr">
        <is>
          <t>Administración/Banco</t>
        </is>
      </c>
      <c r="B1043" s="8" t="inlineStr">
        <is>
          <t>Banco egreso no Flexxus</t>
        </is>
      </c>
      <c r="C1043" s="8" t="inlineStr">
        <is>
          <t>Retención Ingresos Brutos Mendoza</t>
        </is>
      </c>
      <c r="D1043" s="9" t="n">
        <v>113.89</v>
      </c>
      <c r="E1043" s="8" t="inlineStr">
        <is>
          <t>ABIERTO_NUEVO</t>
        </is>
      </c>
      <c r="F1043" s="8" t="inlineStr">
        <is>
          <t>Banco / impuesto / gasto</t>
        </is>
      </c>
      <c r="G1043" s="8" t="inlineStr">
        <is>
          <t>Copiar en Flexxus: Tipo=MB-EXT | Movimiento=INGRESOS BRUTOS MENDOZA | Monto=113,89 | Fecha: 20/04/2026</t>
        </is>
      </c>
    </row>
    <row r="1044">
      <c r="A1044" s="8" t="inlineStr">
        <is>
          <t>Administración/Banco</t>
        </is>
      </c>
      <c r="B1044" s="8" t="inlineStr">
        <is>
          <t>Banco egreso no Flexxus</t>
        </is>
      </c>
      <c r="C1044" s="8" t="inlineStr">
        <is>
          <t>Retención Ingresos Brutos Mendoza</t>
        </is>
      </c>
      <c r="D1044" s="9" t="n">
        <v>603.1</v>
      </c>
      <c r="E1044" s="8" t="inlineStr">
        <is>
          <t>ABIERTO_NUEVO</t>
        </is>
      </c>
      <c r="F1044" s="8" t="inlineStr">
        <is>
          <t>Banco / impuesto / gasto</t>
        </is>
      </c>
      <c r="G1044" s="8" t="inlineStr">
        <is>
          <t>Copiar en Flexxus: Tipo=MB-EXT | Movimiento=INGRESOS BRUTOS MENDOZA | Monto=603,10 | Fecha: 20/04/2026</t>
        </is>
      </c>
    </row>
    <row r="1045">
      <c r="A1045" s="8" t="inlineStr">
        <is>
          <t>Administración/Banco</t>
        </is>
      </c>
      <c r="B1045" s="8" t="inlineStr">
        <is>
          <t>Banco egreso no Flexxus</t>
        </is>
      </c>
      <c r="C1045" s="8" t="inlineStr">
        <is>
          <t>Retención Ingresos Brutos Mendoza</t>
        </is>
      </c>
      <c r="D1045" s="9" t="n">
        <v>330.77</v>
      </c>
      <c r="E1045" s="8" t="inlineStr">
        <is>
          <t>ABIERTO_NUEVO</t>
        </is>
      </c>
      <c r="F1045" s="8" t="inlineStr">
        <is>
          <t>Banco / impuesto / gasto</t>
        </is>
      </c>
      <c r="G1045" s="8" t="inlineStr">
        <is>
          <t>Copiar en Flexxus: Tipo=MB-EXT | Movimiento=INGRESOS BRUTOS MENDOZA | Monto=330,77 | Fecha: 20/04/2026</t>
        </is>
      </c>
    </row>
    <row r="1046">
      <c r="A1046" s="8" t="inlineStr">
        <is>
          <t>Administración/Banco</t>
        </is>
      </c>
      <c r="B1046" s="8" t="inlineStr">
        <is>
          <t>Banco egreso no Flexxus</t>
        </is>
      </c>
      <c r="C1046" s="8" t="inlineStr">
        <is>
          <t>Retención Ingresos Brutos Mendoza</t>
        </is>
      </c>
      <c r="D1046" s="9" t="n">
        <v>159.44</v>
      </c>
      <c r="E1046" s="8" t="inlineStr">
        <is>
          <t>ABIERTO_NUEVO</t>
        </is>
      </c>
      <c r="F1046" s="8" t="inlineStr">
        <is>
          <t>Banco / impuesto / gasto</t>
        </is>
      </c>
      <c r="G1046" s="8" t="inlineStr">
        <is>
          <t>Copiar en Flexxus: Tipo=MB-EXT | Movimiento=INGRESOS BRUTOS MENDOZA | Monto=159,44 | Fecha: 20/04/2026</t>
        </is>
      </c>
    </row>
    <row r="1047">
      <c r="A1047" s="8" t="inlineStr">
        <is>
          <t>Administración/Banco</t>
        </is>
      </c>
      <c r="B1047" s="8" t="inlineStr">
        <is>
          <t>Banco egreso no Flexxus</t>
        </is>
      </c>
      <c r="C1047" s="8" t="inlineStr">
        <is>
          <t>Retención Ingresos Brutos Mendoza</t>
        </is>
      </c>
      <c r="D1047" s="9" t="n">
        <v>76.25</v>
      </c>
      <c r="E1047" s="8" t="inlineStr">
        <is>
          <t>ABIERTO_NUEVO</t>
        </is>
      </c>
      <c r="F1047" s="8" t="inlineStr">
        <is>
          <t>Banco / impuesto / gasto</t>
        </is>
      </c>
      <c r="G1047" s="8" t="inlineStr">
        <is>
          <t>Copiar en Flexxus: Tipo=MB-EXT | Movimiento=INGRESOS BRUTOS MENDOZA | Monto=76,25 | Fecha: 20/04/2026</t>
        </is>
      </c>
    </row>
    <row r="1048">
      <c r="A1048" s="8" t="inlineStr">
        <is>
          <t>Administración/Banco</t>
        </is>
      </c>
      <c r="B1048" s="8" t="inlineStr">
        <is>
          <t>Banco egreso no Flexxus</t>
        </is>
      </c>
      <c r="C1048" s="8" t="inlineStr">
        <is>
          <t>Retención Ingresos Brutos Mendoza</t>
        </is>
      </c>
      <c r="D1048" s="9" t="n">
        <v>232.73</v>
      </c>
      <c r="E1048" s="8" t="inlineStr">
        <is>
          <t>ABIERTO_NUEVO</t>
        </is>
      </c>
      <c r="F1048" s="8" t="inlineStr">
        <is>
          <t>Banco / impuesto / gasto</t>
        </is>
      </c>
      <c r="G1048" s="8" t="inlineStr">
        <is>
          <t>Copiar en Flexxus: Tipo=MB-EXT | Movimiento=INGRESOS BRUTOS MENDOZA | Monto=232,73 | Fecha: 20/04/2026</t>
        </is>
      </c>
    </row>
    <row r="1049">
      <c r="A1049" s="8" t="inlineStr">
        <is>
          <t>Administración/Banco</t>
        </is>
      </c>
      <c r="B1049" s="8" t="inlineStr">
        <is>
          <t>Banco egreso no Flexxus</t>
        </is>
      </c>
      <c r="C1049" s="8" t="inlineStr">
        <is>
          <t>Retención Ingresos Brutos Mendoza</t>
        </is>
      </c>
      <c r="D1049" s="9" t="n">
        <v>273.33</v>
      </c>
      <c r="E1049" s="8" t="inlineStr">
        <is>
          <t>ABIERTO_NUEVO</t>
        </is>
      </c>
      <c r="F1049" s="8" t="inlineStr">
        <is>
          <t>Banco / impuesto / gasto</t>
        </is>
      </c>
      <c r="G1049" s="8" t="inlineStr">
        <is>
          <t>Copiar en Flexxus: Tipo=MB-EXT | Movimiento=INGRESOS BRUTOS MENDOZA | Monto=273,33 | Fecha: 20/04/2026</t>
        </is>
      </c>
    </row>
    <row r="1050">
      <c r="A1050" s="8" t="inlineStr">
        <is>
          <t>Administración/Banco</t>
        </is>
      </c>
      <c r="B1050" s="8" t="inlineStr">
        <is>
          <t>Banco egreso no Flexxus</t>
        </is>
      </c>
      <c r="C1050" s="8" t="inlineStr">
        <is>
          <t>Retención Ingresos Brutos Mendoza</t>
        </is>
      </c>
      <c r="D1050" s="9" t="n">
        <v>482.19</v>
      </c>
      <c r="E1050" s="8" t="inlineStr">
        <is>
          <t>ABIERTO_NUEVO</t>
        </is>
      </c>
      <c r="F1050" s="8" t="inlineStr">
        <is>
          <t>Banco / impuesto / gasto</t>
        </is>
      </c>
      <c r="G1050" s="8" t="inlineStr">
        <is>
          <t>Copiar en Flexxus: Tipo=MB-EXT | Movimiento=INGRESOS BRUTOS MENDOZA | Monto=482,19 | Fecha: 20/04/2026</t>
        </is>
      </c>
    </row>
    <row r="1051">
      <c r="A1051" s="8" t="inlineStr">
        <is>
          <t>Administración/Banco</t>
        </is>
      </c>
      <c r="B1051" s="8" t="inlineStr">
        <is>
          <t>Banco egreso no Flexxus</t>
        </is>
      </c>
      <c r="C1051" s="8" t="inlineStr">
        <is>
          <t>Retención Ingresos Brutos Mendoza</t>
        </is>
      </c>
      <c r="D1051" s="9" t="n">
        <v>113.89</v>
      </c>
      <c r="E1051" s="8" t="inlineStr">
        <is>
          <t>ABIERTO_NUEVO</t>
        </is>
      </c>
      <c r="F1051" s="8" t="inlineStr">
        <is>
          <t>Banco / impuesto / gasto</t>
        </is>
      </c>
      <c r="G1051" s="8" t="inlineStr">
        <is>
          <t>Copiar en Flexxus: Tipo=MB-EXT | Movimiento=INGRESOS BRUTOS MENDOZA | Monto=113,89 | Fecha: 20/04/2026</t>
        </is>
      </c>
    </row>
    <row r="1052">
      <c r="A1052" s="8" t="inlineStr">
        <is>
          <t>Administración/Banco</t>
        </is>
      </c>
      <c r="B1052" s="8" t="inlineStr">
        <is>
          <t>Banco egreso no Flexxus</t>
        </is>
      </c>
      <c r="C1052" s="8" t="inlineStr">
        <is>
          <t>Retención Ingresos Brutos Mendoza</t>
        </is>
      </c>
      <c r="D1052" s="9" t="n">
        <v>407.02</v>
      </c>
      <c r="E1052" s="8" t="inlineStr">
        <is>
          <t>ABIERTO_NUEVO</t>
        </is>
      </c>
      <c r="F1052" s="8" t="inlineStr">
        <is>
          <t>Banco / impuesto / gasto</t>
        </is>
      </c>
      <c r="G1052" s="8" t="inlineStr">
        <is>
          <t>Copiar en Flexxus: Tipo=MB-EXT | Movimiento=INGRESOS BRUTOS MENDOZA | Monto=407,02 | Fecha: 20/04/2026</t>
        </is>
      </c>
    </row>
    <row r="1053">
      <c r="A1053" s="8" t="inlineStr">
        <is>
          <t>Administración/Banco</t>
        </is>
      </c>
      <c r="B1053" s="8" t="inlineStr">
        <is>
          <t>Banco egreso no Flexxus</t>
        </is>
      </c>
      <c r="C1053" s="8" t="inlineStr">
        <is>
          <t>Retención Ingresos Brutos Mendoza</t>
        </is>
      </c>
      <c r="D1053" s="9" t="n">
        <v>341.66</v>
      </c>
      <c r="E1053" s="8" t="inlineStr">
        <is>
          <t>ABIERTO_NUEVO</t>
        </is>
      </c>
      <c r="F1053" s="8" t="inlineStr">
        <is>
          <t>Banco / impuesto / gasto</t>
        </is>
      </c>
      <c r="G1053" s="8" t="inlineStr">
        <is>
          <t>Copiar en Flexxus: Tipo=MB-EXT | Movimiento=INGRESOS BRUTOS MENDOZA | Monto=341,66 | Fecha: 20/04/2026</t>
        </is>
      </c>
    </row>
    <row r="1054">
      <c r="A1054" s="8" t="inlineStr">
        <is>
          <t>Administración/Banco</t>
        </is>
      </c>
      <c r="B1054" s="8" t="inlineStr">
        <is>
          <t>Banco egreso no Flexxus</t>
        </is>
      </c>
      <c r="C1054" s="8" t="inlineStr">
        <is>
          <t>Retención Ingresos Brutos Mendoza</t>
        </is>
      </c>
      <c r="D1054" s="9" t="n">
        <v>608.0599999999999</v>
      </c>
      <c r="E1054" s="8" t="inlineStr">
        <is>
          <t>ABIERTO_NUEVO</t>
        </is>
      </c>
      <c r="F1054" s="8" t="inlineStr">
        <is>
          <t>Banco / impuesto / gasto</t>
        </is>
      </c>
      <c r="G1054" s="8" t="inlineStr">
        <is>
          <t>Copiar en Flexxus: Tipo=MB-EXT | Movimiento=INGRESOS BRUTOS MENDOZA | Monto=608,06 | Fecha: 20/04/2026</t>
        </is>
      </c>
    </row>
    <row r="1055">
      <c r="A1055" s="8" t="inlineStr">
        <is>
          <t>Administración/Banco</t>
        </is>
      </c>
      <c r="B1055" s="8" t="inlineStr">
        <is>
          <t>Banco egreso no Flexxus</t>
        </is>
      </c>
      <c r="C1055" s="8" t="inlineStr">
        <is>
          <t>Retención Ingresos Brutos Mendoza</t>
        </is>
      </c>
      <c r="D1055" s="9" t="n">
        <v>198.06</v>
      </c>
      <c r="E1055" s="8" t="inlineStr">
        <is>
          <t>ABIERTO_NUEVO</t>
        </is>
      </c>
      <c r="F1055" s="8" t="inlineStr">
        <is>
          <t>Banco / impuesto / gasto</t>
        </is>
      </c>
      <c r="G1055" s="8" t="inlineStr">
        <is>
          <t>Copiar en Flexxus: Tipo=MB-EXT | Movimiento=INGRESOS BRUTOS MENDOZA | Monto=198,06 | Fecha: 20/04/2026</t>
        </is>
      </c>
    </row>
    <row r="1056">
      <c r="A1056" s="8" t="inlineStr">
        <is>
          <t>Administración/Banco</t>
        </is>
      </c>
      <c r="B1056" s="8" t="inlineStr">
        <is>
          <t>Banco egreso no Flexxus</t>
        </is>
      </c>
      <c r="C1056" s="8" t="inlineStr">
        <is>
          <t>Retención Ingresos Brutos Mendoza</t>
        </is>
      </c>
      <c r="D1056" s="9" t="n">
        <v>974.47</v>
      </c>
      <c r="E1056" s="8" t="inlineStr">
        <is>
          <t>ABIERTO_NUEVO</t>
        </is>
      </c>
      <c r="F1056" s="8" t="inlineStr">
        <is>
          <t>Banco / impuesto / gasto</t>
        </is>
      </c>
      <c r="G1056" s="8" t="inlineStr">
        <is>
          <t>Copiar en Flexxus: Tipo=MB-EXT | Movimiento=INGRESOS BRUTOS MENDOZA | Monto=974,47 | Fecha: 20/04/2026</t>
        </is>
      </c>
    </row>
    <row r="1057">
      <c r="A1057" s="8" t="inlineStr">
        <is>
          <t>Administración/Banco</t>
        </is>
      </c>
      <c r="B1057" s="8" t="inlineStr">
        <is>
          <t>Banco egreso no Flexxus</t>
        </is>
      </c>
      <c r="C1057" s="8" t="inlineStr">
        <is>
          <t>Retención Ingresos Brutos Mendoza</t>
        </is>
      </c>
      <c r="D1057" s="9" t="n">
        <v>678.37</v>
      </c>
      <c r="E1057" s="8" t="inlineStr">
        <is>
          <t>ABIERTO_NUEVO</t>
        </is>
      </c>
      <c r="F1057" s="8" t="inlineStr">
        <is>
          <t>Banco / impuesto / gasto</t>
        </is>
      </c>
      <c r="G1057" s="8" t="inlineStr">
        <is>
          <t>Copiar en Flexxus: Tipo=MB-EXT | Movimiento=INGRESOS BRUTOS MENDOZA | Monto=678,37 | Fecha: 20/04/2026</t>
        </is>
      </c>
    </row>
    <row r="1058">
      <c r="A1058" s="8" t="inlineStr">
        <is>
          <t>Administración/Banco</t>
        </is>
      </c>
      <c r="B1058" s="8" t="inlineStr">
        <is>
          <t>Banco egreso no Flexxus</t>
        </is>
      </c>
      <c r="C1058" s="8" t="inlineStr">
        <is>
          <t>Retención Ingresos Brutos Mendoza</t>
        </is>
      </c>
      <c r="D1058" s="9" t="n">
        <v>326.81</v>
      </c>
      <c r="E1058" s="8" t="inlineStr">
        <is>
          <t>ABIERTO_NUEVO</t>
        </is>
      </c>
      <c r="F1058" s="8" t="inlineStr">
        <is>
          <t>Banco / impuesto / gasto</t>
        </is>
      </c>
      <c r="G1058" s="8" t="inlineStr">
        <is>
          <t>Copiar en Flexxus: Tipo=MB-EXT | Movimiento=INGRESOS BRUTOS MENDOZA | Monto=326,81 | Fecha: 20/04/2026</t>
        </is>
      </c>
    </row>
    <row r="1059">
      <c r="A1059" s="8" t="inlineStr">
        <is>
          <t>Administración/Banco</t>
        </is>
      </c>
      <c r="B1059" s="8" t="inlineStr">
        <is>
          <t>Banco egreso no Flexxus</t>
        </is>
      </c>
      <c r="C1059" s="8" t="inlineStr">
        <is>
          <t>Retención Ingresos Brutos Mendoza</t>
        </is>
      </c>
      <c r="D1059" s="9" t="n">
        <v>308.98</v>
      </c>
      <c r="E1059" s="8" t="inlineStr">
        <is>
          <t>ABIERTO_NUEVO</t>
        </is>
      </c>
      <c r="F1059" s="8" t="inlineStr">
        <is>
          <t>Banco / impuesto / gasto</t>
        </is>
      </c>
      <c r="G1059" s="8" t="inlineStr">
        <is>
          <t>Copiar en Flexxus: Tipo=MB-EXT | Movimiento=INGRESOS BRUTOS MENDOZA | Monto=308,98 | Fecha: 20/04/2026</t>
        </is>
      </c>
    </row>
    <row r="1060">
      <c r="A1060" s="8" t="inlineStr">
        <is>
          <t>Administración/Banco</t>
        </is>
      </c>
      <c r="B1060" s="8" t="inlineStr">
        <is>
          <t>Banco egreso no Flexxus</t>
        </is>
      </c>
      <c r="C1060" s="8" t="inlineStr">
        <is>
          <t>Retención Ingresos Brutos Mendoza</t>
        </is>
      </c>
      <c r="D1060" s="9" t="n">
        <v>295.12</v>
      </c>
      <c r="E1060" s="8" t="inlineStr">
        <is>
          <t>ABIERTO_NUEVO</t>
        </is>
      </c>
      <c r="F1060" s="8" t="inlineStr">
        <is>
          <t>Banco / impuesto / gasto</t>
        </is>
      </c>
      <c r="G1060" s="8" t="inlineStr">
        <is>
          <t>Copiar en Flexxus: Tipo=MB-EXT | Movimiento=INGRESOS BRUTOS MENDOZA | Monto=295,12 | Fecha: 20/04/2026</t>
        </is>
      </c>
    </row>
    <row r="1061">
      <c r="A1061" s="8" t="inlineStr">
        <is>
          <t>Administración/Banco</t>
        </is>
      </c>
      <c r="B1061" s="8" t="inlineStr">
        <is>
          <t>Banco egreso no Flexxus</t>
        </is>
      </c>
      <c r="C1061" s="8" t="inlineStr">
        <is>
          <t>Retención Ingresos Brutos Mendoza</t>
        </is>
      </c>
      <c r="D1061" s="9" t="n">
        <v>346.61</v>
      </c>
      <c r="E1061" s="8" t="inlineStr">
        <is>
          <t>ABIERTO_NUEVO</t>
        </is>
      </c>
      <c r="F1061" s="8" t="inlineStr">
        <is>
          <t>Banco / impuesto / gasto</t>
        </is>
      </c>
      <c r="G1061" s="8" t="inlineStr">
        <is>
          <t>Copiar en Flexxus: Tipo=MB-EXT | Movimiento=INGRESOS BRUTOS MENDOZA | Monto=346,61 | Fecha: 20/04/2026</t>
        </is>
      </c>
    </row>
    <row r="1062">
      <c r="A1062" s="8" t="inlineStr">
        <is>
          <t>Administración/Banco</t>
        </is>
      </c>
      <c r="B1062" s="8" t="inlineStr">
        <is>
          <t>Banco egreso no Flexxus</t>
        </is>
      </c>
      <c r="C1062" s="8" t="inlineStr">
        <is>
          <t>Retención Ingresos Brutos Mendoza</t>
        </is>
      </c>
      <c r="D1062" s="9" t="n">
        <v>719.96</v>
      </c>
      <c r="E1062" s="8" t="inlineStr">
        <is>
          <t>ABIERTO_NUEVO</t>
        </is>
      </c>
      <c r="F1062" s="8" t="inlineStr">
        <is>
          <t>Banco / impuesto / gasto</t>
        </is>
      </c>
      <c r="G1062" s="8" t="inlineStr">
        <is>
          <t>Copiar en Flexxus: Tipo=MB-EXT | Movimiento=INGRESOS BRUTOS MENDOZA | Monto=719,96 | Fecha: 20/04/2026</t>
        </is>
      </c>
    </row>
    <row r="1063">
      <c r="A1063" s="8" t="inlineStr">
        <is>
          <t>Administración/Banco</t>
        </is>
      </c>
      <c r="B1063" s="8" t="inlineStr">
        <is>
          <t>Banco egreso no Flexxus</t>
        </is>
      </c>
      <c r="C1063" s="8" t="inlineStr">
        <is>
          <t>Retención Ingresos Brutos Mendoza</t>
        </is>
      </c>
      <c r="D1063" s="9" t="n">
        <v>301.06</v>
      </c>
      <c r="E1063" s="8" t="inlineStr">
        <is>
          <t>ABIERTO_NUEVO</t>
        </is>
      </c>
      <c r="F1063" s="8" t="inlineStr">
        <is>
          <t>Banco / impuesto / gasto</t>
        </is>
      </c>
      <c r="G1063" s="8" t="inlineStr">
        <is>
          <t>Copiar en Flexxus: Tipo=MB-EXT | Movimiento=INGRESOS BRUTOS MENDOZA | Monto=301,06 | Fecha: 20/04/2026</t>
        </is>
      </c>
    </row>
    <row r="1064">
      <c r="A1064" s="8" t="inlineStr">
        <is>
          <t>Administración/Banco</t>
        </is>
      </c>
      <c r="B1064" s="8" t="inlineStr">
        <is>
          <t>Banco egreso no Flexxus</t>
        </is>
      </c>
      <c r="C1064" s="8" t="inlineStr">
        <is>
          <t>Retención Ingresos Brutos Mendoza</t>
        </is>
      </c>
      <c r="D1064" s="9" t="n">
        <v>260.45</v>
      </c>
      <c r="E1064" s="8" t="inlineStr">
        <is>
          <t>ABIERTO_NUEVO</t>
        </is>
      </c>
      <c r="F1064" s="8" t="inlineStr">
        <is>
          <t>Banco / impuesto / gasto</t>
        </is>
      </c>
      <c r="G1064" s="8" t="inlineStr">
        <is>
          <t>Copiar en Flexxus: Tipo=MB-EXT | Movimiento=INGRESOS BRUTOS MENDOZA | Monto=260,45 | Fecha: 20/04/2026</t>
        </is>
      </c>
    </row>
    <row r="1065">
      <c r="A1065" s="8" t="inlineStr">
        <is>
          <t>Administración/Banco</t>
        </is>
      </c>
      <c r="B1065" s="8" t="inlineStr">
        <is>
          <t>Banco egreso no Flexxus</t>
        </is>
      </c>
      <c r="C1065" s="8" t="inlineStr">
        <is>
          <t>Retención Ingresos Brutos Mendoza</t>
        </is>
      </c>
      <c r="D1065" s="9" t="n">
        <v>647.67</v>
      </c>
      <c r="E1065" s="8" t="inlineStr">
        <is>
          <t>ABIERTO_NUEVO</t>
        </is>
      </c>
      <c r="F1065" s="8" t="inlineStr">
        <is>
          <t>Banco / impuesto / gasto</t>
        </is>
      </c>
      <c r="G1065" s="8" t="inlineStr">
        <is>
          <t>Copiar en Flexxus: Tipo=MB-EXT | Movimiento=INGRESOS BRUTOS MENDOZA | Monto=647,67 | Fecha: 20/04/2026</t>
        </is>
      </c>
    </row>
    <row r="1066">
      <c r="A1066" s="8" t="inlineStr">
        <is>
          <t>Administración/Banco</t>
        </is>
      </c>
      <c r="B1066" s="8" t="inlineStr">
        <is>
          <t>Banco egreso no Flexxus</t>
        </is>
      </c>
      <c r="C1066" s="8" t="inlineStr">
        <is>
          <t>Retención Ingresos Brutos Mendoza</t>
        </is>
      </c>
      <c r="D1066" s="9" t="n">
        <v>145.58</v>
      </c>
      <c r="E1066" s="8" t="inlineStr">
        <is>
          <t>ABIERTO_NUEVO</t>
        </is>
      </c>
      <c r="F1066" s="8" t="inlineStr">
        <is>
          <t>Banco / impuesto / gasto</t>
        </is>
      </c>
      <c r="G1066" s="8" t="inlineStr">
        <is>
          <t>Copiar en Flexxus: Tipo=MB-EXT | Movimiento=INGRESOS BRUTOS MENDOZA | Monto=145,58 | Fecha: 20/04/2026</t>
        </is>
      </c>
    </row>
    <row r="1067">
      <c r="A1067" s="8" t="inlineStr">
        <is>
          <t>Administración/Banco</t>
        </is>
      </c>
      <c r="B1067" s="8" t="inlineStr">
        <is>
          <t>Banco egreso no Flexxus</t>
        </is>
      </c>
      <c r="C1067" s="8" t="inlineStr">
        <is>
          <t>Retención Ingresos Brutos Mendoza</t>
        </is>
      </c>
      <c r="D1067" s="9" t="n">
        <v>350.57</v>
      </c>
      <c r="E1067" s="8" t="inlineStr">
        <is>
          <t>ABIERTO_NUEVO</t>
        </is>
      </c>
      <c r="F1067" s="8" t="inlineStr">
        <is>
          <t>Banco / impuesto / gasto</t>
        </is>
      </c>
      <c r="G1067" s="8" t="inlineStr">
        <is>
          <t>Copiar en Flexxus: Tipo=MB-EXT | Movimiento=INGRESOS BRUTOS MENDOZA | Monto=350,57 | Fecha: 20/04/2026</t>
        </is>
      </c>
    </row>
    <row r="1068">
      <c r="A1068" s="8" t="inlineStr">
        <is>
          <t>Administración/Banco</t>
        </is>
      </c>
      <c r="B1068" s="8" t="inlineStr">
        <is>
          <t>Banco egreso no Flexxus</t>
        </is>
      </c>
      <c r="C1068" s="8" t="inlineStr">
        <is>
          <t>Retención Ingresos Brutos Mendoza</t>
        </is>
      </c>
      <c r="D1068" s="9" t="n">
        <v>113.89</v>
      </c>
      <c r="E1068" s="8" t="inlineStr">
        <is>
          <t>ABIERTO_NUEVO</t>
        </is>
      </c>
      <c r="F1068" s="8" t="inlineStr">
        <is>
          <t>Banco / impuesto / gasto</t>
        </is>
      </c>
      <c r="G1068" s="8" t="inlineStr">
        <is>
          <t>Copiar en Flexxus: Tipo=MB-EXT | Movimiento=INGRESOS BRUTOS MENDOZA | Monto=113,89 | Fecha: 20/04/2026</t>
        </is>
      </c>
    </row>
    <row r="1069">
      <c r="A1069" s="8" t="inlineStr">
        <is>
          <t>Administración/Banco</t>
        </is>
      </c>
      <c r="B1069" s="8" t="inlineStr">
        <is>
          <t>Banco egreso no Flexxus</t>
        </is>
      </c>
      <c r="C1069" s="8" t="inlineStr">
        <is>
          <t>Retención Ingresos Brutos Mendoza</t>
        </is>
      </c>
      <c r="D1069" s="9" t="n">
        <v>133.69</v>
      </c>
      <c r="E1069" s="8" t="inlineStr">
        <is>
          <t>ABIERTO_NUEVO</t>
        </is>
      </c>
      <c r="F1069" s="8" t="inlineStr">
        <is>
          <t>Banco / impuesto / gasto</t>
        </is>
      </c>
      <c r="G1069" s="8" t="inlineStr">
        <is>
          <t>Copiar en Flexxus: Tipo=MB-EXT | Movimiento=INGRESOS BRUTOS MENDOZA | Monto=133,69 | Fecha: 20/04/2026</t>
        </is>
      </c>
    </row>
    <row r="1070">
      <c r="A1070" s="8" t="inlineStr">
        <is>
          <t>Administración/Banco</t>
        </is>
      </c>
      <c r="B1070" s="8" t="inlineStr">
        <is>
          <t>Banco egreso no Flexxus</t>
        </is>
      </c>
      <c r="C1070" s="8" t="inlineStr">
        <is>
          <t>Retención Ingresos Brutos Mendoza</t>
        </is>
      </c>
      <c r="D1070" s="9" t="n">
        <v>361.47</v>
      </c>
      <c r="E1070" s="8" t="inlineStr">
        <is>
          <t>ABIERTO_NUEVO</t>
        </is>
      </c>
      <c r="F1070" s="8" t="inlineStr">
        <is>
          <t>Banco / impuesto / gasto</t>
        </is>
      </c>
      <c r="G1070" s="8" t="inlineStr">
        <is>
          <t>Copiar en Flexxus: Tipo=MB-EXT | Movimiento=INGRESOS BRUTOS MENDOZA | Monto=361,47 | Fecha: 20/04/2026</t>
        </is>
      </c>
    </row>
    <row r="1071">
      <c r="A1071" s="8" t="inlineStr">
        <is>
          <t>Administración/Banco</t>
        </is>
      </c>
      <c r="B1071" s="8" t="inlineStr">
        <is>
          <t>Banco egreso no Flexxus</t>
        </is>
      </c>
      <c r="C1071" s="8" t="inlineStr">
        <is>
          <t>Retención Ingresos Brutos Mendoza</t>
        </is>
      </c>
      <c r="D1071" s="9" t="n">
        <v>418.01</v>
      </c>
      <c r="E1071" s="8" t="inlineStr">
        <is>
          <t>ABIERTO_NUEVO</t>
        </is>
      </c>
      <c r="F1071" s="8" t="inlineStr">
        <is>
          <t>Banco / impuesto / gasto</t>
        </is>
      </c>
      <c r="G1071" s="8" t="inlineStr">
        <is>
          <t>Copiar en Flexxus: Tipo=MB-EXT | Movimiento=INGRESOS BRUTOS MENDOZA | Monto=418,01 | Fecha: 20/04/2026</t>
        </is>
      </c>
    </row>
    <row r="1072">
      <c r="A1072" s="8" t="inlineStr">
        <is>
          <t>Administración/Banco</t>
        </is>
      </c>
      <c r="B1072" s="8" t="inlineStr">
        <is>
          <t>Banco egreso no Flexxus</t>
        </is>
      </c>
      <c r="C1072" s="8" t="inlineStr">
        <is>
          <t>Retención Ingresos Brutos Mendoza</t>
        </is>
      </c>
      <c r="D1072" s="9" t="n">
        <v>320.86</v>
      </c>
      <c r="E1072" s="8" t="inlineStr">
        <is>
          <t>ABIERTO_NUEVO</t>
        </is>
      </c>
      <c r="F1072" s="8" t="inlineStr">
        <is>
          <t>Banco / impuesto / gasto</t>
        </is>
      </c>
      <c r="G1072" s="8" t="inlineStr">
        <is>
          <t>Copiar en Flexxus: Tipo=MB-EXT | Movimiento=INGRESOS BRUTOS MENDOZA | Monto=320,86 | Fecha: 20/04/2026</t>
        </is>
      </c>
    </row>
    <row r="1073">
      <c r="A1073" s="8" t="inlineStr">
        <is>
          <t>Administración/Banco</t>
        </is>
      </c>
      <c r="B1073" s="8" t="inlineStr">
        <is>
          <t>Banco egreso no Flexxus</t>
        </is>
      </c>
      <c r="C1073" s="8" t="inlineStr">
        <is>
          <t>Retención Ingresos Brutos Mendoza</t>
        </is>
      </c>
      <c r="D1073" s="9" t="n">
        <v>60.31</v>
      </c>
      <c r="E1073" s="8" t="inlineStr">
        <is>
          <t>ABIERTO_NUEVO</t>
        </is>
      </c>
      <c r="F1073" s="8" t="inlineStr">
        <is>
          <t>Banco / impuesto / gasto</t>
        </is>
      </c>
      <c r="G1073" s="8" t="inlineStr">
        <is>
          <t>Copiar en Flexxus: Tipo=MB-EXT | Movimiento=INGRESOS BRUTOS MENDOZA | Monto=60,31 | Fecha: 20/04/2026</t>
        </is>
      </c>
    </row>
    <row r="1074">
      <c r="A1074" s="8" t="inlineStr">
        <is>
          <t>Administración/Banco</t>
        </is>
      </c>
      <c r="B1074" s="8" t="inlineStr">
        <is>
          <t>Banco egreso no Flexxus</t>
        </is>
      </c>
      <c r="C1074" s="8" t="inlineStr">
        <is>
          <t>Retención Ingresos Brutos Mendoza</t>
        </is>
      </c>
      <c r="D1074" s="9" t="n">
        <v>173.7</v>
      </c>
      <c r="E1074" s="8" t="inlineStr">
        <is>
          <t>ABIERTO_NUEVO</t>
        </is>
      </c>
      <c r="F1074" s="8" t="inlineStr">
        <is>
          <t>Banco / impuesto / gasto</t>
        </is>
      </c>
      <c r="G1074" s="8" t="inlineStr">
        <is>
          <t>Copiar en Flexxus: Tipo=MB-EXT | Movimiento=INGRESOS BRUTOS MENDOZA | Monto=173,70 | Fecha: 20/04/2026</t>
        </is>
      </c>
    </row>
    <row r="1075">
      <c r="A1075" s="8" t="inlineStr">
        <is>
          <t>Administración/Banco</t>
        </is>
      </c>
      <c r="B1075" s="8" t="inlineStr">
        <is>
          <t>Banco egreso no Flexxus</t>
        </is>
      </c>
      <c r="C1075" s="8" t="inlineStr">
        <is>
          <t>Retención Ingresos Brutos Mendoza</t>
        </is>
      </c>
      <c r="D1075" s="9" t="n">
        <v>113.89</v>
      </c>
      <c r="E1075" s="8" t="inlineStr">
        <is>
          <t>ABIERTO_NUEVO</t>
        </is>
      </c>
      <c r="F1075" s="8" t="inlineStr">
        <is>
          <t>Banco / impuesto / gasto</t>
        </is>
      </c>
      <c r="G1075" s="8" t="inlineStr">
        <is>
          <t>Copiar en Flexxus: Tipo=MB-EXT | Movimiento=INGRESOS BRUTOS MENDOZA | Monto=113,89 | Fecha: 20/04/2026</t>
        </is>
      </c>
    </row>
    <row r="1076">
      <c r="A1076" s="8" t="inlineStr">
        <is>
          <t>Administración/Banco</t>
        </is>
      </c>
      <c r="B1076" s="8" t="inlineStr">
        <is>
          <t>Banco egreso no Flexxus</t>
        </is>
      </c>
      <c r="C1076" s="8" t="inlineStr">
        <is>
          <t>Retención Ingresos Brutos Mendoza</t>
        </is>
      </c>
      <c r="D1076" s="9" t="n">
        <v>121.81</v>
      </c>
      <c r="E1076" s="8" t="inlineStr">
        <is>
          <t>ABIERTO_NUEVO</t>
        </is>
      </c>
      <c r="F1076" s="8" t="inlineStr">
        <is>
          <t>Banco / impuesto / gasto</t>
        </is>
      </c>
      <c r="G1076" s="8" t="inlineStr">
        <is>
          <t>Copiar en Flexxus: Tipo=MB-EXT | Movimiento=INGRESOS BRUTOS MENDOZA | Monto=121,81 | Fecha: 20/04/2026</t>
        </is>
      </c>
    </row>
    <row r="1077">
      <c r="A1077" s="8" t="inlineStr">
        <is>
          <t>Administración/Banco</t>
        </is>
      </c>
      <c r="B1077" s="8" t="inlineStr">
        <is>
          <t>Banco egreso no Flexxus</t>
        </is>
      </c>
      <c r="C1077" s="8" t="inlineStr">
        <is>
          <t>Retención Ingresos Brutos Mendoza</t>
        </is>
      </c>
      <c r="D1077" s="9" t="n">
        <v>133.69</v>
      </c>
      <c r="E1077" s="8" t="inlineStr">
        <is>
          <t>ABIERTO_NUEVO</t>
        </is>
      </c>
      <c r="F1077" s="8" t="inlineStr">
        <is>
          <t>Banco / impuesto / gasto</t>
        </is>
      </c>
      <c r="G1077" s="8" t="inlineStr">
        <is>
          <t>Copiar en Flexxus: Tipo=MB-EXT | Movimiento=INGRESOS BRUTOS MENDOZA | Monto=133,69 | Fecha: 20/04/2026</t>
        </is>
      </c>
    </row>
    <row r="1078">
      <c r="A1078" s="8" t="inlineStr">
        <is>
          <t>Administración/Banco</t>
        </is>
      </c>
      <c r="B1078" s="8" t="inlineStr">
        <is>
          <t>Banco egreso no Flexxus</t>
        </is>
      </c>
      <c r="C1078" s="8" t="inlineStr">
        <is>
          <t>Retención Ingresos Brutos Mendoza</t>
        </is>
      </c>
      <c r="D1078" s="9" t="n">
        <v>117.85</v>
      </c>
      <c r="E1078" s="8" t="inlineStr">
        <is>
          <t>ABIERTO_NUEVO</t>
        </is>
      </c>
      <c r="F1078" s="8" t="inlineStr">
        <is>
          <t>Banco / impuesto / gasto</t>
        </is>
      </c>
      <c r="G1078" s="8" t="inlineStr">
        <is>
          <t>Copiar en Flexxus: Tipo=MB-EXT | Movimiento=INGRESOS BRUTOS MENDOZA | Monto=117,85 | Fecha: 20/04/2026</t>
        </is>
      </c>
    </row>
    <row r="1079">
      <c r="A1079" s="8" t="inlineStr">
        <is>
          <t>Administración/Banco</t>
        </is>
      </c>
      <c r="B1079" s="8" t="inlineStr">
        <is>
          <t>Banco egreso no Flexxus</t>
        </is>
      </c>
      <c r="C1079" s="8" t="inlineStr">
        <is>
          <t>Retención Ingresos Brutos Mendoza</t>
        </is>
      </c>
      <c r="D1079" s="9" t="n">
        <v>544.6799999999999</v>
      </c>
      <c r="E1079" s="8" t="inlineStr">
        <is>
          <t>ABIERTO_NUEVO</t>
        </is>
      </c>
      <c r="F1079" s="8" t="inlineStr">
        <is>
          <t>Banco / impuesto / gasto</t>
        </is>
      </c>
      <c r="G1079" s="8" t="inlineStr">
        <is>
          <t>Copiar en Flexxus: Tipo=MB-EXT | Movimiento=INGRESOS BRUTOS MENDOZA | Monto=544,68 | Fecha: 20/04/2026</t>
        </is>
      </c>
    </row>
    <row r="1080">
      <c r="A1080" s="8" t="inlineStr">
        <is>
          <t>Administración/Banco</t>
        </is>
      </c>
      <c r="B1080" s="8" t="inlineStr">
        <is>
          <t>Banco egreso no Flexxus</t>
        </is>
      </c>
      <c r="C1080" s="8" t="inlineStr">
        <is>
          <t>Retención Ingresos Brutos Mendoza</t>
        </is>
      </c>
      <c r="D1080" s="9" t="n">
        <v>84.18000000000001</v>
      </c>
      <c r="E1080" s="8" t="inlineStr">
        <is>
          <t>ABIERTO_NUEVO</t>
        </is>
      </c>
      <c r="F1080" s="8" t="inlineStr">
        <is>
          <t>Banco / impuesto / gasto</t>
        </is>
      </c>
      <c r="G1080" s="8" t="inlineStr">
        <is>
          <t>Copiar en Flexxus: Tipo=MB-EXT | Movimiento=INGRESOS BRUTOS MENDOZA | Monto=84,18 | Fecha: 20/04/2026</t>
        </is>
      </c>
    </row>
    <row r="1081">
      <c r="A1081" s="8" t="inlineStr">
        <is>
          <t>Administración/Banco</t>
        </is>
      </c>
      <c r="B1081" s="8" t="inlineStr">
        <is>
          <t>Banco egreso no Flexxus</t>
        </is>
      </c>
      <c r="C1081" s="8" t="inlineStr">
        <is>
          <t>Retención Ingresos Brutos Mendoza</t>
        </is>
      </c>
      <c r="D1081" s="9" t="n">
        <v>674.41</v>
      </c>
      <c r="E1081" s="8" t="inlineStr">
        <is>
          <t>ABIERTO_NUEVO</t>
        </is>
      </c>
      <c r="F1081" s="8" t="inlineStr">
        <is>
          <t>Banco / impuesto / gasto</t>
        </is>
      </c>
      <c r="G1081" s="8" t="inlineStr">
        <is>
          <t>Copiar en Flexxus: Tipo=MB-EXT | Movimiento=INGRESOS BRUTOS MENDOZA | Monto=674,41 | Fecha: 20/04/2026</t>
        </is>
      </c>
    </row>
    <row r="1082">
      <c r="A1082" s="8" t="inlineStr">
        <is>
          <t>Administración/Banco</t>
        </is>
      </c>
      <c r="B1082" s="8" t="inlineStr">
        <is>
          <t>Banco egreso no Flexxus</t>
        </is>
      </c>
      <c r="C1082" s="8" t="inlineStr">
        <is>
          <t>Retención Ingresos Brutos Mendoza</t>
        </is>
      </c>
      <c r="D1082" s="9" t="n">
        <v>918.03</v>
      </c>
      <c r="E1082" s="8" t="inlineStr">
        <is>
          <t>ABIERTO_NUEVO</t>
        </is>
      </c>
      <c r="F1082" s="8" t="inlineStr">
        <is>
          <t>Banco / impuesto / gasto</t>
        </is>
      </c>
      <c r="G1082" s="8" t="inlineStr">
        <is>
          <t>Copiar en Flexxus: Tipo=MB-EXT | Movimiento=INGRESOS BRUTOS MENDOZA | Monto=918,03 | Fecha: 20/04/2026</t>
        </is>
      </c>
    </row>
    <row r="1083">
      <c r="A1083" s="8" t="inlineStr">
        <is>
          <t>Administración/Banco</t>
        </is>
      </c>
      <c r="B1083" s="8" t="inlineStr">
        <is>
          <t>Banco egreso no Flexxus</t>
        </is>
      </c>
      <c r="C1083" s="8" t="inlineStr">
        <is>
          <t>Retención Ingresos Brutos Mendoza</t>
        </is>
      </c>
      <c r="D1083" s="9" t="n">
        <v>346.61</v>
      </c>
      <c r="E1083" s="8" t="inlineStr">
        <is>
          <t>ABIERTO_NUEVO</t>
        </is>
      </c>
      <c r="F1083" s="8" t="inlineStr">
        <is>
          <t>Banco / impuesto / gasto</t>
        </is>
      </c>
      <c r="G1083" s="8" t="inlineStr">
        <is>
          <t>Copiar en Flexxus: Tipo=MB-EXT | Movimiento=INGRESOS BRUTOS MENDOZA | Monto=346,61 | Fecha: 20/04/2026</t>
        </is>
      </c>
    </row>
    <row r="1084">
      <c r="A1084" s="8" t="inlineStr">
        <is>
          <t>Administración/Banco</t>
        </is>
      </c>
      <c r="B1084" s="8" t="inlineStr">
        <is>
          <t>Banco egreso no Flexxus</t>
        </is>
      </c>
      <c r="C1084" s="8" t="inlineStr">
        <is>
          <t>Retención Ingresos Brutos Mendoza</t>
        </is>
      </c>
      <c r="D1084" s="9" t="n">
        <v>732.84</v>
      </c>
      <c r="E1084" s="8" t="inlineStr">
        <is>
          <t>ABIERTO_NUEVO</t>
        </is>
      </c>
      <c r="F1084" s="8" t="inlineStr">
        <is>
          <t>Banco / impuesto / gasto</t>
        </is>
      </c>
      <c r="G1084" s="8" t="inlineStr">
        <is>
          <t>Copiar en Flexxus: Tipo=MB-EXT | Movimiento=INGRESOS BRUTOS MENDOZA | Monto=732,84 | Fecha: 20/04/2026</t>
        </is>
      </c>
    </row>
    <row r="1085">
      <c r="A1085" s="8" t="inlineStr">
        <is>
          <t>Administración/Banco</t>
        </is>
      </c>
      <c r="B1085" s="8" t="inlineStr">
        <is>
          <t>Banco egreso no Flexxus</t>
        </is>
      </c>
      <c r="C1085" s="8" t="inlineStr">
        <is>
          <t>Retención Ingresos Brutos Mendoza</t>
        </is>
      </c>
      <c r="D1085" s="9" t="n">
        <v>583.3</v>
      </c>
      <c r="E1085" s="8" t="inlineStr">
        <is>
          <t>ABIERTO_NUEVO</t>
        </is>
      </c>
      <c r="F1085" s="8" t="inlineStr">
        <is>
          <t>Banco / impuesto / gasto</t>
        </is>
      </c>
      <c r="G1085" s="8" t="inlineStr">
        <is>
          <t>Copiar en Flexxus: Tipo=MB-EXT | Movimiento=INGRESOS BRUTOS MENDOZA | Monto=583,30 | Fecha: 20/04/2026</t>
        </is>
      </c>
    </row>
    <row r="1086">
      <c r="A1086" s="8" t="inlineStr">
        <is>
          <t>Administración/Banco</t>
        </is>
      </c>
      <c r="B1086" s="8" t="inlineStr">
        <is>
          <t>Banco egreso no Flexxus</t>
        </is>
      </c>
      <c r="C1086" s="8" t="inlineStr">
        <is>
          <t>Retención Ingresos Brutos Mendoza</t>
        </is>
      </c>
      <c r="D1086" s="9" t="n">
        <v>665.99</v>
      </c>
      <c r="E1086" s="8" t="inlineStr">
        <is>
          <t>ABIERTO_NUEVO</t>
        </is>
      </c>
      <c r="F1086" s="8" t="inlineStr">
        <is>
          <t>Banco / impuesto / gasto</t>
        </is>
      </c>
      <c r="G1086" s="8" t="inlineStr">
        <is>
          <t>Copiar en Flexxus: Tipo=MB-EXT | Movimiento=INGRESOS BRUTOS MENDOZA | Monto=665,99 | Fecha: 20/04/2026</t>
        </is>
      </c>
    </row>
    <row r="1087">
      <c r="A1087" s="8" t="inlineStr">
        <is>
          <t>Local 1</t>
        </is>
      </c>
      <c r="B1087" s="8" t="inlineStr">
        <is>
          <t>Flexxus no Banco</t>
        </is>
      </c>
      <c r="C1087" s="8" t="inlineStr">
        <is>
          <t>PAV</t>
        </is>
      </c>
      <c r="D1087" s="9" t="n">
        <v>32086.61</v>
      </c>
      <c r="E1087" s="8" t="inlineStr">
        <is>
          <t>ABIERTO_NUEVO</t>
        </is>
      </c>
      <c r="F1087" s="8" t="inlineStr">
        <is>
          <t>Detectado desde Flexxus/TRX/QR</t>
        </is>
      </c>
      <c r="G1087" s="8" t="inlineStr">
        <is>
          <t>Verificar acreditación bancaria o fecha de cierre</t>
        </is>
      </c>
    </row>
    <row r="1088">
      <c r="A1088" s="8" t="inlineStr">
        <is>
          <t>Local 1</t>
        </is>
      </c>
      <c r="B1088" s="8" t="inlineStr">
        <is>
          <t>Flexxus no Banco</t>
        </is>
      </c>
      <c r="C1088" s="8" t="inlineStr">
        <is>
          <t>PAV</t>
        </is>
      </c>
      <c r="D1088" s="9" t="n">
        <v>49516</v>
      </c>
      <c r="E1088" s="8" t="inlineStr">
        <is>
          <t>ABIERTO_NUEVO</t>
        </is>
      </c>
      <c r="F1088" s="8" t="inlineStr">
        <is>
          <t>Detectado desde Flexxus/TRX/QR</t>
        </is>
      </c>
      <c r="G1088" s="8" t="inlineStr">
        <is>
          <t>Verificar acreditación bancaria o fecha de cierre</t>
        </is>
      </c>
    </row>
    <row r="1089">
      <c r="A1089" s="8" t="inlineStr">
        <is>
          <t>Local 1</t>
        </is>
      </c>
      <c r="B1089" s="8" t="inlineStr">
        <is>
          <t>Flexxus no Banco</t>
        </is>
      </c>
      <c r="C1089" s="8" t="inlineStr">
        <is>
          <t>PAV</t>
        </is>
      </c>
      <c r="D1089" s="9" t="n">
        <v>67044.66</v>
      </c>
      <c r="E1089" s="8" t="inlineStr">
        <is>
          <t>ABIERTO_NUEVO</t>
        </is>
      </c>
      <c r="F1089" s="8" t="inlineStr">
        <is>
          <t>Detectado desde Flexxus/TRX/QR</t>
        </is>
      </c>
      <c r="G1089" s="8" t="inlineStr">
        <is>
          <t>Verificar acreditación bancaria o fecha de cierre</t>
        </is>
      </c>
    </row>
    <row r="1090">
      <c r="A1090" s="8" t="inlineStr">
        <is>
          <t>Local 1</t>
        </is>
      </c>
      <c r="B1090" s="8" t="inlineStr">
        <is>
          <t>Flexxus no Banco</t>
        </is>
      </c>
      <c r="C1090" s="8" t="inlineStr">
        <is>
          <t>PAV</t>
        </is>
      </c>
      <c r="D1090" s="9" t="n">
        <v>23767.68</v>
      </c>
      <c r="E1090" s="8" t="inlineStr">
        <is>
          <t>ABIERTO_NUEVO</t>
        </is>
      </c>
      <c r="F1090" s="8" t="inlineStr">
        <is>
          <t>Detectado desde Flexxus/TRX/QR</t>
        </is>
      </c>
      <c r="G1090" s="8" t="inlineStr">
        <is>
          <t>Verificar acreditación bancaria o fecha de cierre</t>
        </is>
      </c>
    </row>
    <row r="1091">
      <c r="A1091" s="8" t="inlineStr">
        <is>
          <t>Local 2</t>
        </is>
      </c>
      <c r="B1091" s="8" t="inlineStr">
        <is>
          <t>Flexxus no Banco</t>
        </is>
      </c>
      <c r="C1091" s="8" t="inlineStr">
        <is>
          <t>PAV</t>
        </is>
      </c>
      <c r="D1091" s="9" t="n">
        <v>45950.85</v>
      </c>
      <c r="E1091" s="8" t="inlineStr">
        <is>
          <t>ABIERTO_NUEVO</t>
        </is>
      </c>
      <c r="F1091" s="8" t="inlineStr">
        <is>
          <t>Detectado desde Flexxus/TRX/QR</t>
        </is>
      </c>
      <c r="G1091" s="8" t="inlineStr">
        <is>
          <t>Verificar acreditación bancaria o fecha de cierre</t>
        </is>
      </c>
    </row>
    <row r="1092">
      <c r="A1092" s="8" t="inlineStr">
        <is>
          <t>Local 2</t>
        </is>
      </c>
      <c r="B1092" s="8" t="inlineStr">
        <is>
          <t>Flexxus no Banco</t>
        </is>
      </c>
      <c r="C1092" s="8" t="inlineStr">
        <is>
          <t>PAV</t>
        </is>
      </c>
      <c r="D1092" s="9" t="n">
        <v>13171.26</v>
      </c>
      <c r="E1092" s="8" t="inlineStr">
        <is>
          <t>ABIERTO_NUEVO</t>
        </is>
      </c>
      <c r="F1092" s="8" t="inlineStr">
        <is>
          <t>Detectado desde Flexxus/TRX/QR</t>
        </is>
      </c>
      <c r="G1092" s="8" t="inlineStr">
        <is>
          <t>Verificar acreditación bancaria o fecha de cierre</t>
        </is>
      </c>
    </row>
    <row r="1093">
      <c r="A1093" s="8" t="inlineStr">
        <is>
          <t>Local 2</t>
        </is>
      </c>
      <c r="B1093" s="8" t="inlineStr">
        <is>
          <t>Flexxus no Banco</t>
        </is>
      </c>
      <c r="C1093" s="8" t="inlineStr">
        <is>
          <t>PAV</t>
        </is>
      </c>
      <c r="D1093" s="9" t="n">
        <v>65955.31</v>
      </c>
      <c r="E1093" s="8" t="inlineStr">
        <is>
          <t>ABIERTO_NUEVO</t>
        </is>
      </c>
      <c r="F1093" s="8" t="inlineStr">
        <is>
          <t>Detectado desde Flexxus/TRX/QR</t>
        </is>
      </c>
      <c r="G1093" s="8" t="inlineStr">
        <is>
          <t>Verificar acreditación bancaria o fecha de cierre</t>
        </is>
      </c>
    </row>
    <row r="1094">
      <c r="A1094" s="8" t="inlineStr">
        <is>
          <t>Local 2</t>
        </is>
      </c>
      <c r="B1094" s="8" t="inlineStr">
        <is>
          <t>Flexxus no Banco</t>
        </is>
      </c>
      <c r="C1094" s="8" t="inlineStr">
        <is>
          <t>PAV</t>
        </is>
      </c>
      <c r="D1094" s="9" t="n">
        <v>63083.38</v>
      </c>
      <c r="E1094" s="8" t="inlineStr">
        <is>
          <t>ABIERTO_NUEVO</t>
        </is>
      </c>
      <c r="F1094" s="8" t="inlineStr">
        <is>
          <t>Detectado desde Flexxus/TRX/QR</t>
        </is>
      </c>
      <c r="G1094" s="8" t="inlineStr">
        <is>
          <t>Verificar acreditación bancaria o fecha de cierre</t>
        </is>
      </c>
    </row>
    <row r="1095">
      <c r="A1095" s="8" t="inlineStr">
        <is>
          <t>Local 2</t>
        </is>
      </c>
      <c r="B1095" s="8" t="inlineStr">
        <is>
          <t>Flexxus no Banco</t>
        </is>
      </c>
      <c r="C1095" s="8" t="inlineStr">
        <is>
          <t>PAV</t>
        </is>
      </c>
      <c r="D1095" s="9" t="n">
        <v>12577.06</v>
      </c>
      <c r="E1095" s="8" t="inlineStr">
        <is>
          <t>ABIERTO_NUEVO</t>
        </is>
      </c>
      <c r="F1095" s="8" t="inlineStr">
        <is>
          <t>Detectado desde Flexxus/TRX/QR</t>
        </is>
      </c>
      <c r="G1095" s="8" t="inlineStr">
        <is>
          <t>Verificar acreditación bancaria o fecha de cierre</t>
        </is>
      </c>
    </row>
    <row r="1096">
      <c r="A1096" s="8" t="inlineStr">
        <is>
          <t>Local 2</t>
        </is>
      </c>
      <c r="B1096" s="8" t="inlineStr">
        <is>
          <t>Flexxus no Banco</t>
        </is>
      </c>
      <c r="C1096" s="8" t="inlineStr">
        <is>
          <t>PAV</t>
        </is>
      </c>
      <c r="D1096" s="9" t="n">
        <v>106607.95</v>
      </c>
      <c r="E1096" s="8" t="inlineStr">
        <is>
          <t>ABIERTO_NUEVO</t>
        </is>
      </c>
      <c r="F1096" s="8" t="inlineStr">
        <is>
          <t>Detectado desde Flexxus/TRX/QR</t>
        </is>
      </c>
      <c r="G1096" s="8" t="inlineStr">
        <is>
          <t>Verificar acreditación bancaria o fecha de cierre</t>
        </is>
      </c>
    </row>
    <row r="1097">
      <c r="A1097" s="8" t="inlineStr">
        <is>
          <t>Local 2</t>
        </is>
      </c>
      <c r="B1097" s="8" t="inlineStr">
        <is>
          <t>Flexxus no Banco</t>
        </is>
      </c>
      <c r="C1097" s="8" t="inlineStr">
        <is>
          <t>PAV</t>
        </is>
      </c>
      <c r="D1097" s="9" t="n">
        <v>13368.35</v>
      </c>
      <c r="E1097" s="8" t="inlineStr">
        <is>
          <t>ABIERTO_NUEVO</t>
        </is>
      </c>
      <c r="F1097" s="8" t="inlineStr">
        <is>
          <t>Detectado desde Flexxus/TRX/QR</t>
        </is>
      </c>
      <c r="G1097" s="8" t="inlineStr">
        <is>
          <t>Verificar acreditación bancaria o fecha de cierre</t>
        </is>
      </c>
    </row>
    <row r="1098">
      <c r="A1098" s="8" t="inlineStr">
        <is>
          <t>Local 2</t>
        </is>
      </c>
      <c r="B1098" s="8" t="inlineStr">
        <is>
          <t>Flexxus no Banco</t>
        </is>
      </c>
      <c r="C1098" s="8" t="inlineStr">
        <is>
          <t>PAV</t>
        </is>
      </c>
      <c r="D1098" s="9" t="n">
        <v>12379</v>
      </c>
      <c r="E1098" s="8" t="inlineStr">
        <is>
          <t>ABIERTO_NUEVO</t>
        </is>
      </c>
      <c r="F1098" s="8" t="inlineStr">
        <is>
          <t>Detectado desde Flexxus/TRX/QR</t>
        </is>
      </c>
      <c r="G1098" s="8" t="inlineStr">
        <is>
          <t>Verificar acreditación bancaria o fecha de cierre</t>
        </is>
      </c>
    </row>
    <row r="1099">
      <c r="A1099" s="8" t="inlineStr">
        <is>
          <t>Local 2</t>
        </is>
      </c>
      <c r="B1099" s="8" t="inlineStr">
        <is>
          <t>Flexxus no Banco</t>
        </is>
      </c>
      <c r="C1099" s="8" t="inlineStr">
        <is>
          <t>PAV</t>
        </is>
      </c>
      <c r="D1099" s="9" t="n">
        <v>64568.86</v>
      </c>
      <c r="E1099" s="8" t="inlineStr">
        <is>
          <t>ABIERTO_NUEVO</t>
        </is>
      </c>
      <c r="F1099" s="8" t="inlineStr">
        <is>
          <t>Detectado desde Flexxus/TRX/QR</t>
        </is>
      </c>
      <c r="G1099" s="8" t="inlineStr">
        <is>
          <t>Verificar acreditación bancaria o fecha de cierre</t>
        </is>
      </c>
    </row>
    <row r="1100">
      <c r="A1100" s="8" t="inlineStr">
        <is>
          <t>Local 2</t>
        </is>
      </c>
      <c r="B1100" s="8" t="inlineStr">
        <is>
          <t>Flexxus no Banco</t>
        </is>
      </c>
      <c r="C1100" s="8" t="inlineStr">
        <is>
          <t>PAV</t>
        </is>
      </c>
      <c r="D1100" s="9" t="n">
        <v>26837.67</v>
      </c>
      <c r="E1100" s="8" t="inlineStr">
        <is>
          <t>ABIERTO_NUEVO</t>
        </is>
      </c>
      <c r="F1100" s="8" t="inlineStr">
        <is>
          <t>Detectado desde Flexxus/TRX/QR</t>
        </is>
      </c>
      <c r="G1100" s="8" t="inlineStr">
        <is>
          <t>Verificar acreditación bancaria o fecha de cierre</t>
        </is>
      </c>
    </row>
    <row r="1101">
      <c r="A1101" s="8" t="inlineStr">
        <is>
          <t>Local 3</t>
        </is>
      </c>
      <c r="B1101" s="8" t="inlineStr">
        <is>
          <t>Flexxus no Banco</t>
        </is>
      </c>
      <c r="C1101" s="8" t="inlineStr">
        <is>
          <t>PAV</t>
        </is>
      </c>
      <c r="D1101" s="9" t="n">
        <v>50605.35</v>
      </c>
      <c r="E1101" s="8" t="inlineStr">
        <is>
          <t>ABIERTO_NUEVO</t>
        </is>
      </c>
      <c r="F1101" s="8" t="inlineStr">
        <is>
          <t>Detectado desde Flexxus/TRX/QR</t>
        </is>
      </c>
      <c r="G1101" s="8" t="inlineStr">
        <is>
          <t>Verificar acreditación bancaria o fecha de cierre</t>
        </is>
      </c>
    </row>
    <row r="1102">
      <c r="A1102" s="8" t="inlineStr">
        <is>
          <t>Local 3</t>
        </is>
      </c>
      <c r="B1102" s="8" t="inlineStr">
        <is>
          <t>Flexxus no Banco</t>
        </is>
      </c>
      <c r="C1102" s="8" t="inlineStr">
        <is>
          <t>PAV</t>
        </is>
      </c>
      <c r="D1102" s="9" t="n">
        <v>33175.72</v>
      </c>
      <c r="E1102" s="8" t="inlineStr">
        <is>
          <t>ABIERTO_NUEVO</t>
        </is>
      </c>
      <c r="F1102" s="8" t="inlineStr">
        <is>
          <t>Detectado desde Flexxus/TRX/QR</t>
        </is>
      </c>
      <c r="G1102" s="8" t="inlineStr">
        <is>
          <t>Verificar acreditación bancaria o fecha de cierre</t>
        </is>
      </c>
    </row>
    <row r="1103">
      <c r="A1103" s="8" t="inlineStr">
        <is>
          <t>Local 3</t>
        </is>
      </c>
      <c r="B1103" s="8" t="inlineStr">
        <is>
          <t>Flexxus no Banco</t>
        </is>
      </c>
      <c r="C1103" s="8" t="inlineStr">
        <is>
          <t>PAV</t>
        </is>
      </c>
      <c r="D1103" s="9" t="n">
        <v>57834.69</v>
      </c>
      <c r="E1103" s="8" t="inlineStr">
        <is>
          <t>ABIERTO_NUEVO</t>
        </is>
      </c>
      <c r="F1103" s="8" t="inlineStr">
        <is>
          <t>Detectado desde Flexxus/TRX/QR</t>
        </is>
      </c>
      <c r="G1103" s="8" t="inlineStr">
        <is>
          <t>Verificar acreditación bancaria o fecha de cierre</t>
        </is>
      </c>
    </row>
    <row r="1104">
      <c r="A1104" s="8" t="inlineStr">
        <is>
          <t>Local 3</t>
        </is>
      </c>
      <c r="B1104" s="8" t="inlineStr">
        <is>
          <t>Flexxus no Banco</t>
        </is>
      </c>
      <c r="C1104" s="8" t="inlineStr">
        <is>
          <t>PAV</t>
        </is>
      </c>
      <c r="D1104" s="9" t="n">
        <v>31541.69</v>
      </c>
      <c r="E1104" s="8" t="inlineStr">
        <is>
          <t>ABIERTO_NUEVO</t>
        </is>
      </c>
      <c r="F1104" s="8" t="inlineStr">
        <is>
          <t>Detectado desde Flexxus/TRX/QR</t>
        </is>
      </c>
      <c r="G1104" s="8" t="inlineStr">
        <is>
          <t>Verificar acreditación bancaria o fecha de cierre</t>
        </is>
      </c>
    </row>
    <row r="1105">
      <c r="A1105" s="8" t="inlineStr">
        <is>
          <t>Local 3</t>
        </is>
      </c>
      <c r="B1105" s="8" t="inlineStr">
        <is>
          <t>Flexxus no Banco</t>
        </is>
      </c>
      <c r="C1105" s="8" t="inlineStr">
        <is>
          <t>PAV</t>
        </is>
      </c>
      <c r="D1105" s="9" t="n">
        <v>57636.62</v>
      </c>
      <c r="E1105" s="8" t="inlineStr">
        <is>
          <t>ABIERTO_NUEVO</t>
        </is>
      </c>
      <c r="F1105" s="8" t="inlineStr">
        <is>
          <t>Detectado desde Flexxus/TRX/QR</t>
        </is>
      </c>
      <c r="G1105" s="8" t="inlineStr">
        <is>
          <t>Verificar acreditación bancaria o fecha de cierre</t>
        </is>
      </c>
    </row>
    <row r="1106">
      <c r="A1106" s="8" t="inlineStr">
        <is>
          <t>Local 3</t>
        </is>
      </c>
      <c r="B1106" s="8" t="inlineStr">
        <is>
          <t>Flexxus no Banco</t>
        </is>
      </c>
      <c r="C1106" s="8" t="inlineStr">
        <is>
          <t>PAV</t>
        </is>
      </c>
      <c r="D1106" s="9" t="n">
        <v>60013.39</v>
      </c>
      <c r="E1106" s="8" t="inlineStr">
        <is>
          <t>ABIERTO_NUEVO</t>
        </is>
      </c>
      <c r="F1106" s="8" t="inlineStr">
        <is>
          <t>Detectado desde Flexxus/TRX/QR</t>
        </is>
      </c>
      <c r="G1106" s="8" t="inlineStr">
        <is>
          <t>Verificar acreditación bancaria o fecha de cierre</t>
        </is>
      </c>
    </row>
    <row r="1107">
      <c r="A1107" s="8" t="inlineStr">
        <is>
          <t>Local 5</t>
        </is>
      </c>
      <c r="B1107" s="8" t="inlineStr">
        <is>
          <t>Flexxus no Banco</t>
        </is>
      </c>
      <c r="C1107" s="8" t="inlineStr">
        <is>
          <t>PAV</t>
        </is>
      </c>
      <c r="D1107" s="9" t="n">
        <v>38886.97</v>
      </c>
      <c r="E1107" s="8" t="inlineStr">
        <is>
          <t>ABIERTO_NUEVO</t>
        </is>
      </c>
      <c r="F1107" s="8" t="inlineStr">
        <is>
          <t>Detectado desde Flexxus/TRX/QR</t>
        </is>
      </c>
      <c r="G1107" s="8" t="inlineStr">
        <is>
          <t>Verificar acreditación bancaria o fecha de cierre</t>
        </is>
      </c>
    </row>
    <row r="1108">
      <c r="A1108" s="8" t="inlineStr">
        <is>
          <t>Local 5</t>
        </is>
      </c>
      <c r="B1108" s="8" t="inlineStr">
        <is>
          <t>Flexxus no Banco</t>
        </is>
      </c>
      <c r="C1108" s="8" t="inlineStr">
        <is>
          <t>PAV</t>
        </is>
      </c>
      <c r="D1108" s="9" t="n">
        <v>68461.47</v>
      </c>
      <c r="E1108" s="8" t="inlineStr">
        <is>
          <t>ABIERTO_NUEVO</t>
        </is>
      </c>
      <c r="F1108" s="8" t="inlineStr">
        <is>
          <t>Detectado desde Flexxus/TRX/QR</t>
        </is>
      </c>
      <c r="G1108" s="8" t="inlineStr">
        <is>
          <t>Verificar acreditación bancaria o fecha de cierre</t>
        </is>
      </c>
    </row>
    <row r="1109">
      <c r="A1109" s="8" t="inlineStr">
        <is>
          <t>Local 5</t>
        </is>
      </c>
      <c r="B1109" s="8" t="inlineStr">
        <is>
          <t>Flexxus no Banco</t>
        </is>
      </c>
      <c r="C1109" s="8" t="inlineStr">
        <is>
          <t>PAV</t>
        </is>
      </c>
      <c r="D1109" s="9" t="n">
        <v>9804.17</v>
      </c>
      <c r="E1109" s="8" t="inlineStr">
        <is>
          <t>ABIERTO_NUEVO</t>
        </is>
      </c>
      <c r="F1109" s="8" t="inlineStr">
        <is>
          <t>Detectado desde Flexxus/TRX/QR</t>
        </is>
      </c>
      <c r="G1109" s="8" t="inlineStr">
        <is>
          <t>Verificar acreditación bancaria o fecha de cierre</t>
        </is>
      </c>
    </row>
    <row r="1110">
      <c r="A1110" s="8" t="inlineStr">
        <is>
          <t>Local 5</t>
        </is>
      </c>
      <c r="B1110" s="8" t="inlineStr">
        <is>
          <t>Flexxus no Banco</t>
        </is>
      </c>
      <c r="C1110" s="8" t="inlineStr">
        <is>
          <t>PAV</t>
        </is>
      </c>
      <c r="D1110" s="9" t="n">
        <v>9408.040000000001</v>
      </c>
      <c r="E1110" s="8" t="inlineStr">
        <is>
          <t>ABIERTO_NUEVO</t>
        </is>
      </c>
      <c r="F1110" s="8" t="inlineStr">
        <is>
          <t>Detectado desde Flexxus/TRX/QR</t>
        </is>
      </c>
      <c r="G1110" s="8" t="inlineStr">
        <is>
          <t>Verificar acreditación bancaria o fecha de cierre</t>
        </is>
      </c>
    </row>
    <row r="1111">
      <c r="A1111" s="8" t="inlineStr">
        <is>
          <t>Local 5</t>
        </is>
      </c>
      <c r="B1111" s="8" t="inlineStr">
        <is>
          <t>Flexxus no Banco</t>
        </is>
      </c>
      <c r="C1111" s="8" t="inlineStr">
        <is>
          <t>PAV</t>
        </is>
      </c>
      <c r="D1111" s="9" t="n">
        <v>78037.32000000001</v>
      </c>
      <c r="E1111" s="8" t="inlineStr">
        <is>
          <t>ABIERTO_NUEVO</t>
        </is>
      </c>
      <c r="F1111" s="8" t="inlineStr">
        <is>
          <t>Detectado desde Flexxus/TRX/QR</t>
        </is>
      </c>
      <c r="G1111" s="8" t="inlineStr">
        <is>
          <t>Verificar acreditación bancaria o fecha de cierre</t>
        </is>
      </c>
    </row>
    <row r="1112">
      <c r="A1112" s="8" t="inlineStr">
        <is>
          <t>Local 5</t>
        </is>
      </c>
      <c r="B1112" s="8" t="inlineStr">
        <is>
          <t>Flexxus no Banco</t>
        </is>
      </c>
      <c r="C1112" s="8" t="inlineStr">
        <is>
          <t>PAV</t>
        </is>
      </c>
      <c r="D1112" s="9" t="n">
        <v>25550.26</v>
      </c>
      <c r="E1112" s="8" t="inlineStr">
        <is>
          <t>ABIERTO_NUEVO</t>
        </is>
      </c>
      <c r="F1112" s="8" t="inlineStr">
        <is>
          <t>Detectado desde Flexxus/TRX/QR</t>
        </is>
      </c>
      <c r="G1112" s="8" t="inlineStr">
        <is>
          <t>Verificar acreditación bancaria o fecha de cierre</t>
        </is>
      </c>
    </row>
    <row r="1113">
      <c r="A1113" s="8" t="inlineStr">
        <is>
          <t>Local 5</t>
        </is>
      </c>
      <c r="B1113" s="8" t="inlineStr">
        <is>
          <t>Flexxus no Banco</t>
        </is>
      </c>
      <c r="C1113" s="8" t="inlineStr">
        <is>
          <t>PAV</t>
        </is>
      </c>
      <c r="D1113" s="9" t="n">
        <v>4456.44</v>
      </c>
      <c r="E1113" s="8" t="inlineStr">
        <is>
          <t>ABIERTO_NUEVO</t>
        </is>
      </c>
      <c r="F1113" s="8" t="inlineStr">
        <is>
          <t>Detectado desde Flexxus/TRX/QR</t>
        </is>
      </c>
      <c r="G1113" s="8" t="inlineStr">
        <is>
          <t>Verificar acreditación bancaria o fecha de cierre</t>
        </is>
      </c>
    </row>
    <row r="1114">
      <c r="A1114" s="8" t="inlineStr">
        <is>
          <t>Local 5</t>
        </is>
      </c>
      <c r="B1114" s="8" t="inlineStr">
        <is>
          <t>Flexxus no Banco</t>
        </is>
      </c>
      <c r="C1114" s="8" t="inlineStr">
        <is>
          <t>PAV</t>
        </is>
      </c>
      <c r="D1114" s="9" t="n">
        <v>16637.38</v>
      </c>
      <c r="E1114" s="8" t="inlineStr">
        <is>
          <t>ABIERTO_NUEVO</t>
        </is>
      </c>
      <c r="F1114" s="8" t="inlineStr">
        <is>
          <t>Detectado desde Flexxus/TRX/QR</t>
        </is>
      </c>
      <c r="G1114" s="8" t="inlineStr">
        <is>
          <t>Verificar acreditación bancaria o fecha de cierre</t>
        </is>
      </c>
    </row>
    <row r="1115">
      <c r="A1115" s="8" t="inlineStr">
        <is>
          <t>Local 5</t>
        </is>
      </c>
      <c r="B1115" s="8" t="inlineStr">
        <is>
          <t>Flexxus no Banco</t>
        </is>
      </c>
      <c r="C1115" s="8" t="inlineStr">
        <is>
          <t>PAV</t>
        </is>
      </c>
      <c r="D1115" s="9" t="n">
        <v>24559.94</v>
      </c>
      <c r="E1115" s="8" t="inlineStr">
        <is>
          <t>ABIERTO_NUEVO</t>
        </is>
      </c>
      <c r="F1115" s="8" t="inlineStr">
        <is>
          <t>Detectado desde Flexxus/TRX/QR</t>
        </is>
      </c>
      <c r="G1115" s="8" t="inlineStr">
        <is>
          <t>Verificar acreditación bancaria o fecha de cierre</t>
        </is>
      </c>
    </row>
    <row r="1116">
      <c r="A1116" s="8" t="inlineStr">
        <is>
          <t>Local 5</t>
        </is>
      </c>
      <c r="B1116" s="8" t="inlineStr">
        <is>
          <t>Flexxus no Banco</t>
        </is>
      </c>
      <c r="C1116" s="8" t="inlineStr">
        <is>
          <t>PAV</t>
        </is>
      </c>
      <c r="D1116" s="9" t="n">
        <v>54962.76</v>
      </c>
      <c r="E1116" s="8" t="inlineStr">
        <is>
          <t>ABIERTO_NUEVO</t>
        </is>
      </c>
      <c r="F1116" s="8" t="inlineStr">
        <is>
          <t>Detectado desde Flexxus/TRX/QR</t>
        </is>
      </c>
      <c r="G1116" s="8" t="inlineStr">
        <is>
          <t>Verificar acreditación bancaria o fecha de cierre</t>
        </is>
      </c>
    </row>
    <row r="1117">
      <c r="A1117" s="8" t="inlineStr">
        <is>
          <t>Local 5</t>
        </is>
      </c>
      <c r="B1117" s="8" t="inlineStr">
        <is>
          <t>Flexxus no Banco</t>
        </is>
      </c>
      <c r="C1117" s="8" t="inlineStr">
        <is>
          <t>PAV</t>
        </is>
      </c>
      <c r="D1117" s="9" t="n">
        <v>38820.54</v>
      </c>
      <c r="E1117" s="8" t="inlineStr">
        <is>
          <t>ABIERTO_NUEVO</t>
        </is>
      </c>
      <c r="F1117" s="8" t="inlineStr">
        <is>
          <t>Detectado desde Flexxus/TRX/QR</t>
        </is>
      </c>
      <c r="G1117" s="8" t="inlineStr">
        <is>
          <t>Verificar acreditación bancaria o fecha de cierre</t>
        </is>
      </c>
    </row>
    <row r="1118">
      <c r="A1118" s="8" t="inlineStr">
        <is>
          <t>Local 5</t>
        </is>
      </c>
      <c r="B1118" s="8" t="inlineStr">
        <is>
          <t>Flexxus no Banco</t>
        </is>
      </c>
      <c r="C1118" s="8" t="inlineStr">
        <is>
          <t>PAV</t>
        </is>
      </c>
      <c r="D1118" s="9" t="n">
        <v>28026.06</v>
      </c>
      <c r="E1118" s="8" t="inlineStr">
        <is>
          <t>ABIERTO_NUEVO</t>
        </is>
      </c>
      <c r="F1118" s="8" t="inlineStr">
        <is>
          <t>Detectado desde Flexxus/TRX/QR</t>
        </is>
      </c>
      <c r="G1118" s="8" t="inlineStr">
        <is>
          <t>Verificar acreditación bancaria o fecha de cierre</t>
        </is>
      </c>
    </row>
    <row r="1119">
      <c r="A1119" s="8" t="inlineStr">
        <is>
          <t>Local 5</t>
        </is>
      </c>
      <c r="B1119" s="8" t="inlineStr">
        <is>
          <t>Flexxus no Banco</t>
        </is>
      </c>
      <c r="C1119" s="8" t="inlineStr">
        <is>
          <t>PAV</t>
        </is>
      </c>
      <c r="D1119" s="9" t="n">
        <v>75759.48</v>
      </c>
      <c r="E1119" s="8" t="inlineStr">
        <is>
          <t>ABIERTO_NUEVO</t>
        </is>
      </c>
      <c r="F1119" s="8" t="inlineStr">
        <is>
          <t>Detectado desde Flexxus/TRX/QR</t>
        </is>
      </c>
      <c r="G1119" s="8" t="inlineStr">
        <is>
          <t>Verificar acreditación bancaria o fecha de cierre</t>
        </is>
      </c>
    </row>
    <row r="1120">
      <c r="A1120" s="8" t="inlineStr">
        <is>
          <t>Local 5</t>
        </is>
      </c>
      <c r="B1120" s="8" t="inlineStr">
        <is>
          <t>Flexxus no Banco</t>
        </is>
      </c>
      <c r="C1120" s="8" t="inlineStr">
        <is>
          <t>PAV</t>
        </is>
      </c>
      <c r="D1120" s="9" t="n">
        <v>14656.74</v>
      </c>
      <c r="E1120" s="8" t="inlineStr">
        <is>
          <t>ABIERTO_NUEVO</t>
        </is>
      </c>
      <c r="F1120" s="8" t="inlineStr">
        <is>
          <t>Detectado desde Flexxus/TRX/QR</t>
        </is>
      </c>
      <c r="G1120" s="8" t="inlineStr">
        <is>
          <t>Verificar acreditación bancaria o fecha de cierre</t>
        </is>
      </c>
    </row>
    <row r="1121">
      <c r="A1121" s="8" t="inlineStr">
        <is>
          <t>Local 5</t>
        </is>
      </c>
      <c r="B1121" s="8" t="inlineStr">
        <is>
          <t>Flexxus no Banco</t>
        </is>
      </c>
      <c r="C1121" s="8" t="inlineStr">
        <is>
          <t>PAV</t>
        </is>
      </c>
      <c r="D1121" s="9" t="n">
        <v>11685.78</v>
      </c>
      <c r="E1121" s="8" t="inlineStr">
        <is>
          <t>ABIERTO_NUEVO</t>
        </is>
      </c>
      <c r="F1121" s="8" t="inlineStr">
        <is>
          <t>Detectado desde Flexxus/TRX/QR</t>
        </is>
      </c>
      <c r="G1121" s="8" t="inlineStr">
        <is>
          <t>Verificar acreditación bancaria o fecha de cierre</t>
        </is>
      </c>
    </row>
    <row r="1122">
      <c r="A1122" s="8" t="inlineStr">
        <is>
          <t>Local 5</t>
        </is>
      </c>
      <c r="B1122" s="8" t="inlineStr">
        <is>
          <t>Flexxus no Banco</t>
        </is>
      </c>
      <c r="C1122" s="8" t="inlineStr">
        <is>
          <t>PAV</t>
        </is>
      </c>
      <c r="D1122" s="9" t="n">
        <v>24262.84</v>
      </c>
      <c r="E1122" s="8" t="inlineStr">
        <is>
          <t>ABIERTO_NUEVO</t>
        </is>
      </c>
      <c r="F1122" s="8" t="inlineStr">
        <is>
          <t>Detectado desde Flexxus/TRX/QR</t>
        </is>
      </c>
      <c r="G1122" s="8" t="inlineStr">
        <is>
          <t>Verificar acreditación bancaria o fecha de cierre</t>
        </is>
      </c>
    </row>
    <row r="1123">
      <c r="A1123" s="8" t="inlineStr">
        <is>
          <t>Local 5</t>
        </is>
      </c>
      <c r="B1123" s="8" t="inlineStr">
        <is>
          <t>Flexxus no Banco</t>
        </is>
      </c>
      <c r="C1123" s="8" t="inlineStr">
        <is>
          <t>PAV</t>
        </is>
      </c>
      <c r="D1123" s="9" t="n">
        <v>60904.68</v>
      </c>
      <c r="E1123" s="8" t="inlineStr">
        <is>
          <t>ABIERTO_NUEVO</t>
        </is>
      </c>
      <c r="F1123" s="8" t="inlineStr">
        <is>
          <t>Detectado desde Flexxus/TRX/QR</t>
        </is>
      </c>
      <c r="G1123" s="8" t="inlineStr">
        <is>
          <t>Verificar acreditación bancaria o fecha de cierre</t>
        </is>
      </c>
    </row>
    <row r="1124">
      <c r="A1124" s="8" t="inlineStr">
        <is>
          <t>Local 5</t>
        </is>
      </c>
      <c r="B1124" s="8" t="inlineStr">
        <is>
          <t>Flexxus no Banco</t>
        </is>
      </c>
      <c r="C1124" s="8" t="inlineStr">
        <is>
          <t>PAV</t>
        </is>
      </c>
      <c r="D1124" s="9" t="n">
        <v>69520.46000000001</v>
      </c>
      <c r="E1124" s="8" t="inlineStr">
        <is>
          <t>ABIERTO_NUEVO</t>
        </is>
      </c>
      <c r="F1124" s="8" t="inlineStr">
        <is>
          <t>Detectado desde Flexxus/TRX/QR</t>
        </is>
      </c>
      <c r="G1124" s="8" t="inlineStr">
        <is>
          <t>Verificar acreditación bancaria o fecha de cierre</t>
        </is>
      </c>
    </row>
    <row r="1125">
      <c r="A1125" s="8" t="inlineStr">
        <is>
          <t>Local 5</t>
        </is>
      </c>
      <c r="B1125" s="8" t="inlineStr">
        <is>
          <t>Flexxus no Banco</t>
        </is>
      </c>
      <c r="C1125" s="8" t="inlineStr">
        <is>
          <t>PAV</t>
        </is>
      </c>
      <c r="D1125" s="9" t="n">
        <v>24361.87</v>
      </c>
      <c r="E1125" s="8" t="inlineStr">
        <is>
          <t>ABIERTO_NUEVO</t>
        </is>
      </c>
      <c r="F1125" s="8" t="inlineStr">
        <is>
          <t>Detectado desde Flexxus/TRX/QR</t>
        </is>
      </c>
      <c r="G1125" s="8" t="inlineStr">
        <is>
          <t>Verificar acreditación bancaria o fecha de cierre</t>
        </is>
      </c>
    </row>
    <row r="1126">
      <c r="A1126" s="8" t="inlineStr">
        <is>
          <t>Local 6</t>
        </is>
      </c>
      <c r="B1126" s="8" t="inlineStr">
        <is>
          <t>Flexxus no Banco</t>
        </is>
      </c>
      <c r="C1126" s="8" t="inlineStr">
        <is>
          <t>PAV</t>
        </is>
      </c>
      <c r="D1126" s="9" t="n">
        <v>12279.97</v>
      </c>
      <c r="E1126" s="8" t="inlineStr">
        <is>
          <t>ABIERTO_NUEVO</t>
        </is>
      </c>
      <c r="F1126" s="8" t="inlineStr">
        <is>
          <t>Detectado desde Flexxus/TRX/QR</t>
        </is>
      </c>
      <c r="G1126" s="8" t="inlineStr">
        <is>
          <t>Verificar acreditación bancaria o fecha de cierre</t>
        </is>
      </c>
    </row>
    <row r="1127">
      <c r="A1127" s="8" t="inlineStr">
        <is>
          <t>Local 6</t>
        </is>
      </c>
      <c r="B1127" s="8" t="inlineStr">
        <is>
          <t>Flexxus no Banco</t>
        </is>
      </c>
      <c r="C1127" s="8" t="inlineStr">
        <is>
          <t>PAV</t>
        </is>
      </c>
      <c r="D1127" s="9" t="n">
        <v>62687.26</v>
      </c>
      <c r="E1127" s="8" t="inlineStr">
        <is>
          <t>ABIERTO_NUEVO</t>
        </is>
      </c>
      <c r="F1127" s="8" t="inlineStr">
        <is>
          <t>Detectado desde Flexxus/TRX/QR</t>
        </is>
      </c>
      <c r="G1127" s="8" t="inlineStr">
        <is>
          <t>Verificar acreditación bancaria o fecha de cierre</t>
        </is>
      </c>
    </row>
    <row r="1128">
      <c r="A1128" s="8" t="inlineStr">
        <is>
          <t>Local 6</t>
        </is>
      </c>
      <c r="B1128" s="8" t="inlineStr">
        <is>
          <t>Flexxus no Banco</t>
        </is>
      </c>
      <c r="C1128" s="8" t="inlineStr">
        <is>
          <t>PAV</t>
        </is>
      </c>
      <c r="D1128" s="9" t="n">
        <v>10497.39</v>
      </c>
      <c r="E1128" s="8" t="inlineStr">
        <is>
          <t>ABIERTO_NUEVO</t>
        </is>
      </c>
      <c r="F1128" s="8" t="inlineStr">
        <is>
          <t>Detectado desde Flexxus/TRX/QR</t>
        </is>
      </c>
      <c r="G1128" s="8" t="inlineStr">
        <is>
          <t>Verificar acreditación bancaria o fecha de cierre</t>
        </is>
      </c>
    </row>
    <row r="1129">
      <c r="A1129" s="8" t="inlineStr">
        <is>
          <t>Local 6</t>
        </is>
      </c>
      <c r="B1129" s="8" t="inlineStr">
        <is>
          <t>Flexxus no Banco</t>
        </is>
      </c>
      <c r="C1129" s="8" t="inlineStr">
        <is>
          <t>PAV</t>
        </is>
      </c>
      <c r="D1129" s="9" t="n">
        <v>42979.89</v>
      </c>
      <c r="E1129" s="8" t="inlineStr">
        <is>
          <t>ABIERTO_NUEVO</t>
        </is>
      </c>
      <c r="F1129" s="8" t="inlineStr">
        <is>
          <t>Detectado desde Flexxus/TRX/QR</t>
        </is>
      </c>
      <c r="G1129" s="8" t="inlineStr">
        <is>
          <t>Verificar acreditación bancaria o fecha de cierre</t>
        </is>
      </c>
    </row>
    <row r="1130">
      <c r="A1130" s="8" t="inlineStr">
        <is>
          <t>Local 6</t>
        </is>
      </c>
      <c r="B1130" s="8" t="inlineStr">
        <is>
          <t>Flexxus no Banco</t>
        </is>
      </c>
      <c r="C1130" s="8" t="inlineStr">
        <is>
          <t>PAV</t>
        </is>
      </c>
      <c r="D1130" s="9" t="n">
        <v>43376.02</v>
      </c>
      <c r="E1130" s="8" t="inlineStr">
        <is>
          <t>ABIERTO_NUEVO</t>
        </is>
      </c>
      <c r="F1130" s="8" t="inlineStr">
        <is>
          <t>Detectado desde Flexxus/TRX/QR</t>
        </is>
      </c>
      <c r="G1130" s="8" t="inlineStr">
        <is>
          <t>Verificar acreditación bancaria o fecha de cierre</t>
        </is>
      </c>
    </row>
    <row r="1131">
      <c r="A1131" s="8" t="inlineStr">
        <is>
          <t>Local 6</t>
        </is>
      </c>
      <c r="B1131" s="8" t="inlineStr">
        <is>
          <t>Flexxus no Banco</t>
        </is>
      </c>
      <c r="C1131" s="8" t="inlineStr">
        <is>
          <t>PAV</t>
        </is>
      </c>
      <c r="D1131" s="9" t="n">
        <v>34463.14</v>
      </c>
      <c r="E1131" s="8" t="inlineStr">
        <is>
          <t>ABIERTO_NUEVO</t>
        </is>
      </c>
      <c r="F1131" s="8" t="inlineStr">
        <is>
          <t>Detectado desde Flexxus/TRX/QR</t>
        </is>
      </c>
      <c r="G1131" s="8" t="inlineStr">
        <is>
          <t>Verificar acreditación bancaria o fecha de cierre</t>
        </is>
      </c>
    </row>
    <row r="1132">
      <c r="A1132" s="8" t="inlineStr">
        <is>
          <t>Local 6</t>
        </is>
      </c>
      <c r="B1132" s="8" t="inlineStr">
        <is>
          <t>Flexxus no Banco</t>
        </is>
      </c>
      <c r="C1132" s="8" t="inlineStr">
        <is>
          <t>PAV</t>
        </is>
      </c>
      <c r="D1132" s="9" t="n">
        <v>7625.58</v>
      </c>
      <c r="E1132" s="8" t="inlineStr">
        <is>
          <t>ABIERTO_NUEVO</t>
        </is>
      </c>
      <c r="F1132" s="8" t="inlineStr">
        <is>
          <t>Detectado desde Flexxus/TRX/QR</t>
        </is>
      </c>
      <c r="G1132" s="8" t="inlineStr">
        <is>
          <t>Verificar acreditación bancaria o fecha de cierre</t>
        </is>
      </c>
    </row>
    <row r="1133">
      <c r="A1133" s="8" t="inlineStr">
        <is>
          <t>Local 6</t>
        </is>
      </c>
      <c r="B1133" s="8" t="inlineStr">
        <is>
          <t>Flexxus no Banco</t>
        </is>
      </c>
      <c r="C1133" s="8" t="inlineStr">
        <is>
          <t>PAV</t>
        </is>
      </c>
      <c r="D1133" s="9" t="n">
        <v>8912.879999999999</v>
      </c>
      <c r="E1133" s="8" t="inlineStr">
        <is>
          <t>ABIERTO_NUEVO</t>
        </is>
      </c>
      <c r="F1133" s="8" t="inlineStr">
        <is>
          <t>Detectado desde Flexxus/TRX/QR</t>
        </is>
      </c>
      <c r="G1133" s="8" t="inlineStr">
        <is>
          <t>Verificar acreditación bancaria o fecha de cierre</t>
        </is>
      </c>
    </row>
    <row r="1134">
      <c r="A1134" s="8" t="inlineStr">
        <is>
          <t>Local 6</t>
        </is>
      </c>
      <c r="B1134" s="8" t="inlineStr">
        <is>
          <t>Flexxus no Banco</t>
        </is>
      </c>
      <c r="C1134" s="8" t="inlineStr">
        <is>
          <t>PAV</t>
        </is>
      </c>
      <c r="D1134" s="9" t="n">
        <v>79720.75999999999</v>
      </c>
      <c r="E1134" s="8" t="inlineStr">
        <is>
          <t>ABIERTO_NUEVO</t>
        </is>
      </c>
      <c r="F1134" s="8" t="inlineStr">
        <is>
          <t>Detectado desde Flexxus/TRX/QR</t>
        </is>
      </c>
      <c r="G1134" s="8" t="inlineStr">
        <is>
          <t>Verificar acreditación bancaria o fecha de cierre</t>
        </is>
      </c>
    </row>
    <row r="1135">
      <c r="A1135" s="8" t="inlineStr">
        <is>
          <t>Local 6</t>
        </is>
      </c>
      <c r="B1135" s="8" t="inlineStr">
        <is>
          <t>Flexxus no Banco</t>
        </is>
      </c>
      <c r="C1135" s="8" t="inlineStr">
        <is>
          <t>PAV</t>
        </is>
      </c>
      <c r="D1135" s="9" t="n">
        <v>38721.51</v>
      </c>
      <c r="E1135" s="8" t="inlineStr">
        <is>
          <t>ABIERTO_NUEVO</t>
        </is>
      </c>
      <c r="F1135" s="8" t="inlineStr">
        <is>
          <t>Detectado desde Flexxus/TRX/QR</t>
        </is>
      </c>
      <c r="G1135" s="8" t="inlineStr">
        <is>
          <t>Verificar acreditación bancaria o fecha de cierre</t>
        </is>
      </c>
    </row>
    <row r="1136">
      <c r="A1136" s="8" t="inlineStr">
        <is>
          <t>Local 7</t>
        </is>
      </c>
      <c r="B1136" s="8" t="inlineStr">
        <is>
          <t>Flexxus no Banco</t>
        </is>
      </c>
      <c r="C1136" s="8" t="inlineStr">
        <is>
          <t>PAV</t>
        </is>
      </c>
      <c r="D1136" s="9" t="n">
        <v>149439.29</v>
      </c>
      <c r="E1136" s="8" t="inlineStr">
        <is>
          <t>ABIERTO_NUEVO</t>
        </is>
      </c>
      <c r="F1136" s="8" t="inlineStr">
        <is>
          <t>Detectado desde Flexxus/TRX/QR</t>
        </is>
      </c>
      <c r="G1136" s="8" t="inlineStr">
        <is>
          <t>Verificar acreditación bancaria o fecha de cierre</t>
        </is>
      </c>
    </row>
    <row r="1137">
      <c r="A1137" s="8" t="inlineStr">
        <is>
          <t>Local 7</t>
        </is>
      </c>
      <c r="B1137" s="8" t="inlineStr">
        <is>
          <t>Flexxus no Banco</t>
        </is>
      </c>
      <c r="C1137" s="8" t="inlineStr">
        <is>
          <t>PAV</t>
        </is>
      </c>
      <c r="D1137" s="9" t="n">
        <v>33670.88</v>
      </c>
      <c r="E1137" s="8" t="inlineStr">
        <is>
          <t>ABIERTO_NUEVO</t>
        </is>
      </c>
      <c r="F1137" s="8" t="inlineStr">
        <is>
          <t>Detectado desde Flexxus/TRX/QR</t>
        </is>
      </c>
      <c r="G1137" s="8" t="inlineStr">
        <is>
          <t>Verificar acreditación bancaria o fecha de cierre</t>
        </is>
      </c>
    </row>
    <row r="1138">
      <c r="A1138" s="8" t="inlineStr">
        <is>
          <t>Local 7</t>
        </is>
      </c>
      <c r="B1138" s="8" t="inlineStr">
        <is>
          <t>Flexxus no Banco</t>
        </is>
      </c>
      <c r="C1138" s="8" t="inlineStr">
        <is>
          <t>PAV</t>
        </is>
      </c>
      <c r="D1138" s="9" t="n">
        <v>52486.96</v>
      </c>
      <c r="E1138" s="8" t="inlineStr">
        <is>
          <t>ABIERTO_NUEVO</t>
        </is>
      </c>
      <c r="F1138" s="8" t="inlineStr">
        <is>
          <t>Detectado desde Flexxus/TRX/QR</t>
        </is>
      </c>
      <c r="G1138" s="8" t="inlineStr">
        <is>
          <t>Verificar acreditación bancaria o fecha de cierre</t>
        </is>
      </c>
    </row>
    <row r="1139">
      <c r="A1139" s="8" t="inlineStr">
        <is>
          <t>Local 7</t>
        </is>
      </c>
      <c r="B1139" s="8" t="inlineStr">
        <is>
          <t>Flexxus no Banco</t>
        </is>
      </c>
      <c r="C1139" s="8" t="inlineStr">
        <is>
          <t>PAV</t>
        </is>
      </c>
      <c r="D1139" s="9" t="n">
        <v>72887.55</v>
      </c>
      <c r="E1139" s="8" t="inlineStr">
        <is>
          <t>ABIERTO_NUEVO</t>
        </is>
      </c>
      <c r="F1139" s="8" t="inlineStr">
        <is>
          <t>Detectado desde Flexxus/TRX/QR</t>
        </is>
      </c>
      <c r="G1139" s="8" t="inlineStr">
        <is>
          <t>Verificar acreditación bancaria o fecha de cierre</t>
        </is>
      </c>
    </row>
    <row r="1140">
      <c r="A1140" s="8" t="inlineStr">
        <is>
          <t>Local 7</t>
        </is>
      </c>
      <c r="B1140" s="8" t="inlineStr">
        <is>
          <t>Flexxus no Banco</t>
        </is>
      </c>
      <c r="C1140" s="8" t="inlineStr">
        <is>
          <t>PAV</t>
        </is>
      </c>
      <c r="D1140" s="9" t="n">
        <v>84375.25999999999</v>
      </c>
      <c r="E1140" s="8" t="inlineStr">
        <is>
          <t>ABIERTO_NUEVO</t>
        </is>
      </c>
      <c r="F1140" s="8" t="inlineStr">
        <is>
          <t>Detectado desde Flexxus/TRX/QR</t>
        </is>
      </c>
      <c r="G1140" s="8" t="inlineStr">
        <is>
          <t>Verificar acreditación bancaria o fecha de cierre</t>
        </is>
      </c>
    </row>
    <row r="1141">
      <c r="A1141" s="8" t="inlineStr">
        <is>
          <t>Local 7</t>
        </is>
      </c>
      <c r="B1141" s="8" t="inlineStr">
        <is>
          <t>Flexxus no Banco</t>
        </is>
      </c>
      <c r="C1141" s="8" t="inlineStr">
        <is>
          <t>PAV</t>
        </is>
      </c>
      <c r="D1141" s="9" t="n">
        <v>51298.58</v>
      </c>
      <c r="E1141" s="8" t="inlineStr">
        <is>
          <t>ABIERTO_NUEVO</t>
        </is>
      </c>
      <c r="F1141" s="8" t="inlineStr">
        <is>
          <t>Detectado desde Flexxus/TRX/QR</t>
        </is>
      </c>
      <c r="G1141" s="8" t="inlineStr">
        <is>
          <t>Verificar acreditación bancaria o fecha de cierre</t>
        </is>
      </c>
    </row>
    <row r="1142">
      <c r="A1142" s="8" t="inlineStr">
        <is>
          <t>Local 7</t>
        </is>
      </c>
      <c r="B1142" s="8" t="inlineStr">
        <is>
          <t>Flexxus no Banco</t>
        </is>
      </c>
      <c r="C1142" s="8" t="inlineStr">
        <is>
          <t>PAV</t>
        </is>
      </c>
      <c r="D1142" s="9" t="n">
        <v>69916.59</v>
      </c>
      <c r="E1142" s="8" t="inlineStr">
        <is>
          <t>ABIERTO_NUEVO</t>
        </is>
      </c>
      <c r="F1142" s="8" t="inlineStr">
        <is>
          <t>Detectado desde Flexxus/TRX/QR</t>
        </is>
      </c>
      <c r="G1142" s="8" t="inlineStr">
        <is>
          <t>Verificar acreditación bancaria o fecha de cierre</t>
        </is>
      </c>
    </row>
    <row r="1143">
      <c r="A1143" s="8" t="inlineStr">
        <is>
          <t>Local 8</t>
        </is>
      </c>
      <c r="B1143" s="8" t="inlineStr">
        <is>
          <t>Flexxus no Banco</t>
        </is>
      </c>
      <c r="C1143" s="8" t="inlineStr">
        <is>
          <t>PAV</t>
        </is>
      </c>
      <c r="D1143" s="9" t="n">
        <v>113688.74</v>
      </c>
      <c r="E1143" s="8" t="inlineStr">
        <is>
          <t>ABIERTO_NUEVO</t>
        </is>
      </c>
      <c r="F1143" s="8" t="inlineStr">
        <is>
          <t>Detectado desde Flexxus/TRX/QR</t>
        </is>
      </c>
      <c r="G1143" s="8" t="inlineStr">
        <is>
          <t>Verificar acreditación bancaria o fecha de cierre</t>
        </is>
      </c>
    </row>
    <row r="1144">
      <c r="A1144" s="8" t="inlineStr">
        <is>
          <t>Local 8</t>
        </is>
      </c>
      <c r="B1144" s="8" t="inlineStr">
        <is>
          <t>Flexxus no Banco</t>
        </is>
      </c>
      <c r="C1144" s="8" t="inlineStr">
        <is>
          <t>PAV</t>
        </is>
      </c>
      <c r="D1144" s="9" t="n">
        <v>109330.83</v>
      </c>
      <c r="E1144" s="8" t="inlineStr">
        <is>
          <t>ABIERTO_NUEVO</t>
        </is>
      </c>
      <c r="F1144" s="8" t="inlineStr">
        <is>
          <t>Detectado desde Flexxus/TRX/QR</t>
        </is>
      </c>
      <c r="G1144" s="8" t="inlineStr">
        <is>
          <t>Verificar acreditación bancaria o fecha de cierre</t>
        </is>
      </c>
    </row>
    <row r="1145">
      <c r="A1145" s="8" t="inlineStr">
        <is>
          <t>Local 8</t>
        </is>
      </c>
      <c r="B1145" s="8" t="inlineStr">
        <is>
          <t>Flexxus no Banco</t>
        </is>
      </c>
      <c r="C1145" s="8" t="inlineStr">
        <is>
          <t>PAV</t>
        </is>
      </c>
      <c r="D1145" s="9" t="n">
        <v>75561.42</v>
      </c>
      <c r="E1145" s="8" t="inlineStr">
        <is>
          <t>ABIERTO_NUEVO</t>
        </is>
      </c>
      <c r="F1145" s="8" t="inlineStr">
        <is>
          <t>Detectado desde Flexxus/TRX/QR</t>
        </is>
      </c>
      <c r="G1145" s="8" t="inlineStr">
        <is>
          <t>Verificar acreditación bancaria o fecha de cierre</t>
        </is>
      </c>
    </row>
    <row r="1146">
      <c r="A1146" s="8" t="inlineStr">
        <is>
          <t>Local 8</t>
        </is>
      </c>
      <c r="B1146" s="8" t="inlineStr">
        <is>
          <t>Flexxus no Banco</t>
        </is>
      </c>
      <c r="C1146" s="8" t="inlineStr">
        <is>
          <t>PAV</t>
        </is>
      </c>
      <c r="D1146" s="9" t="n">
        <v>121413.23</v>
      </c>
      <c r="E1146" s="8" t="inlineStr">
        <is>
          <t>ABIERTO_NUEVO</t>
        </is>
      </c>
      <c r="F1146" s="8" t="inlineStr">
        <is>
          <t>Detectado desde Flexxus/TRX/QR</t>
        </is>
      </c>
      <c r="G1146" s="8" t="inlineStr">
        <is>
          <t>Verificar acreditación bancaria o fecha de cierre</t>
        </is>
      </c>
    </row>
    <row r="1147">
      <c r="A1147" s="8" t="inlineStr">
        <is>
          <t>Local 8</t>
        </is>
      </c>
      <c r="B1147" s="8" t="inlineStr">
        <is>
          <t>Flexxus no Banco</t>
        </is>
      </c>
      <c r="C1147" s="8" t="inlineStr">
        <is>
          <t>PAV</t>
        </is>
      </c>
      <c r="D1147" s="9" t="n">
        <v>94080.39999999999</v>
      </c>
      <c r="E1147" s="8" t="inlineStr">
        <is>
          <t>ABIERTO_NUEVO</t>
        </is>
      </c>
      <c r="F1147" s="8" t="inlineStr">
        <is>
          <t>Detectado desde Flexxus/TRX/QR</t>
        </is>
      </c>
      <c r="G1147" s="8" t="inlineStr">
        <is>
          <t>Verificar acreditación bancaria o fecha de cierre</t>
        </is>
      </c>
    </row>
    <row r="1148">
      <c r="A1148" s="8" t="inlineStr">
        <is>
          <t>No identificado</t>
        </is>
      </c>
      <c r="B1148" s="8" t="inlineStr">
        <is>
          <t>Banco ingreso no Flexxus</t>
        </is>
      </c>
      <c r="C1148" s="8" t="inlineStr">
        <is>
          <t>Ajuste menor redondeo/extracto</t>
        </is>
      </c>
      <c r="D1148" s="9" t="n">
        <v>3.62</v>
      </c>
      <c r="E1148" s="8" t="inlineStr">
        <is>
          <t>CONTROL_CONTINUIDAD_MENOR</t>
        </is>
      </c>
      <c r="F1148" s="8" t="inlineStr">
        <is>
          <t>Origen/local no identificado</t>
        </is>
      </c>
      <c r="G1148" s="8" t="inlineStr">
        <is>
          <t>Identificar local/origen</t>
        </is>
      </c>
    </row>
    <row r="1149">
      <c r="A1149" s="8" t="inlineStr">
        <is>
          <t>No identificado</t>
        </is>
      </c>
      <c r="B1149" s="8" t="inlineStr">
        <is>
          <t>Banco ingreso no Flexxus</t>
        </is>
      </c>
      <c r="C1149" s="8" t="inlineStr">
        <is>
          <t>QR / CR DEBIN SPOT</t>
        </is>
      </c>
      <c r="D1149" s="9" t="n">
        <v>32086.37</v>
      </c>
      <c r="E1149" s="8" t="inlineStr">
        <is>
          <t>ABIERTO_NUEVO</t>
        </is>
      </c>
      <c r="F1149" s="8" t="inlineStr">
        <is>
          <t>QR bancario sin match QR PCT/local</t>
        </is>
      </c>
      <c r="G1149" s="8" t="inlineStr">
        <is>
          <t>Identificar local/origen</t>
        </is>
      </c>
    </row>
    <row r="1150">
      <c r="A1150" s="8" t="inlineStr">
        <is>
          <t>No identificado</t>
        </is>
      </c>
      <c r="B1150" s="8" t="inlineStr">
        <is>
          <t>Banco ingreso no Flexxus</t>
        </is>
      </c>
      <c r="C1150" s="8" t="inlineStr">
        <is>
          <t>Transferencia entrante</t>
        </is>
      </c>
      <c r="D1150" s="9" t="n">
        <v>33180.87</v>
      </c>
      <c r="E1150" s="8" t="inlineStr">
        <is>
          <t>ABIERTO_NUEVO</t>
        </is>
      </c>
      <c r="F1150" s="8" t="inlineStr">
        <is>
          <t>Transferencia entrante sin local detectado</t>
        </is>
      </c>
      <c r="G1150" s="8" t="inlineStr">
        <is>
          <t>Identificar local/origen</t>
        </is>
      </c>
    </row>
    <row r="1151">
      <c r="A1151" s="8" t="inlineStr">
        <is>
          <t>No identificado</t>
        </is>
      </c>
      <c r="B1151" s="8" t="inlineStr">
        <is>
          <t>Flexxus no Banco</t>
        </is>
      </c>
      <c r="C1151" s="8" t="inlineStr">
        <is>
          <t>PAV</t>
        </is>
      </c>
      <c r="D1151" s="9" t="n">
        <v>2835183.6</v>
      </c>
      <c r="E1151" s="8" t="inlineStr">
        <is>
          <t>ABIERTO_NUEVO</t>
        </is>
      </c>
      <c r="F1151" s="8" t="inlineStr">
        <is>
          <t>Flexxus pendiente sin local detectado</t>
        </is>
      </c>
      <c r="G1151" s="8" t="inlineStr">
        <is>
          <t>Verificar acreditación bancaria o fecha de cierre</t>
        </is>
      </c>
    </row>
  </sheetData>
  <autoFilter ref="A1:I11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1" customWidth="1" min="3" max="3"/>
    <col width="53" customWidth="1" min="4" max="4"/>
    <col width="13" customWidth="1" min="5" max="5"/>
    <col width="46" customWidth="1" min="6" max="6"/>
    <col width="68" customWidth="1" min="7" max="7"/>
  </cols>
  <sheetData>
    <row r="1">
      <c r="A1" s="6" t="inlineStr">
        <is>
          <t>Control de cobertura total: ninguna línea puede quedar en zona muerta</t>
        </is>
      </c>
    </row>
    <row r="2">
      <c r="A2" s="7" t="inlineStr">
        <is>
          <t>Fuente</t>
        </is>
      </c>
      <c r="B2" s="7" t="inlineStr">
        <is>
          <t>Control</t>
        </is>
      </c>
      <c r="C2" s="7" t="inlineStr">
        <is>
          <t>Total fuente</t>
        </is>
      </c>
      <c r="D2" s="7" t="inlineStr">
        <is>
          <t>Total clasificado</t>
        </is>
      </c>
      <c r="E2" s="7" t="inlineStr">
        <is>
          <t>Diferencia</t>
        </is>
      </c>
      <c r="F2" s="7" t="inlineStr">
        <is>
          <t>Estado</t>
        </is>
      </c>
      <c r="G2" s="7" t="inlineStr">
        <is>
          <t>Observación</t>
        </is>
      </c>
    </row>
    <row r="3">
      <c r="A3" s="8" t="inlineStr">
        <is>
          <t>Banco</t>
        </is>
      </c>
      <c r="B3" s="8" t="inlineStr">
        <is>
          <t>Ingresos banco: real = conciliado + regularizado + Banco ingresos no Flexxus</t>
        </is>
      </c>
      <c r="C3" s="9" t="n">
        <v>40742406.88</v>
      </c>
      <c r="D3" s="9" t="n">
        <v>40742410.5</v>
      </c>
      <c r="E3" s="9" t="n">
        <v>-3.62</v>
      </c>
      <c r="F3" s="10" t="inlineStr">
        <is>
          <t>ERROR</t>
        </is>
      </c>
      <c r="G3" s="8" t="inlineStr">
        <is>
          <t>Hay movimientos clasificados de forma incompleta; revisar detalle</t>
        </is>
      </c>
    </row>
    <row r="4">
      <c r="A4" s="8" t="inlineStr">
        <is>
          <t>Banco</t>
        </is>
      </c>
      <c r="B4" s="8" t="inlineStr">
        <is>
          <t>Egresos banco: real = conciliado + regularizado + Banco egresos no Flexxus</t>
        </is>
      </c>
      <c r="C4" s="9" t="n">
        <v>53097923.31</v>
      </c>
      <c r="D4" s="9" t="n">
        <v>53097923.31</v>
      </c>
      <c r="E4" s="9" t="n">
        <v>0</v>
      </c>
      <c r="F4" s="12" t="inlineStr">
        <is>
          <t>OK</t>
        </is>
      </c>
      <c r="G4" s="8" t="inlineStr">
        <is>
          <t>Sin movimientos en zona muerta</t>
        </is>
      </c>
    </row>
    <row r="5">
      <c r="A5" s="8" t="inlineStr">
        <is>
          <t>Flexxus</t>
        </is>
      </c>
      <c r="B5" s="8" t="inlineStr">
        <is>
          <t>PAV Flexxus: real = conciliado + regularizado + Flexxus no Banco</t>
        </is>
      </c>
      <c r="C5" s="9" t="n">
        <v>46448222.67</v>
      </c>
      <c r="D5" s="9" t="n">
        <v>46448222.67</v>
      </c>
      <c r="E5" s="9" t="n">
        <v>0</v>
      </c>
      <c r="F5" s="12" t="inlineStr">
        <is>
          <t>OK</t>
        </is>
      </c>
      <c r="G5" s="8" t="inlineStr">
        <is>
          <t>Sin movimientos en zona muerta</t>
        </is>
      </c>
    </row>
    <row r="6">
      <c r="A6" s="8" t="inlineStr">
        <is>
          <t>Flexxus</t>
        </is>
      </c>
      <c r="B6" s="8" t="inlineStr">
        <is>
          <t>Egresos Flexxus: real = conciliado + regularizado + Flexxus egresos no Banco</t>
        </is>
      </c>
      <c r="C6" s="9" t="n">
        <v>50600000</v>
      </c>
      <c r="D6" s="9" t="n">
        <v>50600000</v>
      </c>
      <c r="E6" s="9" t="n">
        <v>0</v>
      </c>
      <c r="F6" s="12" t="inlineStr">
        <is>
          <t>OK</t>
        </is>
      </c>
      <c r="G6" s="8" t="inlineStr">
        <is>
          <t>Sin movimientos en zona muerta</t>
        </is>
      </c>
    </row>
    <row r="7"/>
    <row r="8"/>
    <row r="9">
      <c r="A9" s="6" t="inlineStr">
        <is>
          <t>Movimientos bancarios pendientes visibles</t>
        </is>
      </c>
    </row>
    <row r="10">
      <c r="A10" s="7" t="inlineStr">
        <is>
          <t>Fuente</t>
        </is>
      </c>
      <c r="B10" s="7" t="inlineStr">
        <is>
          <t>Fecha</t>
        </is>
      </c>
      <c r="C10" s="7" t="inlineStr">
        <is>
          <t>Comprobante/Número</t>
        </is>
      </c>
      <c r="D10" s="7" t="inlineStr">
        <is>
          <t>Concepto</t>
        </is>
      </c>
      <c r="E10" s="7" t="inlineStr">
        <is>
          <t>Importe</t>
        </is>
      </c>
      <c r="F10" s="7" t="inlineStr">
        <is>
          <t>Estado interno</t>
        </is>
      </c>
      <c r="G10" s="7" t="inlineStr">
        <is>
          <t>Diagnóstico</t>
        </is>
      </c>
    </row>
    <row r="11">
      <c r="A11" s="8" t="inlineStr">
        <is>
          <t>Banco</t>
        </is>
      </c>
      <c r="B11" s="8" t="inlineStr">
        <is>
          <t>24/04/2026</t>
        </is>
      </c>
      <c r="C11" s="8" t="inlineStr">
        <is>
          <t>108605</t>
        </is>
      </c>
      <c r="D11" s="8" t="inlineStr">
        <is>
          <t>GRAVAMEN LEY 25413 S/DEB</t>
        </is>
      </c>
      <c r="E11" s="9" t="n">
        <v>4.3</v>
      </c>
      <c r="F11" s="8" t="inlineStr">
        <is>
          <t>Pendiente visible en hojas Banco no Flexxus</t>
        </is>
      </c>
      <c r="G11" s="8" t="inlineStr"/>
    </row>
    <row r="12">
      <c r="A12" s="8" t="inlineStr">
        <is>
          <t>Banco</t>
        </is>
      </c>
      <c r="B12" s="8" t="inlineStr">
        <is>
          <t>24/04/2026</t>
        </is>
      </c>
      <c r="C12" s="8" t="inlineStr">
        <is>
          <t>108604</t>
        </is>
      </c>
      <c r="D12" s="8" t="inlineStr">
        <is>
          <t>GRAVAMEN LEY 25413 S/DEB</t>
        </is>
      </c>
      <c r="E12" s="9" t="n">
        <v>0.63</v>
      </c>
      <c r="F12" s="8" t="inlineStr">
        <is>
          <t>Pendiente visible en hojas Banco no Flexxus</t>
        </is>
      </c>
      <c r="G12" s="8" t="inlineStr"/>
    </row>
    <row r="13">
      <c r="A13" s="8" t="inlineStr">
        <is>
          <t>Banco</t>
        </is>
      </c>
      <c r="B13" s="8" t="inlineStr">
        <is>
          <t>24/04/2026</t>
        </is>
      </c>
      <c r="C13" s="8" t="inlineStr">
        <is>
          <t>108603</t>
        </is>
      </c>
      <c r="D13" s="8" t="inlineStr">
        <is>
          <t>GRAVAMEN LEY 25413 S/DEB</t>
        </is>
      </c>
      <c r="E13" s="9" t="n">
        <v>4.05</v>
      </c>
      <c r="F13" s="8" t="inlineStr">
        <is>
          <t>Pendiente visible en hojas Banco no Flexxus</t>
        </is>
      </c>
      <c r="G13" s="8" t="inlineStr"/>
    </row>
    <row r="14">
      <c r="A14" s="8" t="inlineStr">
        <is>
          <t>Banco</t>
        </is>
      </c>
      <c r="B14" s="8" t="inlineStr">
        <is>
          <t>24/04/2026</t>
        </is>
      </c>
      <c r="C14" s="8" t="inlineStr">
        <is>
          <t>108602</t>
        </is>
      </c>
      <c r="D14" s="8" t="inlineStr">
        <is>
          <t>GRAVAMEN LEY 25413 S/DEB</t>
        </is>
      </c>
      <c r="E14" s="9" t="n">
        <v>0.46</v>
      </c>
      <c r="F14" s="8" t="inlineStr">
        <is>
          <t>Pendiente visible en hojas Banco no Flexxus</t>
        </is>
      </c>
      <c r="G14" s="8" t="inlineStr"/>
    </row>
    <row r="15">
      <c r="A15" s="8" t="inlineStr">
        <is>
          <t>Banco</t>
        </is>
      </c>
      <c r="B15" s="8" t="inlineStr">
        <is>
          <t>24/04/2026</t>
        </is>
      </c>
      <c r="C15" s="8" t="inlineStr">
        <is>
          <t>108601</t>
        </is>
      </c>
      <c r="D15" s="8" t="inlineStr">
        <is>
          <t>GRAVAMEN LEY 25413 S/DEB</t>
        </is>
      </c>
      <c r="E15" s="9" t="n">
        <v>0.27</v>
      </c>
      <c r="F15" s="8" t="inlineStr">
        <is>
          <t>Pendiente visible en hojas Banco no Flexxus</t>
        </is>
      </c>
      <c r="G15" s="8" t="inlineStr"/>
    </row>
    <row r="16">
      <c r="A16" s="8" t="inlineStr">
        <is>
          <t>Banco</t>
        </is>
      </c>
      <c r="B16" s="8" t="inlineStr">
        <is>
          <t>24/04/2026</t>
        </is>
      </c>
      <c r="C16" s="8" t="inlineStr">
        <is>
          <t>108600</t>
        </is>
      </c>
      <c r="D16" s="8" t="inlineStr">
        <is>
          <t>GRAVAMEN LEY 25413 S/DEB</t>
        </is>
      </c>
      <c r="E16" s="9" t="n">
        <v>0.46</v>
      </c>
      <c r="F16" s="8" t="inlineStr">
        <is>
          <t>Pendiente visible en hojas Banco no Flexxus</t>
        </is>
      </c>
      <c r="G16" s="8" t="inlineStr"/>
    </row>
    <row r="17">
      <c r="A17" s="8" t="inlineStr">
        <is>
          <t>Banco</t>
        </is>
      </c>
      <c r="B17" s="8" t="inlineStr">
        <is>
          <t>24/04/2026</t>
        </is>
      </c>
      <c r="C17" s="8" t="inlineStr">
        <is>
          <t>108599</t>
        </is>
      </c>
      <c r="D17" s="8" t="inlineStr">
        <is>
          <t>GRAVAMEN LEY 25413 S/DEB</t>
        </is>
      </c>
      <c r="E17" s="9" t="n">
        <v>1.33</v>
      </c>
      <c r="F17" s="8" t="inlineStr">
        <is>
          <t>Pendiente visible en hojas Banco no Flexxus</t>
        </is>
      </c>
      <c r="G17" s="8" t="inlineStr"/>
    </row>
    <row r="18">
      <c r="A18" s="8" t="inlineStr">
        <is>
          <t>Banco</t>
        </is>
      </c>
      <c r="B18" s="8" t="inlineStr">
        <is>
          <t>24/04/2026</t>
        </is>
      </c>
      <c r="C18" s="8" t="inlineStr">
        <is>
          <t>108598</t>
        </is>
      </c>
      <c r="D18" s="8" t="inlineStr">
        <is>
          <t>GRAVAMEN LEY 25413 S/DEB</t>
        </is>
      </c>
      <c r="E18" s="9" t="n">
        <v>2.85</v>
      </c>
      <c r="F18" s="8" t="inlineStr">
        <is>
          <t>Pendiente visible en hojas Banco no Flexxus</t>
        </is>
      </c>
      <c r="G18" s="8" t="inlineStr"/>
    </row>
    <row r="19">
      <c r="A19" s="8" t="inlineStr">
        <is>
          <t>Banco</t>
        </is>
      </c>
      <c r="B19" s="8" t="inlineStr">
        <is>
          <t>24/04/2026</t>
        </is>
      </c>
      <c r="C19" s="8" t="inlineStr">
        <is>
          <t>108597</t>
        </is>
      </c>
      <c r="D19" s="8" t="inlineStr">
        <is>
          <t>GRAVAMEN LEY 25413 S/DEB</t>
        </is>
      </c>
      <c r="E19" s="9" t="n">
        <v>9</v>
      </c>
      <c r="F19" s="8" t="inlineStr">
        <is>
          <t>Pendiente visible en hojas Banco no Flexxus</t>
        </is>
      </c>
      <c r="G19" s="8" t="inlineStr"/>
    </row>
    <row r="20">
      <c r="A20" s="8" t="inlineStr">
        <is>
          <t>Banco</t>
        </is>
      </c>
      <c r="B20" s="8" t="inlineStr">
        <is>
          <t>24/04/2026</t>
        </is>
      </c>
      <c r="C20" s="8" t="inlineStr">
        <is>
          <t>108596</t>
        </is>
      </c>
      <c r="D20" s="8" t="inlineStr">
        <is>
          <t>GRAVAMEN LEY 25413 S/DEB</t>
        </is>
      </c>
      <c r="E20" s="9" t="n">
        <v>0.68</v>
      </c>
      <c r="F20" s="8" t="inlineStr">
        <is>
          <t>Pendiente visible en hojas Banco no Flexxus</t>
        </is>
      </c>
      <c r="G20" s="8" t="inlineStr"/>
    </row>
    <row r="21">
      <c r="A21" s="8" t="inlineStr">
        <is>
          <t>Banco</t>
        </is>
      </c>
      <c r="B21" s="8" t="inlineStr">
        <is>
          <t>24/04/2026</t>
        </is>
      </c>
      <c r="C21" s="8" t="inlineStr">
        <is>
          <t>108595</t>
        </is>
      </c>
      <c r="D21" s="8" t="inlineStr">
        <is>
          <t>GRAVAMEN LEY 25413 S/DEB</t>
        </is>
      </c>
      <c r="E21" s="9" t="n">
        <v>0.9399999999999999</v>
      </c>
      <c r="F21" s="8" t="inlineStr">
        <is>
          <t>Pendiente visible en hojas Banco no Flexxus</t>
        </is>
      </c>
      <c r="G21" s="8" t="inlineStr"/>
    </row>
    <row r="22">
      <c r="A22" s="8" t="inlineStr">
        <is>
          <t>Banco</t>
        </is>
      </c>
      <c r="B22" s="8" t="inlineStr">
        <is>
          <t>24/04/2026</t>
        </is>
      </c>
      <c r="C22" s="8" t="inlineStr">
        <is>
          <t>108594</t>
        </is>
      </c>
      <c r="D22" s="8" t="inlineStr">
        <is>
          <t>GRAVAMEN LEY 25413 S/DEB</t>
        </is>
      </c>
      <c r="E22" s="9" t="n">
        <v>0.77</v>
      </c>
      <c r="F22" s="8" t="inlineStr">
        <is>
          <t>Pendiente visible en hojas Banco no Flexxus</t>
        </is>
      </c>
      <c r="G22" s="8" t="inlineStr"/>
    </row>
    <row r="23">
      <c r="A23" s="8" t="inlineStr">
        <is>
          <t>Banco</t>
        </is>
      </c>
      <c r="B23" s="8" t="inlineStr">
        <is>
          <t>24/04/2026</t>
        </is>
      </c>
      <c r="C23" s="8" t="inlineStr">
        <is>
          <t>108593</t>
        </is>
      </c>
      <c r="D23" s="8" t="inlineStr">
        <is>
          <t>GRAVAMEN LEY 25413 S/DEB</t>
        </is>
      </c>
      <c r="E23" s="9" t="n">
        <v>0.27</v>
      </c>
      <c r="F23" s="8" t="inlineStr">
        <is>
          <t>Pendiente visible en hojas Banco no Flexxus</t>
        </is>
      </c>
      <c r="G23" s="8" t="inlineStr"/>
    </row>
    <row r="24">
      <c r="A24" s="8" t="inlineStr">
        <is>
          <t>Banco</t>
        </is>
      </c>
      <c r="B24" s="8" t="inlineStr">
        <is>
          <t>24/04/2026</t>
        </is>
      </c>
      <c r="C24" s="8" t="inlineStr">
        <is>
          <t>108592</t>
        </is>
      </c>
      <c r="D24" s="8" t="inlineStr">
        <is>
          <t>GRAVAMEN LEY 25413 S/DEB</t>
        </is>
      </c>
      <c r="E24" s="9" t="n">
        <v>0.21</v>
      </c>
      <c r="F24" s="8" t="inlineStr">
        <is>
          <t>Pendiente visible en hojas Banco no Flexxus</t>
        </is>
      </c>
      <c r="G24" s="8" t="inlineStr"/>
    </row>
    <row r="25">
      <c r="A25" s="8" t="inlineStr">
        <is>
          <t>Banco</t>
        </is>
      </c>
      <c r="B25" s="8" t="inlineStr">
        <is>
          <t>24/04/2026</t>
        </is>
      </c>
      <c r="C25" s="8" t="inlineStr">
        <is>
          <t>108591</t>
        </is>
      </c>
      <c r="D25" s="8" t="inlineStr">
        <is>
          <t>GRAVAMEN LEY 25413 S/DEB</t>
        </is>
      </c>
      <c r="E25" s="9" t="n">
        <v>4.04</v>
      </c>
      <c r="F25" s="8" t="inlineStr">
        <is>
          <t>Pendiente visible en hojas Banco no Flexxus</t>
        </is>
      </c>
      <c r="G25" s="8" t="inlineStr"/>
    </row>
    <row r="26">
      <c r="A26" s="8" t="inlineStr">
        <is>
          <t>Banco</t>
        </is>
      </c>
      <c r="B26" s="8" t="inlineStr">
        <is>
          <t>24/04/2026</t>
        </is>
      </c>
      <c r="C26" s="8" t="inlineStr">
        <is>
          <t>108590</t>
        </is>
      </c>
      <c r="D26" s="8" t="inlineStr">
        <is>
          <t>GRAVAMEN LEY 25413 S/DEB</t>
        </is>
      </c>
      <c r="E26" s="9" t="n">
        <v>11.93</v>
      </c>
      <c r="F26" s="8" t="inlineStr">
        <is>
          <t>Pendiente visible en hojas Banco no Flexxus</t>
        </is>
      </c>
      <c r="G26" s="8" t="inlineStr"/>
    </row>
    <row r="27">
      <c r="A27" s="8" t="inlineStr">
        <is>
          <t>Banco</t>
        </is>
      </c>
      <c r="B27" s="8" t="inlineStr">
        <is>
          <t>24/04/2026</t>
        </is>
      </c>
      <c r="C27" s="8" t="inlineStr">
        <is>
          <t>108589</t>
        </is>
      </c>
      <c r="D27" s="8" t="inlineStr">
        <is>
          <t>GRAVAMEN LEY 25413 S/DEB</t>
        </is>
      </c>
      <c r="E27" s="9" t="n">
        <v>1.6</v>
      </c>
      <c r="F27" s="8" t="inlineStr">
        <is>
          <t>Pendiente visible en hojas Banco no Flexxus</t>
        </is>
      </c>
      <c r="G27" s="8" t="inlineStr"/>
    </row>
    <row r="28">
      <c r="A28" s="8" t="inlineStr">
        <is>
          <t>Banco</t>
        </is>
      </c>
      <c r="B28" s="8" t="inlineStr">
        <is>
          <t>24/04/2026</t>
        </is>
      </c>
      <c r="C28" s="8" t="inlineStr">
        <is>
          <t>108588</t>
        </is>
      </c>
      <c r="D28" s="8" t="inlineStr">
        <is>
          <t>GRAVAMEN LEY 25413 S/DEB</t>
        </is>
      </c>
      <c r="E28" s="9" t="n">
        <v>2.13</v>
      </c>
      <c r="F28" s="8" t="inlineStr">
        <is>
          <t>Pendiente visible en hojas Banco no Flexxus</t>
        </is>
      </c>
      <c r="G28" s="8" t="inlineStr"/>
    </row>
    <row r="29">
      <c r="A29" s="8" t="inlineStr">
        <is>
          <t>Banco</t>
        </is>
      </c>
      <c r="B29" s="8" t="inlineStr">
        <is>
          <t>24/04/2026</t>
        </is>
      </c>
      <c r="C29" s="8" t="inlineStr">
        <is>
          <t>32032899</t>
        </is>
      </c>
      <c r="D29" s="8" t="inlineStr">
        <is>
          <t>GRAVAMEN LEY 25413 S/DEB</t>
        </is>
      </c>
      <c r="E29" s="9" t="n">
        <v>7.28</v>
      </c>
      <c r="F29" s="8" t="inlineStr">
        <is>
          <t>Pendiente visible en hojas Banco no Flexxus</t>
        </is>
      </c>
      <c r="G29" s="8" t="inlineStr"/>
    </row>
    <row r="30">
      <c r="A30" s="8" t="inlineStr">
        <is>
          <t>Banco</t>
        </is>
      </c>
      <c r="B30" s="8" t="inlineStr">
        <is>
          <t>24/04/2026</t>
        </is>
      </c>
      <c r="C30" s="8" t="inlineStr">
        <is>
          <t>31995644</t>
        </is>
      </c>
      <c r="D30" s="8" t="inlineStr">
        <is>
          <t>GRAVAMEN LEY 25413 S/DEB</t>
        </is>
      </c>
      <c r="E30" s="9" t="n">
        <v>17.48</v>
      </c>
      <c r="F30" s="8" t="inlineStr">
        <is>
          <t>Pendiente visible en hojas Banco no Flexxus</t>
        </is>
      </c>
      <c r="G30" s="8" t="inlineStr"/>
    </row>
    <row r="31">
      <c r="A31" s="8" t="inlineStr">
        <is>
          <t>Banco</t>
        </is>
      </c>
      <c r="B31" s="8" t="inlineStr">
        <is>
          <t>24/04/2026</t>
        </is>
      </c>
      <c r="C31" s="8" t="inlineStr">
        <is>
          <t>29841705</t>
        </is>
      </c>
      <c r="D31" s="8" t="inlineStr">
        <is>
          <t>GRAVAMEN LEY 25413 S/DEB</t>
        </is>
      </c>
      <c r="E31" s="9" t="n">
        <v>0.68</v>
      </c>
      <c r="F31" s="8" t="inlineStr">
        <is>
          <t>Pendiente visible en hojas Banco no Flexxus</t>
        </is>
      </c>
      <c r="G31" s="8" t="inlineStr"/>
    </row>
    <row r="32">
      <c r="A32" s="8" t="inlineStr">
        <is>
          <t>Banco</t>
        </is>
      </c>
      <c r="B32" s="8" t="inlineStr">
        <is>
          <t>24/04/2026</t>
        </is>
      </c>
      <c r="C32" s="8" t="inlineStr">
        <is>
          <t>29841683</t>
        </is>
      </c>
      <c r="D32" s="8" t="inlineStr">
        <is>
          <t>GRAVAMEN LEY 25413 S/DEB</t>
        </is>
      </c>
      <c r="E32" s="9" t="n">
        <v>3.5</v>
      </c>
      <c r="F32" s="8" t="inlineStr">
        <is>
          <t>Pendiente visible en hojas Banco no Flexxus</t>
        </is>
      </c>
      <c r="G32" s="8" t="inlineStr"/>
    </row>
    <row r="33">
      <c r="A33" s="8" t="inlineStr">
        <is>
          <t>Banco</t>
        </is>
      </c>
      <c r="B33" s="8" t="inlineStr">
        <is>
          <t>24/04/2026</t>
        </is>
      </c>
      <c r="C33" s="8" t="inlineStr">
        <is>
          <t>29841670</t>
        </is>
      </c>
      <c r="D33" s="8" t="inlineStr">
        <is>
          <t>GRAVAMEN LEY 25413 S/DEB</t>
        </is>
      </c>
      <c r="E33" s="9" t="n">
        <v>3.65</v>
      </c>
      <c r="F33" s="8" t="inlineStr">
        <is>
          <t>Pendiente visible en hojas Banco no Flexxus</t>
        </is>
      </c>
      <c r="G33" s="8" t="inlineStr"/>
    </row>
    <row r="34">
      <c r="A34" s="8" t="inlineStr">
        <is>
          <t>Banco</t>
        </is>
      </c>
      <c r="B34" s="8" t="inlineStr">
        <is>
          <t>24/04/2026</t>
        </is>
      </c>
      <c r="C34" s="8" t="inlineStr">
        <is>
          <t>29841642</t>
        </is>
      </c>
      <c r="D34" s="8" t="inlineStr">
        <is>
          <t>GRAVAMEN LEY 25413 S/DEB</t>
        </is>
      </c>
      <c r="E34" s="9" t="n">
        <v>1.42</v>
      </c>
      <c r="F34" s="8" t="inlineStr">
        <is>
          <t>Pendiente visible en hojas Banco no Flexxus</t>
        </is>
      </c>
      <c r="G34" s="8" t="inlineStr"/>
    </row>
    <row r="35">
      <c r="A35" s="8" t="inlineStr">
        <is>
          <t>Banco</t>
        </is>
      </c>
      <c r="B35" s="8" t="inlineStr">
        <is>
          <t>24/04/2026</t>
        </is>
      </c>
      <c r="C35" s="8" t="inlineStr">
        <is>
          <t>29841627</t>
        </is>
      </c>
      <c r="D35" s="8" t="inlineStr">
        <is>
          <t>GRAVAMEN LEY 25413 S/DEB</t>
        </is>
      </c>
      <c r="E35" s="9" t="n">
        <v>1.6</v>
      </c>
      <c r="F35" s="8" t="inlineStr">
        <is>
          <t>Pendiente visible en hojas Banco no Flexxus</t>
        </is>
      </c>
      <c r="G35" s="8" t="inlineStr"/>
    </row>
    <row r="36">
      <c r="A36" s="8" t="inlineStr">
        <is>
          <t>Banco</t>
        </is>
      </c>
      <c r="B36" s="8" t="inlineStr">
        <is>
          <t>24/04/2026</t>
        </is>
      </c>
      <c r="C36" s="8" t="inlineStr">
        <is>
          <t>32032899</t>
        </is>
      </c>
      <c r="D36" s="8" t="inlineStr">
        <is>
          <t>GRAVAMEN LEY 25413 S/DEB</t>
        </is>
      </c>
      <c r="E36" s="9" t="n">
        <v>17.49</v>
      </c>
      <c r="F36" s="8" t="inlineStr">
        <is>
          <t>Pendiente visible en hojas Banco no Flexxus</t>
        </is>
      </c>
      <c r="G36" s="8" t="inlineStr"/>
    </row>
    <row r="37">
      <c r="A37" s="8" t="inlineStr">
        <is>
          <t>Banco</t>
        </is>
      </c>
      <c r="B37" s="8" t="inlineStr">
        <is>
          <t>24/04/2026</t>
        </is>
      </c>
      <c r="C37" s="8" t="inlineStr">
        <is>
          <t>32032899</t>
        </is>
      </c>
      <c r="D37" s="8" t="inlineStr">
        <is>
          <t>GRAVAMEN LEY 25413 S/DEB</t>
        </is>
      </c>
      <c r="E37" s="9" t="n">
        <v>2.5</v>
      </c>
      <c r="F37" s="8" t="inlineStr">
        <is>
          <t>Pendiente visible en hojas Banco no Flexxus</t>
        </is>
      </c>
      <c r="G37" s="8" t="inlineStr"/>
    </row>
    <row r="38">
      <c r="A38" s="8" t="inlineStr">
        <is>
          <t>Banco</t>
        </is>
      </c>
      <c r="B38" s="8" t="inlineStr">
        <is>
          <t>24/04/2026</t>
        </is>
      </c>
      <c r="C38" s="8" t="inlineStr">
        <is>
          <t>32032899</t>
        </is>
      </c>
      <c r="D38" s="8" t="inlineStr">
        <is>
          <t>GRAVAMEN LEY 25413 S/DEB</t>
        </is>
      </c>
      <c r="E38" s="9" t="n">
        <v>6.95</v>
      </c>
      <c r="F38" s="8" t="inlineStr">
        <is>
          <t>Pendiente visible en hojas Banco no Flexxus</t>
        </is>
      </c>
      <c r="G38" s="8" t="inlineStr"/>
    </row>
    <row r="39">
      <c r="A39" s="8" t="inlineStr">
        <is>
          <t>Banco</t>
        </is>
      </c>
      <c r="B39" s="8" t="inlineStr">
        <is>
          <t>24/04/2026</t>
        </is>
      </c>
      <c r="C39" s="8" t="inlineStr">
        <is>
          <t>31995644</t>
        </is>
      </c>
      <c r="D39" s="8" t="inlineStr">
        <is>
          <t>GRAVAMEN LEY 25413 S/DEB</t>
        </is>
      </c>
      <c r="E39" s="9" t="n">
        <v>5.02</v>
      </c>
      <c r="F39" s="8" t="inlineStr">
        <is>
          <t>Pendiente visible en hojas Banco no Flexxus</t>
        </is>
      </c>
      <c r="G39" s="8" t="inlineStr"/>
    </row>
    <row r="40">
      <c r="A40" s="8" t="inlineStr">
        <is>
          <t>Banco</t>
        </is>
      </c>
      <c r="B40" s="8" t="inlineStr">
        <is>
          <t>24/04/2026</t>
        </is>
      </c>
      <c r="C40" s="8" t="inlineStr">
        <is>
          <t>29841683</t>
        </is>
      </c>
      <c r="D40" s="8" t="inlineStr">
        <is>
          <t>GRAVAMEN LEY 25413 S/DEB</t>
        </is>
      </c>
      <c r="E40" s="9" t="n">
        <v>2.85</v>
      </c>
      <c r="F40" s="8" t="inlineStr">
        <is>
          <t>Pendiente visible en hojas Banco no Flexxus</t>
        </is>
      </c>
      <c r="G40" s="8" t="inlineStr"/>
    </row>
    <row r="41">
      <c r="A41" s="8" t="inlineStr">
        <is>
          <t>Banco</t>
        </is>
      </c>
      <c r="B41" s="8" t="inlineStr">
        <is>
          <t>24/04/2026</t>
        </is>
      </c>
      <c r="C41" s="8" t="inlineStr">
        <is>
          <t>32032899</t>
        </is>
      </c>
      <c r="D41" s="8" t="inlineStr">
        <is>
          <t>GRAVAMEN LEY 25413 S/DEB</t>
        </is>
      </c>
      <c r="E41" s="9" t="n">
        <v>38.82</v>
      </c>
      <c r="F41" s="8" t="inlineStr">
        <is>
          <t>Pendiente visible en hojas Banco no Flexxus</t>
        </is>
      </c>
      <c r="G41" s="8" t="inlineStr"/>
    </row>
    <row r="42">
      <c r="A42" s="8" t="inlineStr">
        <is>
          <t>Banco</t>
        </is>
      </c>
      <c r="B42" s="8" t="inlineStr">
        <is>
          <t>24/04/2026</t>
        </is>
      </c>
      <c r="C42" s="8" t="inlineStr">
        <is>
          <t>32032899</t>
        </is>
      </c>
      <c r="D42" s="8" t="inlineStr">
        <is>
          <t>GRAVAMEN LEY 25413 S/DEB</t>
        </is>
      </c>
      <c r="E42" s="9" t="n">
        <v>7.2</v>
      </c>
      <c r="F42" s="8" t="inlineStr">
        <is>
          <t>Pendiente visible en hojas Banco no Flexxus</t>
        </is>
      </c>
      <c r="G42" s="8" t="inlineStr"/>
    </row>
    <row r="43">
      <c r="A43" s="8" t="inlineStr">
        <is>
          <t>Banco</t>
        </is>
      </c>
      <c r="B43" s="8" t="inlineStr">
        <is>
          <t>24/04/2026</t>
        </is>
      </c>
      <c r="C43" s="8" t="inlineStr">
        <is>
          <t>31995644</t>
        </is>
      </c>
      <c r="D43" s="8" t="inlineStr">
        <is>
          <t>GRAVAMEN LEY 25413 S/DEB</t>
        </is>
      </c>
      <c r="E43" s="9" t="n">
        <v>18.18</v>
      </c>
      <c r="F43" s="8" t="inlineStr">
        <is>
          <t>Pendiente visible en hojas Banco no Flexxus</t>
        </is>
      </c>
      <c r="G43" s="8" t="inlineStr"/>
    </row>
    <row r="44">
      <c r="A44" s="8" t="inlineStr">
        <is>
          <t>Banco</t>
        </is>
      </c>
      <c r="B44" s="8" t="inlineStr">
        <is>
          <t>24/04/2026</t>
        </is>
      </c>
      <c r="C44" s="8" t="inlineStr">
        <is>
          <t>31995644</t>
        </is>
      </c>
      <c r="D44" s="8" t="inlineStr">
        <is>
          <t>GRAVAMEN LEY 25413 S/DEB</t>
        </is>
      </c>
      <c r="E44" s="9" t="n">
        <v>26.11</v>
      </c>
      <c r="F44" s="8" t="inlineStr">
        <is>
          <t>Pendiente visible en hojas Banco no Flexxus</t>
        </is>
      </c>
      <c r="G44" s="8" t="inlineStr"/>
    </row>
    <row r="45">
      <c r="A45" s="8" t="inlineStr">
        <is>
          <t>Banco</t>
        </is>
      </c>
      <c r="B45" s="8" t="inlineStr">
        <is>
          <t>24/04/2026</t>
        </is>
      </c>
      <c r="C45" s="8" t="inlineStr">
        <is>
          <t>29841705</t>
        </is>
      </c>
      <c r="D45" s="8" t="inlineStr">
        <is>
          <t>GRAVAMEN LEY 25413 S/DEB</t>
        </is>
      </c>
      <c r="E45" s="9" t="n">
        <v>0.45</v>
      </c>
      <c r="F45" s="8" t="inlineStr">
        <is>
          <t>Pendiente visible en hojas Banco no Flexxus</t>
        </is>
      </c>
      <c r="G45" s="8" t="inlineStr"/>
    </row>
    <row r="46">
      <c r="A46" s="8" t="inlineStr">
        <is>
          <t>Banco</t>
        </is>
      </c>
      <c r="B46" s="8" t="inlineStr">
        <is>
          <t>24/04/2026</t>
        </is>
      </c>
      <c r="C46" s="8" t="inlineStr">
        <is>
          <t>29841705</t>
        </is>
      </c>
      <c r="D46" s="8" t="inlineStr">
        <is>
          <t>GRAVAMEN LEY 25413 S/DEB</t>
        </is>
      </c>
      <c r="E46" s="9" t="n">
        <v>2.47</v>
      </c>
      <c r="F46" s="8" t="inlineStr">
        <is>
          <t>Pendiente visible en hojas Banco no Flexxus</t>
        </is>
      </c>
      <c r="G46" s="8" t="inlineStr"/>
    </row>
    <row r="47">
      <c r="A47" s="8" t="inlineStr">
        <is>
          <t>Banco</t>
        </is>
      </c>
      <c r="B47" s="8" t="inlineStr">
        <is>
          <t>24/04/2026</t>
        </is>
      </c>
      <c r="C47" s="8" t="inlineStr">
        <is>
          <t>29841670</t>
        </is>
      </c>
      <c r="D47" s="8" t="inlineStr">
        <is>
          <t>GRAVAMEN LEY 25413 S/DEB</t>
        </is>
      </c>
      <c r="E47" s="9" t="n">
        <v>7.26</v>
      </c>
      <c r="F47" s="8" t="inlineStr">
        <is>
          <t>Pendiente visible en hojas Banco no Flexxus</t>
        </is>
      </c>
      <c r="G47" s="8" t="inlineStr"/>
    </row>
    <row r="48">
      <c r="A48" s="8" t="inlineStr">
        <is>
          <t>Banco</t>
        </is>
      </c>
      <c r="B48" s="8" t="inlineStr">
        <is>
          <t>24/04/2026</t>
        </is>
      </c>
      <c r="C48" s="8" t="inlineStr">
        <is>
          <t>32032899</t>
        </is>
      </c>
      <c r="D48" s="8" t="inlineStr">
        <is>
          <t>GRAVAMEN LEY 25413 S/DEB</t>
        </is>
      </c>
      <c r="E48" s="9" t="n">
        <v>5.48</v>
      </c>
      <c r="F48" s="8" t="inlineStr">
        <is>
          <t>Pendiente visible en hojas Banco no Flexxus</t>
        </is>
      </c>
      <c r="G48" s="8" t="inlineStr"/>
    </row>
    <row r="49">
      <c r="A49" s="8" t="inlineStr">
        <is>
          <t>Banco</t>
        </is>
      </c>
      <c r="B49" s="8" t="inlineStr">
        <is>
          <t>24/04/2026</t>
        </is>
      </c>
      <c r="C49" s="8" t="inlineStr">
        <is>
          <t>31995644</t>
        </is>
      </c>
      <c r="D49" s="8" t="inlineStr">
        <is>
          <t>GRAVAMEN LEY 25413 S/DEB</t>
        </is>
      </c>
      <c r="E49" s="9" t="n">
        <v>7.12</v>
      </c>
      <c r="F49" s="8" t="inlineStr">
        <is>
          <t>Pendiente visible en hojas Banco no Flexxus</t>
        </is>
      </c>
      <c r="G49" s="8" t="inlineStr"/>
    </row>
    <row r="50">
      <c r="A50" s="8" t="inlineStr">
        <is>
          <t>Banco</t>
        </is>
      </c>
      <c r="B50" s="8" t="inlineStr">
        <is>
          <t>24/04/2026</t>
        </is>
      </c>
      <c r="C50" s="8" t="inlineStr">
        <is>
          <t>31995644</t>
        </is>
      </c>
      <c r="D50" s="8" t="inlineStr">
        <is>
          <t>GRAVAMEN LEY 25413 S/DEB</t>
        </is>
      </c>
      <c r="E50" s="9" t="n">
        <v>7.98</v>
      </c>
      <c r="F50" s="8" t="inlineStr">
        <is>
          <t>Pendiente visible en hojas Banco no Flexxus</t>
        </is>
      </c>
      <c r="G50" s="8" t="inlineStr"/>
    </row>
    <row r="51">
      <c r="A51" s="8" t="inlineStr">
        <is>
          <t>Banco</t>
        </is>
      </c>
      <c r="B51" s="8" t="inlineStr">
        <is>
          <t>24/04/2026</t>
        </is>
      </c>
      <c r="C51" s="8" t="inlineStr">
        <is>
          <t>29841683</t>
        </is>
      </c>
      <c r="D51" s="8" t="inlineStr">
        <is>
          <t>GRAVAMEN LEY 25413 S/DEB</t>
        </is>
      </c>
      <c r="E51" s="9" t="n">
        <v>3.64</v>
      </c>
      <c r="F51" s="8" t="inlineStr">
        <is>
          <t>Pendiente visible en hojas Banco no Flexxus</t>
        </is>
      </c>
      <c r="G51" s="8" t="inlineStr"/>
    </row>
    <row r="52">
      <c r="A52" s="8" t="inlineStr">
        <is>
          <t>Banco</t>
        </is>
      </c>
      <c r="B52" s="8" t="inlineStr">
        <is>
          <t>24/04/2026</t>
        </is>
      </c>
      <c r="C52" s="8" t="inlineStr">
        <is>
          <t>29841670</t>
        </is>
      </c>
      <c r="D52" s="8" t="inlineStr">
        <is>
          <t>GRAVAMEN LEY 25413 S/DEB</t>
        </is>
      </c>
      <c r="E52" s="9" t="n">
        <v>1.27</v>
      </c>
      <c r="F52" s="8" t="inlineStr">
        <is>
          <t>Pendiente visible en hojas Banco no Flexxus</t>
        </is>
      </c>
      <c r="G52" s="8" t="inlineStr"/>
    </row>
    <row r="53">
      <c r="A53" s="8" t="inlineStr">
        <is>
          <t>Banco</t>
        </is>
      </c>
      <c r="B53" s="8" t="inlineStr">
        <is>
          <t>24/04/2026</t>
        </is>
      </c>
      <c r="C53" s="8" t="inlineStr">
        <is>
          <t>108562</t>
        </is>
      </c>
      <c r="D53" s="8" t="inlineStr">
        <is>
          <t>GRAVAMEN LEY 25413 S/DEB</t>
        </is>
      </c>
      <c r="E53" s="9" t="n">
        <v>1.37</v>
      </c>
      <c r="F53" s="8" t="inlineStr">
        <is>
          <t>Pendiente visible en hojas Banco no Flexxus</t>
        </is>
      </c>
      <c r="G53" s="8" t="inlineStr"/>
    </row>
    <row r="54">
      <c r="A54" s="8" t="inlineStr">
        <is>
          <t>Banco</t>
        </is>
      </c>
      <c r="B54" s="8" t="inlineStr">
        <is>
          <t>24/04/2026</t>
        </is>
      </c>
      <c r="C54" s="8" t="inlineStr">
        <is>
          <t>3027923</t>
        </is>
      </c>
      <c r="D54" s="8" t="inlineStr">
        <is>
          <t>GRAVAMEN LEY 25413 S/DEB</t>
        </is>
      </c>
      <c r="E54" s="9" t="n">
        <v>1.99</v>
      </c>
      <c r="F54" s="8" t="inlineStr">
        <is>
          <t>Pendiente visible en hojas Banco no Flexxus</t>
        </is>
      </c>
      <c r="G54" s="8" t="inlineStr"/>
    </row>
    <row r="55">
      <c r="A55" s="8" t="inlineStr">
        <is>
          <t>Banco</t>
        </is>
      </c>
      <c r="B55" s="8" t="inlineStr">
        <is>
          <t>24/04/2026</t>
        </is>
      </c>
      <c r="C55" s="8" t="inlineStr">
        <is>
          <t>108560</t>
        </is>
      </c>
      <c r="D55" s="8" t="inlineStr">
        <is>
          <t>GRAVAMEN LEY 25413 S/DEB</t>
        </is>
      </c>
      <c r="E55" s="9" t="n">
        <v>1.69</v>
      </c>
      <c r="F55" s="8" t="inlineStr">
        <is>
          <t>Pendiente visible en hojas Banco no Flexxus</t>
        </is>
      </c>
      <c r="G55" s="8" t="inlineStr"/>
    </row>
    <row r="56">
      <c r="A56" s="8" t="inlineStr">
        <is>
          <t>Banco</t>
        </is>
      </c>
      <c r="B56" s="8" t="inlineStr">
        <is>
          <t>24/04/2026</t>
        </is>
      </c>
      <c r="C56" s="8" t="inlineStr">
        <is>
          <t>108559</t>
        </is>
      </c>
      <c r="D56" s="8" t="inlineStr">
        <is>
          <t>GRAVAMEN LEY 25413 S/DEB</t>
        </is>
      </c>
      <c r="E56" s="9" t="n">
        <v>1.93</v>
      </c>
      <c r="F56" s="8" t="inlineStr">
        <is>
          <t>Pendiente visible en hojas Banco no Flexxus</t>
        </is>
      </c>
      <c r="G56" s="8" t="inlineStr"/>
    </row>
    <row r="57">
      <c r="A57" s="8" t="inlineStr">
        <is>
          <t>Banco</t>
        </is>
      </c>
      <c r="B57" s="8" t="inlineStr">
        <is>
          <t>24/04/2026</t>
        </is>
      </c>
      <c r="C57" s="8" t="inlineStr">
        <is>
          <t>108557</t>
        </is>
      </c>
      <c r="D57" s="8" t="inlineStr">
        <is>
          <t>GRAVAMEN LEY 25413 S/DEB</t>
        </is>
      </c>
      <c r="E57" s="9" t="n">
        <v>0.6899999999999999</v>
      </c>
      <c r="F57" s="8" t="inlineStr">
        <is>
          <t>Pendiente visible en hojas Banco no Flexxus</t>
        </is>
      </c>
      <c r="G57" s="8" t="inlineStr"/>
    </row>
    <row r="58">
      <c r="A58" s="8" t="inlineStr">
        <is>
          <t>Banco</t>
        </is>
      </c>
      <c r="B58" s="8" t="inlineStr">
        <is>
          <t>24/04/2026</t>
        </is>
      </c>
      <c r="C58" s="8" t="inlineStr">
        <is>
          <t>108608</t>
        </is>
      </c>
      <c r="D58" s="8" t="inlineStr">
        <is>
          <t>GRAVAMEN LEY 25413 S/DEB</t>
        </is>
      </c>
      <c r="E58" s="9" t="n">
        <v>1.2</v>
      </c>
      <c r="F58" s="8" t="inlineStr">
        <is>
          <t>Pendiente visible en hojas Banco no Flexxus</t>
        </is>
      </c>
      <c r="G58" s="8" t="inlineStr"/>
    </row>
    <row r="59">
      <c r="A59" s="8" t="inlineStr">
        <is>
          <t>Banco</t>
        </is>
      </c>
      <c r="B59" s="8" t="inlineStr">
        <is>
          <t>24/04/2026</t>
        </is>
      </c>
      <c r="C59" s="8" t="inlineStr">
        <is>
          <t>25241</t>
        </is>
      </c>
      <c r="D59" s="8" t="inlineStr">
        <is>
          <t>GRAVAMEN LEY 25413 S/DEB</t>
        </is>
      </c>
      <c r="E59" s="9" t="n">
        <v>10407.56</v>
      </c>
      <c r="F59" s="8" t="inlineStr">
        <is>
          <t>Pendiente visible en hojas Banco no Flexxus</t>
        </is>
      </c>
      <c r="G59" s="8" t="inlineStr"/>
    </row>
    <row r="60">
      <c r="A60" s="8" t="inlineStr">
        <is>
          <t>Banco</t>
        </is>
      </c>
      <c r="B60" s="8" t="inlineStr">
        <is>
          <t>24/04/2026</t>
        </is>
      </c>
      <c r="C60" s="8" t="inlineStr">
        <is>
          <t>108606</t>
        </is>
      </c>
      <c r="D60" s="8" t="inlineStr">
        <is>
          <t>GRAVAMEN LEY 25413 S/DEB</t>
        </is>
      </c>
      <c r="E60" s="9" t="n">
        <v>5.74</v>
      </c>
      <c r="F60" s="8" t="inlineStr">
        <is>
          <t>Pendiente visible en hojas Banco no Flexxus</t>
        </is>
      </c>
      <c r="G60" s="8" t="inlineStr"/>
    </row>
    <row r="61">
      <c r="A61" s="8" t="inlineStr">
        <is>
          <t>Banco</t>
        </is>
      </c>
      <c r="B61" s="8" t="inlineStr">
        <is>
          <t>24/04/2026</t>
        </is>
      </c>
      <c r="C61" s="8" t="inlineStr">
        <is>
          <t>108605</t>
        </is>
      </c>
      <c r="D61" s="8" t="inlineStr">
        <is>
          <t>INGRESOS BRUTOS MENDOZA</t>
        </is>
      </c>
      <c r="E61" s="9" t="n">
        <v>716.99</v>
      </c>
      <c r="F61" s="8" t="inlineStr">
        <is>
          <t>Pendiente visible en hojas Banco no Flexxus</t>
        </is>
      </c>
      <c r="G61" s="8" t="inlineStr"/>
    </row>
    <row r="62">
      <c r="A62" s="8" t="inlineStr">
        <is>
          <t>Banco</t>
        </is>
      </c>
      <c r="B62" s="8" t="inlineStr">
        <is>
          <t>24/04/2026</t>
        </is>
      </c>
      <c r="C62" s="8" t="inlineStr">
        <is>
          <t>108605</t>
        </is>
      </c>
      <c r="D62" s="8" t="inlineStr">
        <is>
          <t>GRAVAMEN LEY 25413 S/CRED</t>
        </is>
      </c>
      <c r="E62" s="9" t="n">
        <v>430.2</v>
      </c>
      <c r="F62" s="8" t="inlineStr">
        <is>
          <t>Pendiente visible en hojas Banco no Flexxus</t>
        </is>
      </c>
      <c r="G62" s="8" t="inlineStr"/>
    </row>
    <row r="63">
      <c r="A63" s="8" t="inlineStr">
        <is>
          <t>Banco</t>
        </is>
      </c>
      <c r="B63" s="8" t="inlineStr">
        <is>
          <t>24/04/2026</t>
        </is>
      </c>
      <c r="C63" s="8" t="inlineStr">
        <is>
          <t>108604</t>
        </is>
      </c>
      <c r="D63" s="8" t="inlineStr">
        <is>
          <t>INGRESOS BRUTOS MENDOZA</t>
        </is>
      </c>
      <c r="E63" s="9" t="n">
        <v>104.97</v>
      </c>
      <c r="F63" s="8" t="inlineStr">
        <is>
          <t>Pendiente visible en hojas Banco no Flexxus</t>
        </is>
      </c>
      <c r="G63" s="8" t="inlineStr"/>
    </row>
    <row r="64">
      <c r="A64" s="8" t="inlineStr">
        <is>
          <t>Banco</t>
        </is>
      </c>
      <c r="B64" s="8" t="inlineStr">
        <is>
          <t>24/04/2026</t>
        </is>
      </c>
      <c r="C64" s="8" t="inlineStr">
        <is>
          <t>108604</t>
        </is>
      </c>
      <c r="D64" s="8" t="inlineStr">
        <is>
          <t>GRAVAMEN LEY 25413 S/CRED</t>
        </is>
      </c>
      <c r="E64" s="9" t="n">
        <v>62.98</v>
      </c>
      <c r="F64" s="8" t="inlineStr">
        <is>
          <t>Pendiente visible en hojas Banco no Flexxus</t>
        </is>
      </c>
      <c r="G64" s="8" t="inlineStr"/>
    </row>
    <row r="65">
      <c r="A65" s="8" t="inlineStr">
        <is>
          <t>Banco</t>
        </is>
      </c>
      <c r="B65" s="8" t="inlineStr">
        <is>
          <t>24/04/2026</t>
        </is>
      </c>
      <c r="C65" s="8" t="inlineStr">
        <is>
          <t>108603</t>
        </is>
      </c>
      <c r="D65" s="8" t="inlineStr">
        <is>
          <t>INGRESOS BRUTOS MENDOZA</t>
        </is>
      </c>
      <c r="E65" s="9" t="n">
        <v>675.4</v>
      </c>
      <c r="F65" s="8" t="inlineStr">
        <is>
          <t>Pendiente visible en hojas Banco no Flexxus</t>
        </is>
      </c>
      <c r="G65" s="8" t="inlineStr"/>
    </row>
    <row r="66">
      <c r="A66" s="8" t="inlineStr">
        <is>
          <t>Banco</t>
        </is>
      </c>
      <c r="B66" s="8" t="inlineStr">
        <is>
          <t>24/04/2026</t>
        </is>
      </c>
      <c r="C66" s="8" t="inlineStr">
        <is>
          <t>108603</t>
        </is>
      </c>
      <c r="D66" s="8" t="inlineStr">
        <is>
          <t>GRAVAMEN LEY 25413 S/CRED</t>
        </is>
      </c>
      <c r="E66" s="9" t="n">
        <v>405.24</v>
      </c>
      <c r="F66" s="8" t="inlineStr">
        <is>
          <t>Pendiente visible en hojas Banco no Flexxus</t>
        </is>
      </c>
      <c r="G66" s="8" t="inlineStr"/>
    </row>
    <row r="67">
      <c r="A67" s="8" t="inlineStr">
        <is>
          <t>Banco</t>
        </is>
      </c>
      <c r="B67" s="8" t="inlineStr">
        <is>
          <t>24/04/2026</t>
        </is>
      </c>
      <c r="C67" s="8" t="inlineStr">
        <is>
          <t>108602</t>
        </is>
      </c>
      <c r="D67" s="8" t="inlineStr">
        <is>
          <t>INGRESOS BRUTOS MENDOZA</t>
        </is>
      </c>
      <c r="E67" s="9" t="n">
        <v>76.25</v>
      </c>
      <c r="F67" s="8" t="inlineStr">
        <is>
          <t>Pendiente visible en hojas Banco no Flexxus</t>
        </is>
      </c>
      <c r="G67" s="8" t="inlineStr"/>
    </row>
    <row r="68">
      <c r="A68" s="8" t="inlineStr">
        <is>
          <t>Banco</t>
        </is>
      </c>
      <c r="B68" s="8" t="inlineStr">
        <is>
          <t>24/04/2026</t>
        </is>
      </c>
      <c r="C68" s="8" t="inlineStr">
        <is>
          <t>108602</t>
        </is>
      </c>
      <c r="D68" s="8" t="inlineStr">
        <is>
          <t>GRAVAMEN LEY 25413 S/CRED</t>
        </is>
      </c>
      <c r="E68" s="9" t="n">
        <v>45.75</v>
      </c>
      <c r="F68" s="8" t="inlineStr">
        <is>
          <t>Pendiente visible en hojas Banco no Flexxus</t>
        </is>
      </c>
      <c r="G68" s="8" t="inlineStr"/>
    </row>
    <row r="69">
      <c r="A69" s="8" t="inlineStr">
        <is>
          <t>Banco</t>
        </is>
      </c>
      <c r="B69" s="8" t="inlineStr">
        <is>
          <t>24/04/2026</t>
        </is>
      </c>
      <c r="C69" s="8" t="inlineStr">
        <is>
          <t>108601</t>
        </is>
      </c>
      <c r="D69" s="8" t="inlineStr">
        <is>
          <t>INGRESOS BRUTOS MENDOZA</t>
        </is>
      </c>
      <c r="E69" s="9" t="n">
        <v>44.56</v>
      </c>
      <c r="F69" s="8" t="inlineStr">
        <is>
          <t>Pendiente visible en hojas Banco no Flexxus</t>
        </is>
      </c>
      <c r="G69" s="8" t="inlineStr"/>
    </row>
    <row r="70">
      <c r="A70" s="8" t="inlineStr">
        <is>
          <t>Banco</t>
        </is>
      </c>
      <c r="B70" s="8" t="inlineStr">
        <is>
          <t>24/04/2026</t>
        </is>
      </c>
      <c r="C70" s="8" t="inlineStr">
        <is>
          <t>108601</t>
        </is>
      </c>
      <c r="D70" s="8" t="inlineStr">
        <is>
          <t>GRAVAMEN LEY 25413 S/CRED</t>
        </is>
      </c>
      <c r="E70" s="9" t="n">
        <v>26.74</v>
      </c>
      <c r="F70" s="8" t="inlineStr">
        <is>
          <t>Pendiente visible en hojas Banco no Flexxus</t>
        </is>
      </c>
      <c r="G70" s="8" t="inlineStr"/>
    </row>
    <row r="71">
      <c r="A71" s="8" t="inlineStr">
        <is>
          <t>Banco</t>
        </is>
      </c>
      <c r="B71" s="8" t="inlineStr">
        <is>
          <t>24/04/2026</t>
        </is>
      </c>
      <c r="C71" s="8" t="inlineStr">
        <is>
          <t>108600</t>
        </is>
      </c>
      <c r="D71" s="8" t="inlineStr">
        <is>
          <t>INGRESOS BRUTOS MENDOZA</t>
        </is>
      </c>
      <c r="E71" s="9" t="n">
        <v>77.25</v>
      </c>
      <c r="F71" s="8" t="inlineStr">
        <is>
          <t>Pendiente visible en hojas Banco no Flexxus</t>
        </is>
      </c>
      <c r="G71" s="8" t="inlineStr"/>
    </row>
    <row r="72">
      <c r="A72" s="8" t="inlineStr">
        <is>
          <t>Banco</t>
        </is>
      </c>
      <c r="B72" s="8" t="inlineStr">
        <is>
          <t>24/04/2026</t>
        </is>
      </c>
      <c r="C72" s="8" t="inlineStr">
        <is>
          <t>108600</t>
        </is>
      </c>
      <c r="D72" s="8" t="inlineStr">
        <is>
          <t>GRAVAMEN LEY 25413 S/CRED</t>
        </is>
      </c>
      <c r="E72" s="9" t="n">
        <v>46.35</v>
      </c>
      <c r="F72" s="8" t="inlineStr">
        <is>
          <t>Pendiente visible en hojas Banco no Flexxus</t>
        </is>
      </c>
      <c r="G72" s="8" t="inlineStr"/>
    </row>
    <row r="73">
      <c r="A73" s="8" t="inlineStr">
        <is>
          <t>Banco</t>
        </is>
      </c>
      <c r="B73" s="8" t="inlineStr">
        <is>
          <t>24/04/2026</t>
        </is>
      </c>
      <c r="C73" s="8" t="inlineStr">
        <is>
          <t>108599</t>
        </is>
      </c>
      <c r="D73" s="8" t="inlineStr">
        <is>
          <t>INGRESOS BRUTOS MENDOZA</t>
        </is>
      </c>
      <c r="E73" s="9" t="n">
        <v>221.83</v>
      </c>
      <c r="F73" s="8" t="inlineStr">
        <is>
          <t>Pendiente visible en hojas Banco no Flexxus</t>
        </is>
      </c>
      <c r="G73" s="8" t="inlineStr"/>
    </row>
    <row r="74">
      <c r="A74" s="8" t="inlineStr">
        <is>
          <t>Banco</t>
        </is>
      </c>
      <c r="B74" s="8" t="inlineStr">
        <is>
          <t>24/04/2026</t>
        </is>
      </c>
      <c r="C74" s="8" t="inlineStr">
        <is>
          <t>108599</t>
        </is>
      </c>
      <c r="D74" s="8" t="inlineStr">
        <is>
          <t>GRAVAMEN LEY 25413 S/CRED</t>
        </is>
      </c>
      <c r="E74" s="9" t="n">
        <v>133.1</v>
      </c>
      <c r="F74" s="8" t="inlineStr">
        <is>
          <t>Pendiente visible en hojas Banco no Flexxus</t>
        </is>
      </c>
      <c r="G74" s="8" t="inlineStr"/>
    </row>
    <row r="75">
      <c r="A75" s="8" t="inlineStr">
        <is>
          <t>Banco</t>
        </is>
      </c>
      <c r="B75" s="8" t="inlineStr">
        <is>
          <t>24/04/2026</t>
        </is>
      </c>
      <c r="C75" s="8" t="inlineStr">
        <is>
          <t>108598</t>
        </is>
      </c>
      <c r="D75" s="8" t="inlineStr">
        <is>
          <t>INGRESOS BRUTOS MENDOZA</t>
        </is>
      </c>
      <c r="E75" s="9" t="n">
        <v>475.35</v>
      </c>
      <c r="F75" s="8" t="inlineStr">
        <is>
          <t>Pendiente visible en hojas Banco no Flexxus</t>
        </is>
      </c>
      <c r="G75" s="8" t="inlineStr"/>
    </row>
    <row r="76">
      <c r="A76" s="8" t="inlineStr">
        <is>
          <t>Banco</t>
        </is>
      </c>
      <c r="B76" s="8" t="inlineStr">
        <is>
          <t>24/04/2026</t>
        </is>
      </c>
      <c r="C76" s="8" t="inlineStr">
        <is>
          <t>108598</t>
        </is>
      </c>
      <c r="D76" s="8" t="inlineStr">
        <is>
          <t>GRAVAMEN LEY 25413 S/CRED</t>
        </is>
      </c>
      <c r="E76" s="9" t="n">
        <v>285.21</v>
      </c>
      <c r="F76" s="8" t="inlineStr">
        <is>
          <t>Pendiente visible en hojas Banco no Flexxus</t>
        </is>
      </c>
      <c r="G76" s="8" t="inlineStr"/>
    </row>
    <row r="77">
      <c r="A77" s="8" t="inlineStr">
        <is>
          <t>Banco</t>
        </is>
      </c>
      <c r="B77" s="8" t="inlineStr">
        <is>
          <t>24/04/2026</t>
        </is>
      </c>
      <c r="C77" s="8" t="inlineStr">
        <is>
          <t>108597</t>
        </is>
      </c>
      <c r="D77" s="8" t="inlineStr">
        <is>
          <t>INGRESOS BRUTOS MENDOZA</t>
        </is>
      </c>
      <c r="E77" s="9" t="n">
        <v>1500</v>
      </c>
      <c r="F77" s="8" t="inlineStr">
        <is>
          <t>Pendiente visible en hojas Banco no Flexxus</t>
        </is>
      </c>
      <c r="G77" s="8" t="inlineStr"/>
    </row>
    <row r="78">
      <c r="A78" s="8" t="inlineStr">
        <is>
          <t>Banco</t>
        </is>
      </c>
      <c r="B78" s="8" t="inlineStr">
        <is>
          <t>24/04/2026</t>
        </is>
      </c>
      <c r="C78" s="8" t="inlineStr">
        <is>
          <t>108597</t>
        </is>
      </c>
      <c r="D78" s="8" t="inlineStr">
        <is>
          <t>GRAVAMEN LEY 25413 S/CRED</t>
        </is>
      </c>
      <c r="E78" s="9" t="n">
        <v>900</v>
      </c>
      <c r="F78" s="8" t="inlineStr">
        <is>
          <t>Pendiente visible en hojas Banco no Flexxus</t>
        </is>
      </c>
      <c r="G78" s="8" t="inlineStr"/>
    </row>
    <row r="79">
      <c r="A79" s="8" t="inlineStr">
        <is>
          <t>Banco</t>
        </is>
      </c>
      <c r="B79" s="8" t="inlineStr">
        <is>
          <t>24/04/2026</t>
        </is>
      </c>
      <c r="C79" s="8" t="inlineStr">
        <is>
          <t>108596</t>
        </is>
      </c>
      <c r="D79" s="8" t="inlineStr">
        <is>
          <t>INGRESOS BRUTOS MENDOZA</t>
        </is>
      </c>
      <c r="E79" s="9" t="n">
        <v>113.89</v>
      </c>
      <c r="F79" s="8" t="inlineStr">
        <is>
          <t>Pendiente visible en hojas Banco no Flexxus</t>
        </is>
      </c>
      <c r="G79" s="8" t="inlineStr"/>
    </row>
    <row r="80">
      <c r="A80" s="8" t="inlineStr">
        <is>
          <t>Banco</t>
        </is>
      </c>
      <c r="B80" s="8" t="inlineStr">
        <is>
          <t>24/04/2026</t>
        </is>
      </c>
      <c r="C80" s="8" t="inlineStr">
        <is>
          <t>108596</t>
        </is>
      </c>
      <c r="D80" s="8" t="inlineStr">
        <is>
          <t>GRAVAMEN LEY 25413 S/CRED</t>
        </is>
      </c>
      <c r="E80" s="9" t="n">
        <v>68.33</v>
      </c>
      <c r="F80" s="8" t="inlineStr">
        <is>
          <t>Pendiente visible en hojas Banco no Flexxus</t>
        </is>
      </c>
      <c r="G80" s="8" t="inlineStr"/>
    </row>
    <row r="81">
      <c r="A81" s="8" t="inlineStr">
        <is>
          <t>Banco</t>
        </is>
      </c>
      <c r="B81" s="8" t="inlineStr">
        <is>
          <t>24/04/2026</t>
        </is>
      </c>
      <c r="C81" s="8" t="inlineStr">
        <is>
          <t>108595</t>
        </is>
      </c>
      <c r="D81" s="8" t="inlineStr">
        <is>
          <t>INGRESOS BRUTOS MENDOZA</t>
        </is>
      </c>
      <c r="E81" s="9" t="n">
        <v>157.46</v>
      </c>
      <c r="F81" s="8" t="inlineStr">
        <is>
          <t>Pendiente visible en hojas Banco no Flexxus</t>
        </is>
      </c>
      <c r="G81" s="8" t="inlineStr"/>
    </row>
    <row r="82">
      <c r="A82" s="8" t="inlineStr">
        <is>
          <t>Banco</t>
        </is>
      </c>
      <c r="B82" s="8" t="inlineStr">
        <is>
          <t>24/04/2026</t>
        </is>
      </c>
      <c r="C82" s="8" t="inlineStr">
        <is>
          <t>108595</t>
        </is>
      </c>
      <c r="D82" s="8" t="inlineStr">
        <is>
          <t>GRAVAMEN LEY 25413 S/CRED</t>
        </is>
      </c>
      <c r="E82" s="9" t="n">
        <v>94.48</v>
      </c>
      <c r="F82" s="8" t="inlineStr">
        <is>
          <t>Pendiente visible en hojas Banco no Flexxus</t>
        </is>
      </c>
      <c r="G82" s="8" t="inlineStr"/>
    </row>
    <row r="83">
      <c r="A83" s="8" t="inlineStr">
        <is>
          <t>Banco</t>
        </is>
      </c>
      <c r="B83" s="8" t="inlineStr">
        <is>
          <t>24/04/2026</t>
        </is>
      </c>
      <c r="C83" s="8" t="inlineStr">
        <is>
          <t>108594</t>
        </is>
      </c>
      <c r="D83" s="8" t="inlineStr">
        <is>
          <t>INGRESOS BRUTOS MENDOZA</t>
        </is>
      </c>
      <c r="E83" s="9" t="n">
        <v>128.64</v>
      </c>
      <c r="F83" s="8" t="inlineStr">
        <is>
          <t>Pendiente visible en hojas Banco no Flexxus</t>
        </is>
      </c>
      <c r="G83" s="8" t="inlineStr"/>
    </row>
    <row r="84">
      <c r="A84" s="8" t="inlineStr">
        <is>
          <t>Banco</t>
        </is>
      </c>
      <c r="B84" s="8" t="inlineStr">
        <is>
          <t>24/04/2026</t>
        </is>
      </c>
      <c r="C84" s="8" t="inlineStr">
        <is>
          <t>108594</t>
        </is>
      </c>
      <c r="D84" s="8" t="inlineStr">
        <is>
          <t>GRAVAMEN LEY 25413 S/CRED</t>
        </is>
      </c>
      <c r="E84" s="9" t="n">
        <v>77.19</v>
      </c>
      <c r="F84" s="8" t="inlineStr">
        <is>
          <t>Pendiente visible en hojas Banco no Flexxus</t>
        </is>
      </c>
      <c r="G84" s="8" t="inlineStr"/>
    </row>
    <row r="85">
      <c r="A85" s="8" t="inlineStr">
        <is>
          <t>Banco</t>
        </is>
      </c>
      <c r="B85" s="8" t="inlineStr">
        <is>
          <t>24/04/2026</t>
        </is>
      </c>
      <c r="C85" s="8" t="inlineStr">
        <is>
          <t>108593</t>
        </is>
      </c>
      <c r="D85" s="8" t="inlineStr">
        <is>
          <t>INGRESOS BRUTOS MENDOZA</t>
        </is>
      </c>
      <c r="E85" s="9" t="n">
        <v>44.56</v>
      </c>
      <c r="F85" s="8" t="inlineStr">
        <is>
          <t>Pendiente visible en hojas Banco no Flexxus</t>
        </is>
      </c>
      <c r="G85" s="8" t="inlineStr"/>
    </row>
    <row r="86">
      <c r="A86" s="8" t="inlineStr">
        <is>
          <t>Banco</t>
        </is>
      </c>
      <c r="B86" s="8" t="inlineStr">
        <is>
          <t>24/04/2026</t>
        </is>
      </c>
      <c r="C86" s="8" t="inlineStr">
        <is>
          <t>108593</t>
        </is>
      </c>
      <c r="D86" s="8" t="inlineStr">
        <is>
          <t>GRAVAMEN LEY 25413 S/CRED</t>
        </is>
      </c>
      <c r="E86" s="9" t="n">
        <v>26.74</v>
      </c>
      <c r="F86" s="8" t="inlineStr">
        <is>
          <t>Pendiente visible en hojas Banco no Flexxus</t>
        </is>
      </c>
      <c r="G86" s="8" t="inlineStr"/>
    </row>
    <row r="87">
      <c r="A87" s="8" t="inlineStr">
        <is>
          <t>Banco</t>
        </is>
      </c>
      <c r="B87" s="8" t="inlineStr">
        <is>
          <t>24/04/2026</t>
        </is>
      </c>
      <c r="C87" s="8" t="inlineStr">
        <is>
          <t>108592</t>
        </is>
      </c>
      <c r="D87" s="8" t="inlineStr">
        <is>
          <t>INGRESOS BRUTOS MENDOZA</t>
        </is>
      </c>
      <c r="E87" s="9" t="n">
        <v>35.16</v>
      </c>
      <c r="F87" s="8" t="inlineStr">
        <is>
          <t>Pendiente visible en hojas Banco no Flexxus</t>
        </is>
      </c>
      <c r="G87" s="8" t="inlineStr"/>
    </row>
    <row r="88">
      <c r="A88" s="8" t="inlineStr">
        <is>
          <t>Banco</t>
        </is>
      </c>
      <c r="B88" s="8" t="inlineStr">
        <is>
          <t>24/04/2026</t>
        </is>
      </c>
      <c r="C88" s="8" t="inlineStr">
        <is>
          <t>108592</t>
        </is>
      </c>
      <c r="D88" s="8" t="inlineStr">
        <is>
          <t>GRAVAMEN LEY 25413 S/CRED</t>
        </is>
      </c>
      <c r="E88" s="9" t="n">
        <v>21.09</v>
      </c>
      <c r="F88" s="8" t="inlineStr">
        <is>
          <t>Pendiente visible en hojas Banco no Flexxus</t>
        </is>
      </c>
      <c r="G88" s="8" t="inlineStr"/>
    </row>
    <row r="89">
      <c r="A89" s="8" t="inlineStr">
        <is>
          <t>Banco</t>
        </is>
      </c>
      <c r="B89" s="8" t="inlineStr">
        <is>
          <t>24/04/2026</t>
        </is>
      </c>
      <c r="C89" s="8" t="inlineStr">
        <is>
          <t>108591</t>
        </is>
      </c>
      <c r="D89" s="8" t="inlineStr">
        <is>
          <t>INGRESOS BRUTOS MENDOZA</t>
        </is>
      </c>
      <c r="E89" s="9" t="n">
        <v>673.42</v>
      </c>
      <c r="F89" s="8" t="inlineStr">
        <is>
          <t>Pendiente visible en hojas Banco no Flexxus</t>
        </is>
      </c>
      <c r="G89" s="8" t="inlineStr"/>
    </row>
    <row r="90">
      <c r="A90" s="8" t="inlineStr">
        <is>
          <t>Banco</t>
        </is>
      </c>
      <c r="B90" s="8" t="inlineStr">
        <is>
          <t>24/04/2026</t>
        </is>
      </c>
      <c r="C90" s="8" t="inlineStr">
        <is>
          <t>108591</t>
        </is>
      </c>
      <c r="D90" s="8" t="inlineStr">
        <is>
          <t>GRAVAMEN LEY 25413 S/CRED</t>
        </is>
      </c>
      <c r="E90" s="9" t="n">
        <v>404.05</v>
      </c>
      <c r="F90" s="8" t="inlineStr">
        <is>
          <t>Pendiente visible en hojas Banco no Flexxus</t>
        </is>
      </c>
      <c r="G90" s="8" t="inlineStr"/>
    </row>
    <row r="91">
      <c r="A91" s="8" t="inlineStr">
        <is>
          <t>Banco</t>
        </is>
      </c>
      <c r="B91" s="8" t="inlineStr">
        <is>
          <t>24/04/2026</t>
        </is>
      </c>
      <c r="C91" s="8" t="inlineStr">
        <is>
          <t>108590</t>
        </is>
      </c>
      <c r="D91" s="8" t="inlineStr">
        <is>
          <t>INGRESOS BRUTOS MENDOZA</t>
        </is>
      </c>
      <c r="E91" s="9" t="n">
        <v>1987.57</v>
      </c>
      <c r="F91" s="8" t="inlineStr">
        <is>
          <t>Pendiente visible en hojas Banco no Flexxus</t>
        </is>
      </c>
      <c r="G91" s="8" t="inlineStr"/>
    </row>
    <row r="92">
      <c r="A92" s="8" t="inlineStr">
        <is>
          <t>Banco</t>
        </is>
      </c>
      <c r="B92" s="8" t="inlineStr">
        <is>
          <t>24/04/2026</t>
        </is>
      </c>
      <c r="C92" s="8" t="inlineStr">
        <is>
          <t>108590</t>
        </is>
      </c>
      <c r="D92" s="8" t="inlineStr">
        <is>
          <t>GRAVAMEN LEY 25413 S/CRED</t>
        </is>
      </c>
      <c r="E92" s="9" t="n">
        <v>1192.54</v>
      </c>
      <c r="F92" s="8" t="inlineStr">
        <is>
          <t>Pendiente visible en hojas Banco no Flexxus</t>
        </is>
      </c>
      <c r="G92" s="8" t="inlineStr"/>
    </row>
    <row r="93">
      <c r="A93" s="8" t="inlineStr">
        <is>
          <t>Banco</t>
        </is>
      </c>
      <c r="B93" s="8" t="inlineStr">
        <is>
          <t>24/04/2026</t>
        </is>
      </c>
      <c r="C93" s="8" t="inlineStr">
        <is>
          <t>108589</t>
        </is>
      </c>
      <c r="D93" s="8" t="inlineStr">
        <is>
          <t>INGRESOS BRUTOS MENDOZA</t>
        </is>
      </c>
      <c r="E93" s="9" t="n">
        <v>267.39</v>
      </c>
      <c r="F93" s="8" t="inlineStr">
        <is>
          <t>Pendiente visible en hojas Banco no Flexxus</t>
        </is>
      </c>
      <c r="G93" s="8" t="inlineStr"/>
    </row>
    <row r="94">
      <c r="A94" s="8" t="inlineStr">
        <is>
          <t>Banco</t>
        </is>
      </c>
      <c r="B94" s="8" t="inlineStr">
        <is>
          <t>24/04/2026</t>
        </is>
      </c>
      <c r="C94" s="8" t="inlineStr">
        <is>
          <t>108589</t>
        </is>
      </c>
      <c r="D94" s="8" t="inlineStr">
        <is>
          <t>GRAVAMEN LEY 25413 S/CRED</t>
        </is>
      </c>
      <c r="E94" s="9" t="n">
        <v>160.43</v>
      </c>
      <c r="F94" s="8" t="inlineStr">
        <is>
          <t>Pendiente visible en hojas Banco no Flexxus</t>
        </is>
      </c>
      <c r="G94" s="8" t="inlineStr"/>
    </row>
    <row r="95">
      <c r="A95" s="8" t="inlineStr">
        <is>
          <t>Banco</t>
        </is>
      </c>
      <c r="B95" s="8" t="inlineStr">
        <is>
          <t>24/04/2026</t>
        </is>
      </c>
      <c r="C95" s="8" t="inlineStr">
        <is>
          <t>108588</t>
        </is>
      </c>
      <c r="D95" s="8" t="inlineStr">
        <is>
          <t>INGRESOS BRUTOS MENDOZA</t>
        </is>
      </c>
      <c r="E95" s="9" t="n">
        <v>354.53</v>
      </c>
      <c r="F95" s="8" t="inlineStr">
        <is>
          <t>Pendiente visible en hojas Banco no Flexxus</t>
        </is>
      </c>
      <c r="G95" s="8" t="inlineStr"/>
    </row>
    <row r="96">
      <c r="A96" s="8" t="inlineStr">
        <is>
          <t>Banco</t>
        </is>
      </c>
      <c r="B96" s="8" t="inlineStr">
        <is>
          <t>24/04/2026</t>
        </is>
      </c>
      <c r="C96" s="8" t="inlineStr">
        <is>
          <t>108588</t>
        </is>
      </c>
      <c r="D96" s="8" t="inlineStr">
        <is>
          <t>GRAVAMEN LEY 25413 S/CRED</t>
        </is>
      </c>
      <c r="E96" s="9" t="n">
        <v>212.72</v>
      </c>
      <c r="F96" s="8" t="inlineStr">
        <is>
          <t>Pendiente visible en hojas Banco no Flexxus</t>
        </is>
      </c>
      <c r="G96" s="8" t="inlineStr"/>
    </row>
    <row r="97">
      <c r="A97" s="8" t="inlineStr">
        <is>
          <t>Banco</t>
        </is>
      </c>
      <c r="B97" s="8" t="inlineStr">
        <is>
          <t>24/04/2026</t>
        </is>
      </c>
      <c r="C97" s="8" t="inlineStr">
        <is>
          <t>32032899</t>
        </is>
      </c>
      <c r="D97" s="8" t="inlineStr">
        <is>
          <t>INGRESOS BRUTOS MENDOZA</t>
        </is>
      </c>
      <c r="E97" s="9" t="n">
        <v>1213.14</v>
      </c>
      <c r="F97" s="8" t="inlineStr">
        <is>
          <t>Pendiente visible en hojas Banco no Flexxus</t>
        </is>
      </c>
      <c r="G97" s="8" t="inlineStr"/>
    </row>
    <row r="98">
      <c r="A98" s="8" t="inlineStr">
        <is>
          <t>Banco</t>
        </is>
      </c>
      <c r="B98" s="8" t="inlineStr">
        <is>
          <t>24/04/2026</t>
        </is>
      </c>
      <c r="C98" s="8" t="inlineStr">
        <is>
          <t>32032899</t>
        </is>
      </c>
      <c r="D98" s="8" t="inlineStr">
        <is>
          <t>GRAVAMEN LEY 25413 S/CRED</t>
        </is>
      </c>
      <c r="E98" s="9" t="n">
        <v>727.88</v>
      </c>
      <c r="F98" s="8" t="inlineStr">
        <is>
          <t>Pendiente visible en hojas Banco no Flexxus</t>
        </is>
      </c>
      <c r="G98" s="8" t="inlineStr"/>
    </row>
    <row r="99">
      <c r="A99" s="8" t="inlineStr">
        <is>
          <t>Banco</t>
        </is>
      </c>
      <c r="B99" s="8" t="inlineStr">
        <is>
          <t>24/04/2026</t>
        </is>
      </c>
      <c r="C99" s="8" t="inlineStr">
        <is>
          <t>31995644</t>
        </is>
      </c>
      <c r="D99" s="8" t="inlineStr">
        <is>
          <t>INGRESOS BRUTOS MENDOZA</t>
        </is>
      </c>
      <c r="E99" s="9" t="n">
        <v>2913.42</v>
      </c>
      <c r="F99" s="8" t="inlineStr">
        <is>
          <t>Pendiente visible en hojas Banco no Flexxus</t>
        </is>
      </c>
      <c r="G99" s="8" t="inlineStr"/>
    </row>
    <row r="100">
      <c r="A100" s="8" t="inlineStr">
        <is>
          <t>Banco</t>
        </is>
      </c>
      <c r="B100" s="8" t="inlineStr">
        <is>
          <t>24/04/2026</t>
        </is>
      </c>
      <c r="C100" s="8" t="inlineStr">
        <is>
          <t>31995644</t>
        </is>
      </c>
      <c r="D100" s="8" t="inlineStr">
        <is>
          <t>GRAVAMEN LEY 25413 S/CRED</t>
        </is>
      </c>
      <c r="E100" s="9" t="n">
        <v>1748.05</v>
      </c>
      <c r="F100" s="8" t="inlineStr">
        <is>
          <t>Pendiente visible en hojas Banco no Flexxus</t>
        </is>
      </c>
      <c r="G100" s="8" t="inlineStr"/>
    </row>
    <row r="101">
      <c r="A101" s="8" t="inlineStr">
        <is>
          <t>Banco</t>
        </is>
      </c>
      <c r="B101" s="8" t="inlineStr">
        <is>
          <t>24/04/2026</t>
        </is>
      </c>
      <c r="C101" s="8" t="inlineStr">
        <is>
          <t>29841705</t>
        </is>
      </c>
      <c r="D101" s="8" t="inlineStr">
        <is>
          <t>INGRESOS BRUTOS MENDOZA</t>
        </is>
      </c>
      <c r="E101" s="9" t="n">
        <v>113.61</v>
      </c>
      <c r="F101" s="8" t="inlineStr">
        <is>
          <t>Pendiente visible en hojas Banco no Flexxus</t>
        </is>
      </c>
      <c r="G101" s="8" t="inlineStr"/>
    </row>
    <row r="102">
      <c r="A102" s="8" t="inlineStr">
        <is>
          <t>Banco</t>
        </is>
      </c>
      <c r="B102" s="8" t="inlineStr">
        <is>
          <t>24/04/2026</t>
        </is>
      </c>
      <c r="C102" s="8" t="inlineStr">
        <is>
          <t>29841705</t>
        </is>
      </c>
      <c r="D102" s="8" t="inlineStr">
        <is>
          <t>GRAVAMEN LEY 25413 S/CRED</t>
        </is>
      </c>
      <c r="E102" s="9" t="n">
        <v>68.17</v>
      </c>
      <c r="F102" s="8" t="inlineStr">
        <is>
          <t>Pendiente visible en hojas Banco no Flexxus</t>
        </is>
      </c>
      <c r="G102" s="8" t="inlineStr"/>
    </row>
    <row r="103">
      <c r="A103" s="8" t="inlineStr">
        <is>
          <t>Banco</t>
        </is>
      </c>
      <c r="B103" s="8" t="inlineStr">
        <is>
          <t>24/04/2026</t>
        </is>
      </c>
      <c r="C103" s="8" t="inlineStr">
        <is>
          <t>29841683</t>
        </is>
      </c>
      <c r="D103" s="8" t="inlineStr">
        <is>
          <t>INGRESOS BRUTOS MENDOZA</t>
        </is>
      </c>
      <c r="E103" s="9" t="n">
        <v>583.85</v>
      </c>
      <c r="F103" s="8" t="inlineStr">
        <is>
          <t>Pendiente visible en hojas Banco no Flexxus</t>
        </is>
      </c>
      <c r="G103" s="8" t="inlineStr"/>
    </row>
    <row r="104">
      <c r="A104" s="8" t="inlineStr">
        <is>
          <t>Banco</t>
        </is>
      </c>
      <c r="B104" s="8" t="inlineStr">
        <is>
          <t>24/04/2026</t>
        </is>
      </c>
      <c r="C104" s="8" t="inlineStr">
        <is>
          <t>29841683</t>
        </is>
      </c>
      <c r="D104" s="8" t="inlineStr">
        <is>
          <t>GRAVAMEN LEY 25413 S/CRED</t>
        </is>
      </c>
      <c r="E104" s="9" t="n">
        <v>350.31</v>
      </c>
      <c r="F104" s="8" t="inlineStr">
        <is>
          <t>Pendiente visible en hojas Banco no Flexxus</t>
        </is>
      </c>
      <c r="G104" s="8" t="inlineStr"/>
    </row>
    <row r="105">
      <c r="A105" s="8" t="inlineStr">
        <is>
          <t>Banco</t>
        </is>
      </c>
      <c r="B105" s="8" t="inlineStr">
        <is>
          <t>24/04/2026</t>
        </is>
      </c>
      <c r="C105" s="8" t="inlineStr">
        <is>
          <t>29841670</t>
        </is>
      </c>
      <c r="D105" s="8" t="inlineStr">
        <is>
          <t>INGRESOS BRUTOS MENDOZA</t>
        </is>
      </c>
      <c r="E105" s="9" t="n">
        <v>608.55</v>
      </c>
      <c r="F105" s="8" t="inlineStr">
        <is>
          <t>Pendiente visible en hojas Banco no Flexxus</t>
        </is>
      </c>
      <c r="G105" s="8" t="inlineStr"/>
    </row>
    <row r="106">
      <c r="A106" s="8" t="inlineStr">
        <is>
          <t>Banco</t>
        </is>
      </c>
      <c r="B106" s="8" t="inlineStr">
        <is>
          <t>24/04/2026</t>
        </is>
      </c>
      <c r="C106" s="8" t="inlineStr">
        <is>
          <t>29841670</t>
        </is>
      </c>
      <c r="D106" s="8" t="inlineStr">
        <is>
          <t>GRAVAMEN LEY 25413 S/CRED</t>
        </is>
      </c>
      <c r="E106" s="9" t="n">
        <v>365.13</v>
      </c>
      <c r="F106" s="8" t="inlineStr">
        <is>
          <t>Pendiente visible en hojas Banco no Flexxus</t>
        </is>
      </c>
      <c r="G106" s="8" t="inlineStr"/>
    </row>
    <row r="107">
      <c r="A107" s="8" t="inlineStr">
        <is>
          <t>Banco</t>
        </is>
      </c>
      <c r="B107" s="8" t="inlineStr">
        <is>
          <t>24/04/2026</t>
        </is>
      </c>
      <c r="C107" s="8" t="inlineStr">
        <is>
          <t>29841642</t>
        </is>
      </c>
      <c r="D107" s="8" t="inlineStr">
        <is>
          <t>INGRESOS BRUTOS MENDOZA</t>
        </is>
      </c>
      <c r="E107" s="9" t="n">
        <v>237.1</v>
      </c>
      <c r="F107" s="8" t="inlineStr">
        <is>
          <t>Pendiente visible en hojas Banco no Flexxus</t>
        </is>
      </c>
      <c r="G107" s="8" t="inlineStr"/>
    </row>
    <row r="108">
      <c r="A108" s="8" t="inlineStr">
        <is>
          <t>Banco</t>
        </is>
      </c>
      <c r="B108" s="8" t="inlineStr">
        <is>
          <t>24/04/2026</t>
        </is>
      </c>
      <c r="C108" s="8" t="inlineStr">
        <is>
          <t>29841642</t>
        </is>
      </c>
      <c r="D108" s="8" t="inlineStr">
        <is>
          <t>GRAVAMEN LEY 25413 S/CRED</t>
        </is>
      </c>
      <c r="E108" s="9" t="n">
        <v>142.26</v>
      </c>
      <c r="F108" s="8" t="inlineStr">
        <is>
          <t>Pendiente visible en hojas Banco no Flexxus</t>
        </is>
      </c>
      <c r="G108" s="8" t="inlineStr"/>
    </row>
    <row r="109">
      <c r="A109" s="8" t="inlineStr">
        <is>
          <t>Banco</t>
        </is>
      </c>
      <c r="B109" s="8" t="inlineStr">
        <is>
          <t>24/04/2026</t>
        </is>
      </c>
      <c r="C109" s="8" t="inlineStr">
        <is>
          <t>29841627</t>
        </is>
      </c>
      <c r="D109" s="8" t="inlineStr">
        <is>
          <t>INGRESOS BRUTOS MENDOZA</t>
        </is>
      </c>
      <c r="E109" s="9" t="n">
        <v>266.73</v>
      </c>
      <c r="F109" s="8" t="inlineStr">
        <is>
          <t>Pendiente visible en hojas Banco no Flexxus</t>
        </is>
      </c>
      <c r="G109" s="8" t="inlineStr"/>
    </row>
    <row r="110">
      <c r="A110" s="8" t="inlineStr">
        <is>
          <t>Banco</t>
        </is>
      </c>
      <c r="B110" s="8" t="inlineStr">
        <is>
          <t>24/04/2026</t>
        </is>
      </c>
      <c r="C110" s="8" t="inlineStr">
        <is>
          <t>29841627</t>
        </is>
      </c>
      <c r="D110" s="8" t="inlineStr">
        <is>
          <t>GRAVAMEN LEY 25413 S/CRED</t>
        </is>
      </c>
      <c r="E110" s="9" t="n">
        <v>160.04</v>
      </c>
      <c r="F110" s="8" t="inlineStr">
        <is>
          <t>Pendiente visible en hojas Banco no Flexxus</t>
        </is>
      </c>
      <c r="G110" s="8" t="inlineStr"/>
    </row>
    <row r="111">
      <c r="A111" s="8" t="inlineStr">
        <is>
          <t>Banco</t>
        </is>
      </c>
      <c r="B111" s="8" t="inlineStr">
        <is>
          <t>24/04/2026</t>
        </is>
      </c>
      <c r="C111" s="8" t="inlineStr">
        <is>
          <t>32032899</t>
        </is>
      </c>
      <c r="D111" s="8" t="inlineStr">
        <is>
          <t>INGRESOS BRUTOS MENDOZA</t>
        </is>
      </c>
      <c r="E111" s="9" t="n">
        <v>2914.41</v>
      </c>
      <c r="F111" s="8" t="inlineStr">
        <is>
          <t>Pendiente visible en hojas Banco no Flexxus</t>
        </is>
      </c>
      <c r="G111" s="8" t="inlineStr"/>
    </row>
    <row r="112">
      <c r="A112" s="8" t="inlineStr">
        <is>
          <t>Banco</t>
        </is>
      </c>
      <c r="B112" s="8" t="inlineStr">
        <is>
          <t>24/04/2026</t>
        </is>
      </c>
      <c r="C112" s="8" t="inlineStr">
        <is>
          <t>32032899</t>
        </is>
      </c>
      <c r="D112" s="8" t="inlineStr">
        <is>
          <t>GRAVAMEN LEY 25413 S/CRED</t>
        </is>
      </c>
      <c r="E112" s="9" t="n">
        <v>1748.64</v>
      </c>
      <c r="F112" s="8" t="inlineStr">
        <is>
          <t>Pendiente visible en hojas Banco no Flexxus</t>
        </is>
      </c>
      <c r="G112" s="8" t="inlineStr"/>
    </row>
    <row r="113">
      <c r="A113" s="8" t="inlineStr">
        <is>
          <t>Banco</t>
        </is>
      </c>
      <c r="B113" s="8" t="inlineStr">
        <is>
          <t>24/04/2026</t>
        </is>
      </c>
      <c r="C113" s="8" t="inlineStr">
        <is>
          <t>32032899</t>
        </is>
      </c>
      <c r="D113" s="8" t="inlineStr">
        <is>
          <t>INGRESOS BRUTOS MENDOZA</t>
        </is>
      </c>
      <c r="E113" s="9" t="n">
        <v>416.72</v>
      </c>
      <c r="F113" s="8" t="inlineStr">
        <is>
          <t>Pendiente visible en hojas Banco no Flexxus</t>
        </is>
      </c>
      <c r="G113" s="8" t="inlineStr"/>
    </row>
    <row r="114">
      <c r="A114" s="8" t="inlineStr">
        <is>
          <t>Banco</t>
        </is>
      </c>
      <c r="B114" s="8" t="inlineStr">
        <is>
          <t>24/04/2026</t>
        </is>
      </c>
      <c r="C114" s="8" t="inlineStr">
        <is>
          <t>32032899</t>
        </is>
      </c>
      <c r="D114" s="8" t="inlineStr">
        <is>
          <t>GRAVAMEN LEY 25413 S/CRED</t>
        </is>
      </c>
      <c r="E114" s="9" t="n">
        <v>250.03</v>
      </c>
      <c r="F114" s="8" t="inlineStr">
        <is>
          <t>Pendiente visible en hojas Banco no Flexxus</t>
        </is>
      </c>
      <c r="G114" s="8" t="inlineStr"/>
    </row>
    <row r="115">
      <c r="A115" s="8" t="inlineStr">
        <is>
          <t>Banco</t>
        </is>
      </c>
      <c r="B115" s="8" t="inlineStr">
        <is>
          <t>24/04/2026</t>
        </is>
      </c>
      <c r="C115" s="8" t="inlineStr">
        <is>
          <t>32032899</t>
        </is>
      </c>
      <c r="D115" s="8" t="inlineStr">
        <is>
          <t>INGRESOS BRUTOS MENDOZA</t>
        </is>
      </c>
      <c r="E115" s="9" t="n">
        <v>1157.95</v>
      </c>
      <c r="F115" s="8" t="inlineStr">
        <is>
          <t>Pendiente visible en hojas Banco no Flexxus</t>
        </is>
      </c>
      <c r="G115" s="8" t="inlineStr"/>
    </row>
    <row r="116">
      <c r="A116" s="8" t="inlineStr">
        <is>
          <t>Banco</t>
        </is>
      </c>
      <c r="B116" s="8" t="inlineStr">
        <is>
          <t>24/04/2026</t>
        </is>
      </c>
      <c r="C116" s="8" t="inlineStr">
        <is>
          <t>32032899</t>
        </is>
      </c>
      <c r="D116" s="8" t="inlineStr">
        <is>
          <t>GRAVAMEN LEY 25413 S/CRED</t>
        </is>
      </c>
      <c r="E116" s="9" t="n">
        <v>694.77</v>
      </c>
      <c r="F116" s="8" t="inlineStr">
        <is>
          <t>Pendiente visible en hojas Banco no Flexxus</t>
        </is>
      </c>
      <c r="G116" s="8" t="inlineStr"/>
    </row>
    <row r="117">
      <c r="A117" s="8" t="inlineStr">
        <is>
          <t>Banco</t>
        </is>
      </c>
      <c r="B117" s="8" t="inlineStr">
        <is>
          <t>24/04/2026</t>
        </is>
      </c>
      <c r="C117" s="8" t="inlineStr">
        <is>
          <t>31995644</t>
        </is>
      </c>
      <c r="D117" s="8" t="inlineStr">
        <is>
          <t>INGRESOS BRUTOS MENDOZA</t>
        </is>
      </c>
      <c r="E117" s="9" t="n">
        <v>836.25</v>
      </c>
      <c r="F117" s="8" t="inlineStr">
        <is>
          <t>Pendiente visible en hojas Banco no Flexxus</t>
        </is>
      </c>
      <c r="G117" s="8" t="inlineStr"/>
    </row>
    <row r="118">
      <c r="A118" s="8" t="inlineStr">
        <is>
          <t>Banco</t>
        </is>
      </c>
      <c r="B118" s="8" t="inlineStr">
        <is>
          <t>24/04/2026</t>
        </is>
      </c>
      <c r="C118" s="8" t="inlineStr">
        <is>
          <t>31995644</t>
        </is>
      </c>
      <c r="D118" s="8" t="inlineStr">
        <is>
          <t>GRAVAMEN LEY 25413 S/CRED</t>
        </is>
      </c>
      <c r="E118" s="9" t="n">
        <v>501.75</v>
      </c>
      <c r="F118" s="8" t="inlineStr">
        <is>
          <t>Pendiente visible en hojas Banco no Flexxus</t>
        </is>
      </c>
      <c r="G118" s="8" t="inlineStr"/>
    </row>
    <row r="119">
      <c r="A119" s="8" t="inlineStr">
        <is>
          <t>Banco</t>
        </is>
      </c>
      <c r="B119" s="8" t="inlineStr">
        <is>
          <t>24/04/2026</t>
        </is>
      </c>
      <c r="C119" s="8" t="inlineStr">
        <is>
          <t>29841683</t>
        </is>
      </c>
      <c r="D119" s="8" t="inlineStr">
        <is>
          <t>INGRESOS BRUTOS MENDOZA</t>
        </is>
      </c>
      <c r="E119" s="9" t="n">
        <v>475.18</v>
      </c>
      <c r="F119" s="8" t="inlineStr">
        <is>
          <t>Pendiente visible en hojas Banco no Flexxus</t>
        </is>
      </c>
      <c r="G119" s="8" t="inlineStr"/>
    </row>
    <row r="120">
      <c r="A120" s="8" t="inlineStr">
        <is>
          <t>Banco</t>
        </is>
      </c>
      <c r="B120" s="8" t="inlineStr">
        <is>
          <t>24/04/2026</t>
        </is>
      </c>
      <c r="C120" s="8" t="inlineStr">
        <is>
          <t>29841683</t>
        </is>
      </c>
      <c r="D120" s="8" t="inlineStr">
        <is>
          <t>GRAVAMEN LEY 25413 S/CRED</t>
        </is>
      </c>
      <c r="E120" s="9" t="n">
        <v>285.11</v>
      </c>
      <c r="F120" s="8" t="inlineStr">
        <is>
          <t>Pendiente visible en hojas Banco no Flexxus</t>
        </is>
      </c>
      <c r="G120" s="8" t="inlineStr"/>
    </row>
    <row r="121">
      <c r="A121" s="8" t="inlineStr">
        <is>
          <t>Banco</t>
        </is>
      </c>
      <c r="B121" s="8" t="inlineStr">
        <is>
          <t>24/04/2026</t>
        </is>
      </c>
      <c r="C121" s="8" t="inlineStr">
        <is>
          <t>32032899</t>
        </is>
      </c>
      <c r="D121" s="8" t="inlineStr">
        <is>
          <t>INGRESOS BRUTOS MENDOZA</t>
        </is>
      </c>
      <c r="E121" s="9" t="n">
        <v>6470.29</v>
      </c>
      <c r="F121" s="8" t="inlineStr">
        <is>
          <t>Pendiente visible en hojas Banco no Flexxus</t>
        </is>
      </c>
      <c r="G121" s="8" t="inlineStr"/>
    </row>
    <row r="122">
      <c r="A122" s="8" t="inlineStr">
        <is>
          <t>Banco</t>
        </is>
      </c>
      <c r="B122" s="8" t="inlineStr">
        <is>
          <t>24/04/2026</t>
        </is>
      </c>
      <c r="C122" s="8" t="inlineStr">
        <is>
          <t>32032899</t>
        </is>
      </c>
      <c r="D122" s="8" t="inlineStr">
        <is>
          <t>GRAVAMEN LEY 25413 S/CRED</t>
        </is>
      </c>
      <c r="E122" s="9" t="n">
        <v>3882.17</v>
      </c>
      <c r="F122" s="8" t="inlineStr">
        <is>
          <t>Pendiente visible en hojas Banco no Flexxus</t>
        </is>
      </c>
      <c r="G122" s="8" t="inlineStr"/>
    </row>
    <row r="123">
      <c r="A123" s="8" t="inlineStr">
        <is>
          <t>Banco</t>
        </is>
      </c>
      <c r="B123" s="8" t="inlineStr">
        <is>
          <t>24/04/2026</t>
        </is>
      </c>
      <c r="C123" s="8" t="inlineStr">
        <is>
          <t>32032899</t>
        </is>
      </c>
      <c r="D123" s="8" t="inlineStr">
        <is>
          <t>INGRESOS BRUTOS MENDOZA</t>
        </is>
      </c>
      <c r="E123" s="9" t="n">
        <v>1199.61</v>
      </c>
      <c r="F123" s="8" t="inlineStr">
        <is>
          <t>Pendiente visible en hojas Banco no Flexxus</t>
        </is>
      </c>
      <c r="G123" s="8" t="inlineStr"/>
    </row>
    <row r="124">
      <c r="A124" s="8" t="inlineStr">
        <is>
          <t>Banco</t>
        </is>
      </c>
      <c r="B124" s="8" t="inlineStr">
        <is>
          <t>24/04/2026</t>
        </is>
      </c>
      <c r="C124" s="8" t="inlineStr">
        <is>
          <t>32032899</t>
        </is>
      </c>
      <c r="D124" s="8" t="inlineStr">
        <is>
          <t>GRAVAMEN LEY 25413 S/CRED</t>
        </is>
      </c>
      <c r="E124" s="9" t="n">
        <v>719.77</v>
      </c>
      <c r="F124" s="8" t="inlineStr">
        <is>
          <t>Pendiente visible en hojas Banco no Flexxus</t>
        </is>
      </c>
      <c r="G124" s="8" t="inlineStr"/>
    </row>
    <row r="125">
      <c r="A125" s="8" t="inlineStr">
        <is>
          <t>Banco</t>
        </is>
      </c>
      <c r="B125" s="8" t="inlineStr">
        <is>
          <t>24/04/2026</t>
        </is>
      </c>
      <c r="C125" s="8" t="inlineStr">
        <is>
          <t>31995644</t>
        </is>
      </c>
      <c r="D125" s="8" t="inlineStr">
        <is>
          <t>INGRESOS BRUTOS MENDOZA</t>
        </is>
      </c>
      <c r="E125" s="9" t="n">
        <v>3029.5</v>
      </c>
      <c r="F125" s="8" t="inlineStr">
        <is>
          <t>Pendiente visible en hojas Banco no Flexxus</t>
        </is>
      </c>
      <c r="G125" s="8" t="inlineStr"/>
    </row>
    <row r="126">
      <c r="A126" s="8" t="inlineStr">
        <is>
          <t>Banco</t>
        </is>
      </c>
      <c r="B126" s="8" t="inlineStr">
        <is>
          <t>24/04/2026</t>
        </is>
      </c>
      <c r="C126" s="8" t="inlineStr">
        <is>
          <t>31995644</t>
        </is>
      </c>
      <c r="D126" s="8" t="inlineStr">
        <is>
          <t>GRAVAMEN LEY 25413 S/CRED</t>
        </is>
      </c>
      <c r="E126" s="9" t="n">
        <v>1817.7</v>
      </c>
      <c r="F126" s="8" t="inlineStr">
        <is>
          <t>Pendiente visible en hojas Banco no Flexxus</t>
        </is>
      </c>
      <c r="G126" s="8" t="inlineStr"/>
    </row>
    <row r="127">
      <c r="A127" s="8" t="inlineStr">
        <is>
          <t>Banco</t>
        </is>
      </c>
      <c r="B127" s="8" t="inlineStr">
        <is>
          <t>24/04/2026</t>
        </is>
      </c>
      <c r="C127" s="8" t="inlineStr">
        <is>
          <t>31995644</t>
        </is>
      </c>
      <c r="D127" s="8" t="inlineStr">
        <is>
          <t>INGRESOS BRUTOS MENDOZA</t>
        </is>
      </c>
      <c r="E127" s="9" t="n">
        <v>4351.65</v>
      </c>
      <c r="F127" s="8" t="inlineStr">
        <is>
          <t>Pendiente visible en hojas Banco no Flexxus</t>
        </is>
      </c>
      <c r="G127" s="8" t="inlineStr"/>
    </row>
    <row r="128">
      <c r="A128" s="8" t="inlineStr">
        <is>
          <t>Banco</t>
        </is>
      </c>
      <c r="B128" s="8" t="inlineStr">
        <is>
          <t>24/04/2026</t>
        </is>
      </c>
      <c r="C128" s="8" t="inlineStr">
        <is>
          <t>31995644</t>
        </is>
      </c>
      <c r="D128" s="8" t="inlineStr">
        <is>
          <t>GRAVAMEN LEY 25413 S/CRED</t>
        </is>
      </c>
      <c r="E128" s="9" t="n">
        <v>2610.99</v>
      </c>
      <c r="F128" s="8" t="inlineStr">
        <is>
          <t>Pendiente visible en hojas Banco no Flexxus</t>
        </is>
      </c>
      <c r="G128" s="8" t="inlineStr"/>
    </row>
    <row r="129">
      <c r="A129" s="8" t="inlineStr">
        <is>
          <t>Banco</t>
        </is>
      </c>
      <c r="B129" s="8" t="inlineStr">
        <is>
          <t>24/04/2026</t>
        </is>
      </c>
      <c r="C129" s="8" t="inlineStr">
        <is>
          <t>29841705</t>
        </is>
      </c>
      <c r="D129" s="8" t="inlineStr">
        <is>
          <t>INGRESOS BRUTOS MENDOZA</t>
        </is>
      </c>
      <c r="E129" s="9" t="n">
        <v>75.31999999999999</v>
      </c>
      <c r="F129" s="8" t="inlineStr">
        <is>
          <t>Pendiente visible en hojas Banco no Flexxus</t>
        </is>
      </c>
      <c r="G129" s="8" t="inlineStr"/>
    </row>
    <row r="130">
      <c r="A130" s="8" t="inlineStr">
        <is>
          <t>Banco</t>
        </is>
      </c>
      <c r="B130" s="8" t="inlineStr">
        <is>
          <t>24/04/2026</t>
        </is>
      </c>
      <c r="C130" s="8" t="inlineStr">
        <is>
          <t>29841705</t>
        </is>
      </c>
      <c r="D130" s="8" t="inlineStr">
        <is>
          <t>GRAVAMEN LEY 25413 S/CRED</t>
        </is>
      </c>
      <c r="E130" s="9" t="n">
        <v>45.19</v>
      </c>
      <c r="F130" s="8" t="inlineStr">
        <is>
          <t>Pendiente visible en hojas Banco no Flexxus</t>
        </is>
      </c>
      <c r="G130" s="8" t="inlineStr"/>
    </row>
    <row r="131">
      <c r="A131" s="8" t="inlineStr">
        <is>
          <t>Banco</t>
        </is>
      </c>
      <c r="B131" s="8" t="inlineStr">
        <is>
          <t>24/04/2026</t>
        </is>
      </c>
      <c r="C131" s="8" t="inlineStr">
        <is>
          <t>29841705</t>
        </is>
      </c>
      <c r="D131" s="8" t="inlineStr">
        <is>
          <t>INGRESOS BRUTOS MENDOZA</t>
        </is>
      </c>
      <c r="E131" s="9" t="n">
        <v>411.83</v>
      </c>
      <c r="F131" s="8" t="inlineStr">
        <is>
          <t>Pendiente visible en hojas Banco no Flexxus</t>
        </is>
      </c>
      <c r="G131" s="8" t="inlineStr"/>
    </row>
    <row r="132">
      <c r="A132" s="8" t="inlineStr">
        <is>
          <t>Banco</t>
        </is>
      </c>
      <c r="B132" s="8" t="inlineStr">
        <is>
          <t>24/04/2026</t>
        </is>
      </c>
      <c r="C132" s="8" t="inlineStr">
        <is>
          <t>29841705</t>
        </is>
      </c>
      <c r="D132" s="8" t="inlineStr">
        <is>
          <t>GRAVAMEN LEY 25413 S/CRED</t>
        </is>
      </c>
      <c r="E132" s="9" t="n">
        <v>247.1</v>
      </c>
      <c r="F132" s="8" t="inlineStr">
        <is>
          <t>Pendiente visible en hojas Banco no Flexxus</t>
        </is>
      </c>
      <c r="G132" s="8" t="inlineStr"/>
    </row>
    <row r="133">
      <c r="A133" s="8" t="inlineStr">
        <is>
          <t>Banco</t>
        </is>
      </c>
      <c r="B133" s="8" t="inlineStr">
        <is>
          <t>24/04/2026</t>
        </is>
      </c>
      <c r="C133" s="8" t="inlineStr">
        <is>
          <t>29841670</t>
        </is>
      </c>
      <c r="D133" s="8" t="inlineStr">
        <is>
          <t>INGRESOS BRUTOS MENDOZA</t>
        </is>
      </c>
      <c r="E133" s="9" t="n">
        <v>1209.39</v>
      </c>
      <c r="F133" s="8" t="inlineStr">
        <is>
          <t>Pendiente visible en hojas Banco no Flexxus</t>
        </is>
      </c>
      <c r="G133" s="8" t="inlineStr"/>
    </row>
    <row r="134">
      <c r="A134" s="8" t="inlineStr">
        <is>
          <t>Banco</t>
        </is>
      </c>
      <c r="B134" s="8" t="inlineStr">
        <is>
          <t>24/04/2026</t>
        </is>
      </c>
      <c r="C134" s="8" t="inlineStr">
        <is>
          <t>29841670</t>
        </is>
      </c>
      <c r="D134" s="8" t="inlineStr">
        <is>
          <t>GRAVAMEN LEY 25413 S/CRED</t>
        </is>
      </c>
      <c r="E134" s="9" t="n">
        <v>725.63</v>
      </c>
      <c r="F134" s="8" t="inlineStr">
        <is>
          <t>Pendiente visible en hojas Banco no Flexxus</t>
        </is>
      </c>
      <c r="G134" s="8" t="inlineStr"/>
    </row>
    <row r="135">
      <c r="A135" s="8" t="inlineStr">
        <is>
          <t>Banco</t>
        </is>
      </c>
      <c r="B135" s="8" t="inlineStr">
        <is>
          <t>24/04/2026</t>
        </is>
      </c>
      <c r="C135" s="8" t="inlineStr">
        <is>
          <t>32032899</t>
        </is>
      </c>
      <c r="D135" s="8" t="inlineStr">
        <is>
          <t>INGRESOS BRUTOS MENDOZA</t>
        </is>
      </c>
      <c r="E135" s="9" t="n">
        <v>912.6799999999999</v>
      </c>
      <c r="F135" s="8" t="inlineStr">
        <is>
          <t>Pendiente visible en hojas Banco no Flexxus</t>
        </is>
      </c>
      <c r="G135" s="8" t="inlineStr"/>
    </row>
    <row r="136">
      <c r="A136" s="8" t="inlineStr">
        <is>
          <t>Banco</t>
        </is>
      </c>
      <c r="B136" s="8" t="inlineStr">
        <is>
          <t>24/04/2026</t>
        </is>
      </c>
      <c r="C136" s="8" t="inlineStr">
        <is>
          <t>32032899</t>
        </is>
      </c>
      <c r="D136" s="8" t="inlineStr">
        <is>
          <t>GRAVAMEN LEY 25413 S/CRED</t>
        </is>
      </c>
      <c r="E136" s="9" t="n">
        <v>547.61</v>
      </c>
      <c r="F136" s="8" t="inlineStr">
        <is>
          <t>Pendiente visible en hojas Banco no Flexxus</t>
        </is>
      </c>
      <c r="G136" s="8" t="inlineStr"/>
    </row>
    <row r="137">
      <c r="A137" s="8" t="inlineStr">
        <is>
          <t>Banco</t>
        </is>
      </c>
      <c r="B137" s="8" t="inlineStr">
        <is>
          <t>24/04/2026</t>
        </is>
      </c>
      <c r="C137" s="8" t="inlineStr">
        <is>
          <t>31995644</t>
        </is>
      </c>
      <c r="D137" s="8" t="inlineStr">
        <is>
          <t>INGRESOS BRUTOS MENDOZA</t>
        </is>
      </c>
      <c r="E137" s="9" t="n">
        <v>1187.23</v>
      </c>
      <c r="F137" s="8" t="inlineStr">
        <is>
          <t>Pendiente visible en hojas Banco no Flexxus</t>
        </is>
      </c>
      <c r="G137" s="8" t="inlineStr"/>
    </row>
    <row r="138">
      <c r="A138" s="8" t="inlineStr">
        <is>
          <t>Banco</t>
        </is>
      </c>
      <c r="B138" s="8" t="inlineStr">
        <is>
          <t>24/04/2026</t>
        </is>
      </c>
      <c r="C138" s="8" t="inlineStr">
        <is>
          <t>31995644</t>
        </is>
      </c>
      <c r="D138" s="8" t="inlineStr">
        <is>
          <t>GRAVAMEN LEY 25413 S/CRED</t>
        </is>
      </c>
      <c r="E138" s="9" t="n">
        <v>712.34</v>
      </c>
      <c r="F138" s="8" t="inlineStr">
        <is>
          <t>Pendiente visible en hojas Banco no Flexxus</t>
        </is>
      </c>
      <c r="G138" s="8" t="inlineStr"/>
    </row>
    <row r="139">
      <c r="A139" s="8" t="inlineStr">
        <is>
          <t>Banco</t>
        </is>
      </c>
      <c r="B139" s="8" t="inlineStr">
        <is>
          <t>24/04/2026</t>
        </is>
      </c>
      <c r="C139" s="8" t="inlineStr">
        <is>
          <t>31995644</t>
        </is>
      </c>
      <c r="D139" s="8" t="inlineStr">
        <is>
          <t>INGRESOS BRUTOS MENDOZA</t>
        </is>
      </c>
      <c r="E139" s="9" t="n">
        <v>1330.62</v>
      </c>
      <c r="F139" s="8" t="inlineStr">
        <is>
          <t>Pendiente visible en hojas Banco no Flexxus</t>
        </is>
      </c>
      <c r="G139" s="8" t="inlineStr"/>
    </row>
    <row r="140">
      <c r="A140" s="8" t="inlineStr">
        <is>
          <t>Banco</t>
        </is>
      </c>
      <c r="B140" s="8" t="inlineStr">
        <is>
          <t>24/04/2026</t>
        </is>
      </c>
      <c r="C140" s="8" t="inlineStr">
        <is>
          <t>31995644</t>
        </is>
      </c>
      <c r="D140" s="8" t="inlineStr">
        <is>
          <t>GRAVAMEN LEY 25413 S/CRED</t>
        </is>
      </c>
      <c r="E140" s="9" t="n">
        <v>798.37</v>
      </c>
      <c r="F140" s="8" t="inlineStr">
        <is>
          <t>Pendiente visible en hojas Banco no Flexxus</t>
        </is>
      </c>
      <c r="G140" s="8" t="inlineStr"/>
    </row>
    <row r="141">
      <c r="A141" s="8" t="inlineStr">
        <is>
          <t>Banco</t>
        </is>
      </c>
      <c r="B141" s="8" t="inlineStr">
        <is>
          <t>24/04/2026</t>
        </is>
      </c>
      <c r="C141" s="8" t="inlineStr">
        <is>
          <t>29841683</t>
        </is>
      </c>
      <c r="D141" s="8" t="inlineStr">
        <is>
          <t>INGRESOS BRUTOS MENDOZA</t>
        </is>
      </c>
      <c r="E141" s="9" t="n">
        <v>607.47</v>
      </c>
      <c r="F141" s="8" t="inlineStr">
        <is>
          <t>Pendiente visible en hojas Banco no Flexxus</t>
        </is>
      </c>
      <c r="G141" s="8" t="inlineStr"/>
    </row>
    <row r="142">
      <c r="A142" s="8" t="inlineStr">
        <is>
          <t>Banco</t>
        </is>
      </c>
      <c r="B142" s="8" t="inlineStr">
        <is>
          <t>24/04/2026</t>
        </is>
      </c>
      <c r="C142" s="8" t="inlineStr">
        <is>
          <t>29841683</t>
        </is>
      </c>
      <c r="D142" s="8" t="inlineStr">
        <is>
          <t>GRAVAMEN LEY 25413 S/CRED</t>
        </is>
      </c>
      <c r="E142" s="9" t="n">
        <v>364.48</v>
      </c>
      <c r="F142" s="8" t="inlineStr">
        <is>
          <t>Pendiente visible en hojas Banco no Flexxus</t>
        </is>
      </c>
      <c r="G142" s="8" t="inlineStr"/>
    </row>
    <row r="143">
      <c r="A143" s="8" t="inlineStr">
        <is>
          <t>Banco</t>
        </is>
      </c>
      <c r="B143" s="8" t="inlineStr">
        <is>
          <t>24/04/2026</t>
        </is>
      </c>
      <c r="C143" s="8" t="inlineStr">
        <is>
          <t>29841670</t>
        </is>
      </c>
      <c r="D143" s="8" t="inlineStr">
        <is>
          <t>INGRESOS BRUTOS MENDOZA</t>
        </is>
      </c>
      <c r="E143" s="9" t="n">
        <v>211.3</v>
      </c>
      <c r="F143" s="8" t="inlineStr">
        <is>
          <t>Pendiente visible en hojas Banco no Flexxus</t>
        </is>
      </c>
      <c r="G143" s="8" t="inlineStr"/>
    </row>
    <row r="144">
      <c r="A144" s="8" t="inlineStr">
        <is>
          <t>Banco</t>
        </is>
      </c>
      <c r="B144" s="8" t="inlineStr">
        <is>
          <t>24/04/2026</t>
        </is>
      </c>
      <c r="C144" s="8" t="inlineStr">
        <is>
          <t>29841670</t>
        </is>
      </c>
      <c r="D144" s="8" t="inlineStr">
        <is>
          <t>GRAVAMEN LEY 25413 S/CRED</t>
        </is>
      </c>
      <c r="E144" s="9" t="n">
        <v>126.78</v>
      </c>
      <c r="F144" s="8" t="inlineStr">
        <is>
          <t>Pendiente visible en hojas Banco no Flexxus</t>
        </is>
      </c>
      <c r="G144" s="8" t="inlineStr"/>
    </row>
    <row r="145">
      <c r="A145" s="8" t="inlineStr">
        <is>
          <t>Banco</t>
        </is>
      </c>
      <c r="B145" s="8" t="inlineStr">
        <is>
          <t>24/04/2026</t>
        </is>
      </c>
      <c r="C145" s="8" t="inlineStr">
        <is>
          <t>108562</t>
        </is>
      </c>
      <c r="D145" s="8" t="inlineStr">
        <is>
          <t>INGRESOS BRUTOS MENDOZA</t>
        </is>
      </c>
      <c r="E145" s="9" t="n">
        <v>227.77</v>
      </c>
      <c r="F145" s="8" t="inlineStr">
        <is>
          <t>Pendiente visible en hojas Banco no Flexxus</t>
        </is>
      </c>
      <c r="G145" s="8" t="inlineStr"/>
    </row>
    <row r="146">
      <c r="A146" s="8" t="inlineStr">
        <is>
          <t>Banco</t>
        </is>
      </c>
      <c r="B146" s="8" t="inlineStr">
        <is>
          <t>24/04/2026</t>
        </is>
      </c>
      <c r="C146" s="8" t="inlineStr">
        <is>
          <t>108562</t>
        </is>
      </c>
      <c r="D146" s="8" t="inlineStr">
        <is>
          <t>GRAVAMEN LEY 25413 S/CRED</t>
        </is>
      </c>
      <c r="E146" s="9" t="n">
        <v>136.66</v>
      </c>
      <c r="F146" s="8" t="inlineStr">
        <is>
          <t>Pendiente visible en hojas Banco no Flexxus</t>
        </is>
      </c>
      <c r="G146" s="8" t="inlineStr"/>
    </row>
    <row r="147">
      <c r="A147" s="8" t="inlineStr">
        <is>
          <t>Banco</t>
        </is>
      </c>
      <c r="B147" s="8" t="inlineStr">
        <is>
          <t>24/04/2026</t>
        </is>
      </c>
      <c r="C147" s="8" t="inlineStr">
        <is>
          <t>3027923</t>
        </is>
      </c>
      <c r="D147" s="8" t="inlineStr">
        <is>
          <t>INGRESOS BRUTOS MENDOZA</t>
        </is>
      </c>
      <c r="E147" s="9" t="n">
        <v>331.81</v>
      </c>
      <c r="F147" s="8" t="inlineStr">
        <is>
          <t>Pendiente visible en hojas Banco no Flexxus</t>
        </is>
      </c>
      <c r="G147" s="8" t="inlineStr"/>
    </row>
    <row r="148">
      <c r="A148" s="8" t="inlineStr">
        <is>
          <t>Banco</t>
        </is>
      </c>
      <c r="B148" s="8" t="inlineStr">
        <is>
          <t>24/04/2026</t>
        </is>
      </c>
      <c r="C148" s="8" t="inlineStr">
        <is>
          <t>3027923</t>
        </is>
      </c>
      <c r="D148" s="8" t="inlineStr">
        <is>
          <t>GRAVAMEN LEY 25413 S/CRED</t>
        </is>
      </c>
      <c r="E148" s="9" t="n">
        <v>199.09</v>
      </c>
      <c r="F148" s="8" t="inlineStr">
        <is>
          <t>Pendiente visible en hojas Banco no Flexxus</t>
        </is>
      </c>
      <c r="G148" s="8" t="inlineStr"/>
    </row>
    <row r="149">
      <c r="A149" s="8" t="inlineStr">
        <is>
          <t>Banco</t>
        </is>
      </c>
      <c r="B149" s="8" t="inlineStr">
        <is>
          <t>24/04/2026</t>
        </is>
      </c>
      <c r="C149" s="8" t="inlineStr">
        <is>
          <t>108560</t>
        </is>
      </c>
      <c r="D149" s="8" t="inlineStr">
        <is>
          <t>INGRESOS BRUTOS MENDOZA</t>
        </is>
      </c>
      <c r="E149" s="9" t="n">
        <v>281.25</v>
      </c>
      <c r="F149" s="8" t="inlineStr">
        <is>
          <t>Pendiente visible en hojas Banco no Flexxus</t>
        </is>
      </c>
      <c r="G149" s="8" t="inlineStr"/>
    </row>
    <row r="150">
      <c r="A150" s="8" t="inlineStr">
        <is>
          <t>Banco</t>
        </is>
      </c>
      <c r="B150" s="8" t="inlineStr">
        <is>
          <t>24/04/2026</t>
        </is>
      </c>
      <c r="C150" s="8" t="inlineStr">
        <is>
          <t>108560</t>
        </is>
      </c>
      <c r="D150" s="8" t="inlineStr">
        <is>
          <t>GRAVAMEN LEY 25413 S/CRED</t>
        </is>
      </c>
      <c r="E150" s="9" t="n">
        <v>168.75</v>
      </c>
      <c r="F150" s="8" t="inlineStr">
        <is>
          <t>Pendiente visible en hojas Banco no Flexxus</t>
        </is>
      </c>
      <c r="G150" s="8" t="inlineStr"/>
    </row>
    <row r="151">
      <c r="A151" s="8" t="inlineStr">
        <is>
          <t>Banco</t>
        </is>
      </c>
      <c r="B151" s="8" t="inlineStr">
        <is>
          <t>24/04/2026</t>
        </is>
      </c>
      <c r="C151" s="8" t="inlineStr">
        <is>
          <t>108559</t>
        </is>
      </c>
      <c r="D151" s="8" t="inlineStr">
        <is>
          <t>INGRESOS BRUTOS MENDOZA</t>
        </is>
      </c>
      <c r="E151" s="9" t="n">
        <v>320.86</v>
      </c>
      <c r="F151" s="8" t="inlineStr">
        <is>
          <t>Pendiente visible en hojas Banco no Flexxus</t>
        </is>
      </c>
      <c r="G151" s="8" t="inlineStr"/>
    </row>
    <row r="152">
      <c r="A152" s="8" t="inlineStr">
        <is>
          <t>Banco</t>
        </is>
      </c>
      <c r="B152" s="8" t="inlineStr">
        <is>
          <t>24/04/2026</t>
        </is>
      </c>
      <c r="C152" s="8" t="inlineStr">
        <is>
          <t>108559</t>
        </is>
      </c>
      <c r="D152" s="8" t="inlineStr">
        <is>
          <t>GRAVAMEN LEY 25413 S/CRED</t>
        </is>
      </c>
      <c r="E152" s="9" t="n">
        <v>192.52</v>
      </c>
      <c r="F152" s="8" t="inlineStr">
        <is>
          <t>Pendiente visible en hojas Banco no Flexxus</t>
        </is>
      </c>
      <c r="G152" s="8" t="inlineStr"/>
    </row>
    <row r="153">
      <c r="A153" s="8" t="inlineStr">
        <is>
          <t>Banco</t>
        </is>
      </c>
      <c r="B153" s="8" t="inlineStr">
        <is>
          <t>24/04/2026</t>
        </is>
      </c>
      <c r="C153" s="8" t="inlineStr">
        <is>
          <t>108558</t>
        </is>
      </c>
      <c r="D153" s="8" t="inlineStr">
        <is>
          <t>GRAVAMEN LEY 25413 S/DEB</t>
        </is>
      </c>
      <c r="E153" s="9" t="n">
        <v>3600</v>
      </c>
      <c r="F153" s="8" t="inlineStr">
        <is>
          <t>Pendiente visible en hojas Banco no Flexxus</t>
        </is>
      </c>
      <c r="G153" s="8" t="inlineStr"/>
    </row>
    <row r="154">
      <c r="A154" s="8" t="inlineStr">
        <is>
          <t>Banco</t>
        </is>
      </c>
      <c r="B154" s="8" t="inlineStr">
        <is>
          <t>24/04/2026</t>
        </is>
      </c>
      <c r="C154" s="8" t="inlineStr">
        <is>
          <t>108557</t>
        </is>
      </c>
      <c r="D154" s="8" t="inlineStr">
        <is>
          <t>INGRESOS BRUTOS MENDOZA</t>
        </is>
      </c>
      <c r="E154" s="9" t="n">
        <v>114.88</v>
      </c>
      <c r="F154" s="8" t="inlineStr">
        <is>
          <t>Pendiente visible en hojas Banco no Flexxus</t>
        </is>
      </c>
      <c r="G154" s="8" t="inlineStr"/>
    </row>
    <row r="155">
      <c r="A155" s="8" t="inlineStr">
        <is>
          <t>Banco</t>
        </is>
      </c>
      <c r="B155" s="8" t="inlineStr">
        <is>
          <t>24/04/2026</t>
        </is>
      </c>
      <c r="C155" s="8" t="inlineStr">
        <is>
          <t>108557</t>
        </is>
      </c>
      <c r="D155" s="8" t="inlineStr">
        <is>
          <t>GRAVAMEN LEY 25413 S/CRED</t>
        </is>
      </c>
      <c r="E155" s="9" t="n">
        <v>68.93000000000001</v>
      </c>
      <c r="F155" s="8" t="inlineStr">
        <is>
          <t>Pendiente visible en hojas Banco no Flexxus</t>
        </is>
      </c>
      <c r="G155" s="8" t="inlineStr"/>
    </row>
    <row r="156">
      <c r="A156" s="8" t="inlineStr">
        <is>
          <t>Banco</t>
        </is>
      </c>
      <c r="B156" s="8" t="inlineStr">
        <is>
          <t>24/04/2026</t>
        </is>
      </c>
      <c r="C156" s="8" t="inlineStr">
        <is>
          <t>108608</t>
        </is>
      </c>
      <c r="D156" s="8" t="inlineStr">
        <is>
          <t>I.V.A. BASE</t>
        </is>
      </c>
      <c r="E156" s="9" t="n">
        <v>200.76</v>
      </c>
      <c r="F156" s="8" t="inlineStr">
        <is>
          <t>Pendiente visible en hojas Banco no Flexxus</t>
        </is>
      </c>
      <c r="G156" s="8" t="inlineStr"/>
    </row>
    <row r="157">
      <c r="A157" s="8" t="inlineStr">
        <is>
          <t>Banco</t>
        </is>
      </c>
      <c r="B157" s="8" t="inlineStr">
        <is>
          <t>24/04/2026</t>
        </is>
      </c>
      <c r="C157" s="8" t="inlineStr">
        <is>
          <t>25241</t>
        </is>
      </c>
      <c r="D157" s="8" t="inlineStr">
        <is>
          <t>DEBITO PAGO DIRECTO</t>
        </is>
      </c>
      <c r="E157" s="9" t="n">
        <v>1734593.38</v>
      </c>
      <c r="F157" s="8" t="inlineStr">
        <is>
          <t>Pendiente visible en hojas Banco no Flexxus</t>
        </is>
      </c>
      <c r="G157" s="8" t="inlineStr"/>
    </row>
    <row r="158">
      <c r="A158" s="8" t="inlineStr">
        <is>
          <t>Banco</t>
        </is>
      </c>
      <c r="B158" s="8" t="inlineStr">
        <is>
          <t>24/04/2026</t>
        </is>
      </c>
      <c r="C158" s="8" t="inlineStr">
        <is>
          <t>108606</t>
        </is>
      </c>
      <c r="D158" s="8" t="inlineStr">
        <is>
          <t>COM TRANSFE ELECTRONICA</t>
        </is>
      </c>
      <c r="E158" s="9" t="n">
        <v>956</v>
      </c>
      <c r="F158" s="8" t="inlineStr">
        <is>
          <t>Pendiente visible en hojas Banco no Flexxus</t>
        </is>
      </c>
      <c r="G158" s="8" t="inlineStr"/>
    </row>
    <row r="159">
      <c r="A159" s="8" t="inlineStr">
        <is>
          <t>Banco</t>
        </is>
      </c>
      <c r="B159" s="8" t="inlineStr">
        <is>
          <t>24/04/2026</t>
        </is>
      </c>
      <c r="C159" s="8" t="inlineStr">
        <is>
          <t>32032899</t>
        </is>
      </c>
      <c r="D159" s="8" t="inlineStr">
        <is>
          <t>DEB LIQ MASTERCARD 24H</t>
        </is>
      </c>
      <c r="E159" s="9" t="n">
        <v>79.8</v>
      </c>
      <c r="F159" s="8" t="inlineStr">
        <is>
          <t>Pendiente visible en hojas Banco no Flexxus</t>
        </is>
      </c>
      <c r="G159" s="8" t="inlineStr"/>
    </row>
    <row r="160">
      <c r="A160" s="8" t="inlineStr">
        <is>
          <t>Banco</t>
        </is>
      </c>
      <c r="B160" s="8" t="inlineStr">
        <is>
          <t>24/04/2026</t>
        </is>
      </c>
      <c r="C160" s="8" t="inlineStr">
        <is>
          <t>3027923</t>
        </is>
      </c>
      <c r="D160" s="8" t="inlineStr">
        <is>
          <t>C BE TR O/BCO-DIS TIT IBK - CUIT/CUIL: 30685376349</t>
        </is>
      </c>
      <c r="E160" s="9" t="n">
        <v>33180.87</v>
      </c>
      <c r="F160" s="8" t="inlineStr">
        <is>
          <t>Pendiente visible en hojas Banco no Flexxus</t>
        </is>
      </c>
      <c r="G160" s="8" t="inlineStr"/>
    </row>
    <row r="161">
      <c r="A161" s="8" t="inlineStr">
        <is>
          <t>Banco</t>
        </is>
      </c>
      <c r="B161" s="8" t="inlineStr">
        <is>
          <t>24/04/2026</t>
        </is>
      </c>
      <c r="C161" s="8" t="inlineStr">
        <is>
          <t>108559</t>
        </is>
      </c>
      <c r="D161" s="8" t="inlineStr">
        <is>
          <t>CR DEBIN SPOT - CUIT/CUIL: 30711424179</t>
        </is>
      </c>
      <c r="E161" s="9" t="n">
        <v>32086.37</v>
      </c>
      <c r="F161" s="8" t="inlineStr">
        <is>
          <t>Pendiente visible en hojas Banco no Flexxus</t>
        </is>
      </c>
      <c r="G161" s="8" t="inlineStr"/>
    </row>
    <row r="162">
      <c r="A162" s="8" t="inlineStr">
        <is>
          <t>Banco</t>
        </is>
      </c>
      <c r="B162" s="8" t="inlineStr">
        <is>
          <t>23/04/2026</t>
        </is>
      </c>
      <c r="C162" s="8" t="inlineStr">
        <is>
          <t>108426</t>
        </is>
      </c>
      <c r="D162" s="8" t="inlineStr">
        <is>
          <t>GRAVAMEN LEY 25413 S/DEB</t>
        </is>
      </c>
      <c r="E162" s="9" t="n">
        <v>4.43</v>
      </c>
      <c r="F162" s="8" t="inlineStr">
        <is>
          <t>Pendiente visible en hojas Banco no Flexxus</t>
        </is>
      </c>
      <c r="G162" s="8" t="inlineStr"/>
    </row>
    <row r="163">
      <c r="A163" s="8" t="inlineStr">
        <is>
          <t>Banco</t>
        </is>
      </c>
      <c r="B163" s="8" t="inlineStr">
        <is>
          <t>23/04/2026</t>
        </is>
      </c>
      <c r="C163" s="8" t="inlineStr">
        <is>
          <t>108425</t>
        </is>
      </c>
      <c r="D163" s="8" t="inlineStr">
        <is>
          <t>GRAVAMEN LEY 25413 S/DEB</t>
        </is>
      </c>
      <c r="E163" s="9" t="n">
        <v>0.53</v>
      </c>
      <c r="F163" s="8" t="inlineStr">
        <is>
          <t>Pendiente visible en hojas Banco no Flexxus</t>
        </is>
      </c>
      <c r="G163" s="8" t="inlineStr"/>
    </row>
    <row r="164">
      <c r="A164" s="8" t="inlineStr">
        <is>
          <t>Banco</t>
        </is>
      </c>
      <c r="B164" s="8" t="inlineStr">
        <is>
          <t>23/04/2026</t>
        </is>
      </c>
      <c r="C164" s="8" t="inlineStr">
        <is>
          <t>108423</t>
        </is>
      </c>
      <c r="D164" s="8" t="inlineStr">
        <is>
          <t>GRAVAMEN LEY 25413 S/DEB</t>
        </is>
      </c>
      <c r="E164" s="9" t="n">
        <v>0.68</v>
      </c>
      <c r="F164" s="8" t="inlineStr">
        <is>
          <t>Pendiente visible en hojas Banco no Flexxus</t>
        </is>
      </c>
      <c r="G164" s="8" t="inlineStr"/>
    </row>
    <row r="165">
      <c r="A165" s="8" t="inlineStr">
        <is>
          <t>Banco</t>
        </is>
      </c>
      <c r="B165" s="8" t="inlineStr">
        <is>
          <t>23/04/2026</t>
        </is>
      </c>
      <c r="C165" s="8" t="inlineStr">
        <is>
          <t>108422</t>
        </is>
      </c>
      <c r="D165" s="8" t="inlineStr">
        <is>
          <t>GRAVAMEN LEY 25413 S/DEB</t>
        </is>
      </c>
      <c r="E165" s="9" t="n">
        <v>2.97</v>
      </c>
      <c r="F165" s="8" t="inlineStr">
        <is>
          <t>Pendiente visible en hojas Banco no Flexxus</t>
        </is>
      </c>
      <c r="G165" s="8" t="inlineStr"/>
    </row>
    <row r="166">
      <c r="A166" s="8" t="inlineStr">
        <is>
          <t>Banco</t>
        </is>
      </c>
      <c r="B166" s="8" t="inlineStr">
        <is>
          <t>23/04/2026</t>
        </is>
      </c>
      <c r="C166" s="8" t="inlineStr">
        <is>
          <t>108421</t>
        </is>
      </c>
      <c r="D166" s="8" t="inlineStr">
        <is>
          <t>GRAVAMEN LEY 25413 S/DEB</t>
        </is>
      </c>
      <c r="E166" s="9" t="n">
        <v>3.78</v>
      </c>
      <c r="F166" s="8" t="inlineStr">
        <is>
          <t>Pendiente visible en hojas Banco no Flexxus</t>
        </is>
      </c>
      <c r="G166" s="8" t="inlineStr"/>
    </row>
    <row r="167">
      <c r="A167" s="8" t="inlineStr">
        <is>
          <t>Banco</t>
        </is>
      </c>
      <c r="B167" s="8" t="inlineStr">
        <is>
          <t>23/04/2026</t>
        </is>
      </c>
      <c r="C167" s="8" t="inlineStr">
        <is>
          <t>32032899</t>
        </is>
      </c>
      <c r="D167" s="8" t="inlineStr">
        <is>
          <t>GRAVAMEN LEY 25413 S/DEB</t>
        </is>
      </c>
      <c r="E167" s="9" t="n">
        <v>1.07</v>
      </c>
      <c r="F167" s="8" t="inlineStr">
        <is>
          <t>Pendiente visible en hojas Banco no Flexxus</t>
        </is>
      </c>
      <c r="G167" s="8" t="inlineStr"/>
    </row>
    <row r="168">
      <c r="A168" s="8" t="inlineStr">
        <is>
          <t>Banco</t>
        </is>
      </c>
      <c r="B168" s="8" t="inlineStr">
        <is>
          <t>23/04/2026</t>
        </is>
      </c>
      <c r="C168" s="8" t="inlineStr">
        <is>
          <t>31995644</t>
        </is>
      </c>
      <c r="D168" s="8" t="inlineStr">
        <is>
          <t>GRAVAMEN LEY 25413 S/DEB</t>
        </is>
      </c>
      <c r="E168" s="9" t="n">
        <v>17.29</v>
      </c>
      <c r="F168" s="8" t="inlineStr">
        <is>
          <t>Pendiente visible en hojas Banco no Flexxus</t>
        </is>
      </c>
      <c r="G168" s="8" t="inlineStr"/>
    </row>
    <row r="169">
      <c r="A169" s="8" t="inlineStr">
        <is>
          <t>Banco</t>
        </is>
      </c>
      <c r="B169" s="8" t="inlineStr">
        <is>
          <t>23/04/2026</t>
        </is>
      </c>
      <c r="C169" s="8" t="inlineStr">
        <is>
          <t>29841705</t>
        </is>
      </c>
      <c r="D169" s="8" t="inlineStr">
        <is>
          <t>GRAVAMEN LEY 25413 S/DEB</t>
        </is>
      </c>
      <c r="E169" s="9" t="n">
        <v>2.42</v>
      </c>
      <c r="F169" s="8" t="inlineStr">
        <is>
          <t>Pendiente visible en hojas Banco no Flexxus</t>
        </is>
      </c>
      <c r="G169" s="8" t="inlineStr"/>
    </row>
    <row r="170">
      <c r="A170" s="8" t="inlineStr">
        <is>
          <t>Banco</t>
        </is>
      </c>
      <c r="B170" s="8" t="inlineStr">
        <is>
          <t>23/04/2026</t>
        </is>
      </c>
      <c r="C170" s="8" t="inlineStr">
        <is>
          <t>29841683</t>
        </is>
      </c>
      <c r="D170" s="8" t="inlineStr">
        <is>
          <t>GRAVAMEN LEY 25413 S/DEB</t>
        </is>
      </c>
      <c r="E170" s="9" t="n">
        <v>2.01</v>
      </c>
      <c r="F170" s="8" t="inlineStr">
        <is>
          <t>Pendiente visible en hojas Banco no Flexxus</t>
        </is>
      </c>
      <c r="G170" s="8" t="inlineStr"/>
    </row>
    <row r="171">
      <c r="A171" s="8" t="inlineStr">
        <is>
          <t>Banco</t>
        </is>
      </c>
      <c r="B171" s="8" t="inlineStr">
        <is>
          <t>23/04/2026</t>
        </is>
      </c>
      <c r="C171" s="8" t="inlineStr">
        <is>
          <t>29841670</t>
        </is>
      </c>
      <c r="D171" s="8" t="inlineStr">
        <is>
          <t>GRAVAMEN LEY 25413 S/DEB</t>
        </is>
      </c>
      <c r="E171" s="9" t="n">
        <v>1.48</v>
      </c>
      <c r="F171" s="8" t="inlineStr">
        <is>
          <t>Pendiente visible en hojas Banco no Flexxus</t>
        </is>
      </c>
      <c r="G171" s="8" t="inlineStr"/>
    </row>
    <row r="172">
      <c r="A172" s="8" t="inlineStr">
        <is>
          <t>Banco</t>
        </is>
      </c>
      <c r="B172" s="8" t="inlineStr">
        <is>
          <t>23/04/2026</t>
        </is>
      </c>
      <c r="C172" s="8" t="inlineStr">
        <is>
          <t>29841642</t>
        </is>
      </c>
      <c r="D172" s="8" t="inlineStr">
        <is>
          <t>GRAVAMEN LEY 25413 S/DEB</t>
        </is>
      </c>
      <c r="E172" s="9" t="n">
        <v>4.97</v>
      </c>
      <c r="F172" s="8" t="inlineStr">
        <is>
          <t>Pendiente visible en hojas Banco no Flexxus</t>
        </is>
      </c>
      <c r="G172" s="8" t="inlineStr"/>
    </row>
    <row r="173">
      <c r="A173" s="8" t="inlineStr">
        <is>
          <t>Banco</t>
        </is>
      </c>
      <c r="B173" s="8" t="inlineStr">
        <is>
          <t>23/04/2026</t>
        </is>
      </c>
      <c r="C173" s="8" t="inlineStr">
        <is>
          <t>29841627</t>
        </is>
      </c>
      <c r="D173" s="8" t="inlineStr">
        <is>
          <t>GRAVAMEN LEY 25413 S/DEB</t>
        </is>
      </c>
      <c r="E173" s="9" t="n">
        <v>2.73</v>
      </c>
      <c r="F173" s="8" t="inlineStr">
        <is>
          <t>Pendiente visible en hojas Banco no Flexxus</t>
        </is>
      </c>
      <c r="G173" s="8" t="inlineStr"/>
    </row>
    <row r="174">
      <c r="A174" s="8" t="inlineStr">
        <is>
          <t>Banco</t>
        </is>
      </c>
      <c r="B174" s="8" t="inlineStr">
        <is>
          <t>23/04/2026</t>
        </is>
      </c>
      <c r="C174" s="8" t="inlineStr">
        <is>
          <t>31995644</t>
        </is>
      </c>
      <c r="D174" s="8" t="inlineStr">
        <is>
          <t>GRAVAMEN LEY 25413 S/DEB</t>
        </is>
      </c>
      <c r="E174" s="9" t="n">
        <v>2.86</v>
      </c>
      <c r="F174" s="8" t="inlineStr">
        <is>
          <t>Pendiente visible en hojas Banco no Flexxus</t>
        </is>
      </c>
      <c r="G174" s="8" t="inlineStr"/>
    </row>
    <row r="175">
      <c r="A175" s="8" t="inlineStr">
        <is>
          <t>Banco</t>
        </is>
      </c>
      <c r="B175" s="8" t="inlineStr">
        <is>
          <t>23/04/2026</t>
        </is>
      </c>
      <c r="C175" s="8" t="inlineStr">
        <is>
          <t>108412</t>
        </is>
      </c>
      <c r="D175" s="8" t="inlineStr">
        <is>
          <t>GRAVAMEN LEY 25413 S/DEB</t>
        </is>
      </c>
      <c r="E175" s="9" t="n">
        <v>0.89</v>
      </c>
      <c r="F175" s="8" t="inlineStr">
        <is>
          <t>Pendiente visible en hojas Banco no Flexxus</t>
        </is>
      </c>
      <c r="G175" s="8" t="inlineStr"/>
    </row>
    <row r="176">
      <c r="A176" s="8" t="inlineStr">
        <is>
          <t>Banco</t>
        </is>
      </c>
      <c r="B176" s="8" t="inlineStr">
        <is>
          <t>23/04/2026</t>
        </is>
      </c>
      <c r="C176" s="8" t="inlineStr">
        <is>
          <t>29841705</t>
        </is>
      </c>
      <c r="D176" s="8" t="inlineStr">
        <is>
          <t>GRAVAMEN LEY 25413 S/DEB</t>
        </is>
      </c>
      <c r="E176" s="9" t="n">
        <v>2.8</v>
      </c>
      <c r="F176" s="8" t="inlineStr">
        <is>
          <t>Pendiente visible en hojas Banco no Flexxus</t>
        </is>
      </c>
      <c r="G176" s="8" t="inlineStr"/>
    </row>
    <row r="177">
      <c r="A177" s="8" t="inlineStr">
        <is>
          <t>Banco</t>
        </is>
      </c>
      <c r="B177" s="8" t="inlineStr">
        <is>
          <t>23/04/2026</t>
        </is>
      </c>
      <c r="C177" s="8" t="inlineStr">
        <is>
          <t>29841670</t>
        </is>
      </c>
      <c r="D177" s="8" t="inlineStr">
        <is>
          <t>GRAVAMEN LEY 25413 S/DEB</t>
        </is>
      </c>
      <c r="E177" s="9" t="n">
        <v>1.81</v>
      </c>
      <c r="F177" s="8" t="inlineStr">
        <is>
          <t>Pendiente visible en hojas Banco no Flexxus</t>
        </is>
      </c>
      <c r="G177" s="8" t="inlineStr"/>
    </row>
    <row r="178">
      <c r="A178" s="8" t="inlineStr">
        <is>
          <t>Banco</t>
        </is>
      </c>
      <c r="B178" s="8" t="inlineStr">
        <is>
          <t>23/04/2026</t>
        </is>
      </c>
      <c r="C178" s="8" t="inlineStr">
        <is>
          <t>29841627</t>
        </is>
      </c>
      <c r="D178" s="8" t="inlineStr">
        <is>
          <t>GRAVAMEN LEY 25413 S/DEB</t>
        </is>
      </c>
      <c r="E178" s="9" t="n">
        <v>1.36</v>
      </c>
      <c r="F178" s="8" t="inlineStr">
        <is>
          <t>Pendiente visible en hojas Banco no Flexxus</t>
        </is>
      </c>
      <c r="G178" s="8" t="inlineStr"/>
    </row>
    <row r="179">
      <c r="A179" s="8" t="inlineStr">
        <is>
          <t>Banco</t>
        </is>
      </c>
      <c r="B179" s="8" t="inlineStr">
        <is>
          <t>23/04/2026</t>
        </is>
      </c>
      <c r="C179" s="8" t="inlineStr">
        <is>
          <t>32032899</t>
        </is>
      </c>
      <c r="D179" s="8" t="inlineStr">
        <is>
          <t>GRAVAMEN LEY 25413 S/DEB</t>
        </is>
      </c>
      <c r="E179" s="9" t="n">
        <v>149.63</v>
      </c>
      <c r="F179" s="8" t="inlineStr">
        <is>
          <t>Pendiente visible en hojas Banco no Flexxus</t>
        </is>
      </c>
      <c r="G179" s="8" t="inlineStr"/>
    </row>
    <row r="180">
      <c r="A180" s="8" t="inlineStr">
        <is>
          <t>Banco</t>
        </is>
      </c>
      <c r="B180" s="8" t="inlineStr">
        <is>
          <t>23/04/2026</t>
        </is>
      </c>
      <c r="C180" s="8" t="inlineStr">
        <is>
          <t>32032899</t>
        </is>
      </c>
      <c r="D180" s="8" t="inlineStr">
        <is>
          <t>GRAVAMEN LEY 25413 S/DEB</t>
        </is>
      </c>
      <c r="E180" s="9" t="n">
        <v>17.38</v>
      </c>
      <c r="F180" s="8" t="inlineStr">
        <is>
          <t>Pendiente visible en hojas Banco no Flexxus</t>
        </is>
      </c>
      <c r="G180" s="8" t="inlineStr"/>
    </row>
    <row r="181">
      <c r="A181" s="8" t="inlineStr">
        <is>
          <t>Banco</t>
        </is>
      </c>
      <c r="B181" s="8" t="inlineStr">
        <is>
          <t>23/04/2026</t>
        </is>
      </c>
      <c r="C181" s="8" t="inlineStr">
        <is>
          <t>31995644</t>
        </is>
      </c>
      <c r="D181" s="8" t="inlineStr">
        <is>
          <t>GRAVAMEN LEY 25413 S/DEB</t>
        </is>
      </c>
      <c r="E181" s="9" t="n">
        <v>132.92</v>
      </c>
      <c r="F181" s="8" t="inlineStr">
        <is>
          <t>Pendiente visible en hojas Banco no Flexxus</t>
        </is>
      </c>
      <c r="G181" s="8" t="inlineStr"/>
    </row>
    <row r="182">
      <c r="A182" s="8" t="inlineStr">
        <is>
          <t>Banco</t>
        </is>
      </c>
      <c r="B182" s="8" t="inlineStr">
        <is>
          <t>23/04/2026</t>
        </is>
      </c>
      <c r="C182" s="8" t="inlineStr">
        <is>
          <t>31995644</t>
        </is>
      </c>
      <c r="D182" s="8" t="inlineStr">
        <is>
          <t>GRAVAMEN LEY 25413 S/DEB</t>
        </is>
      </c>
      <c r="E182" s="9" t="n">
        <v>4.31</v>
      </c>
      <c r="F182" s="8" t="inlineStr">
        <is>
          <t>Pendiente visible en hojas Banco no Flexxus</t>
        </is>
      </c>
      <c r="G182" s="8" t="inlineStr"/>
    </row>
    <row r="183">
      <c r="A183" s="8" t="inlineStr">
        <is>
          <t>Banco</t>
        </is>
      </c>
      <c r="B183" s="8" t="inlineStr">
        <is>
          <t>23/04/2026</t>
        </is>
      </c>
      <c r="C183" s="8" t="inlineStr">
        <is>
          <t>29841705</t>
        </is>
      </c>
      <c r="D183" s="8" t="inlineStr">
        <is>
          <t>GRAVAMEN LEY 25413 S/DEB</t>
        </is>
      </c>
      <c r="E183" s="9" t="n">
        <v>27.41</v>
      </c>
      <c r="F183" s="8" t="inlineStr">
        <is>
          <t>Pendiente visible en hojas Banco no Flexxus</t>
        </is>
      </c>
      <c r="G183" s="8" t="inlineStr"/>
    </row>
    <row r="184">
      <c r="A184" s="8" t="inlineStr">
        <is>
          <t>Banco</t>
        </is>
      </c>
      <c r="B184" s="8" t="inlineStr">
        <is>
          <t>23/04/2026</t>
        </is>
      </c>
      <c r="C184" s="8" t="inlineStr">
        <is>
          <t>29841683</t>
        </is>
      </c>
      <c r="D184" s="8" t="inlineStr">
        <is>
          <t>GRAVAMEN LEY 25413 S/DEB</t>
        </is>
      </c>
      <c r="E184" s="9" t="n">
        <v>6.2</v>
      </c>
      <c r="F184" s="8" t="inlineStr">
        <is>
          <t>Pendiente visible en hojas Banco no Flexxus</t>
        </is>
      </c>
      <c r="G184" s="8" t="inlineStr"/>
    </row>
    <row r="185">
      <c r="A185" s="8" t="inlineStr">
        <is>
          <t>Banco</t>
        </is>
      </c>
      <c r="B185" s="8" t="inlineStr">
        <is>
          <t>23/04/2026</t>
        </is>
      </c>
      <c r="C185" s="8" t="inlineStr">
        <is>
          <t>29841670</t>
        </is>
      </c>
      <c r="D185" s="8" t="inlineStr">
        <is>
          <t>GRAVAMEN LEY 25413 S/DEB</t>
        </is>
      </c>
      <c r="E185" s="9" t="n">
        <v>11.39</v>
      </c>
      <c r="F185" s="8" t="inlineStr">
        <is>
          <t>Pendiente visible en hojas Banco no Flexxus</t>
        </is>
      </c>
      <c r="G185" s="8" t="inlineStr"/>
    </row>
    <row r="186">
      <c r="A186" s="8" t="inlineStr">
        <is>
          <t>Banco</t>
        </is>
      </c>
      <c r="B186" s="8" t="inlineStr">
        <is>
          <t>23/04/2026</t>
        </is>
      </c>
      <c r="C186" s="8" t="inlineStr">
        <is>
          <t>29841642</t>
        </is>
      </c>
      <c r="D186" s="8" t="inlineStr">
        <is>
          <t>GRAVAMEN LEY 25413 S/DEB</t>
        </is>
      </c>
      <c r="E186" s="9" t="n">
        <v>26.32</v>
      </c>
      <c r="F186" s="8" t="inlineStr">
        <is>
          <t>Pendiente visible en hojas Banco no Flexxus</t>
        </is>
      </c>
      <c r="G186" s="8" t="inlineStr"/>
    </row>
    <row r="187">
      <c r="A187" s="8" t="inlineStr">
        <is>
          <t>Banco</t>
        </is>
      </c>
      <c r="B187" s="8" t="inlineStr">
        <is>
          <t>23/04/2026</t>
        </is>
      </c>
      <c r="C187" s="8" t="inlineStr">
        <is>
          <t>29841627</t>
        </is>
      </c>
      <c r="D187" s="8" t="inlineStr">
        <is>
          <t>GRAVAMEN LEY 25413 S/DEB</t>
        </is>
      </c>
      <c r="E187" s="9" t="n">
        <v>13.93</v>
      </c>
      <c r="F187" s="8" t="inlineStr">
        <is>
          <t>Pendiente visible en hojas Banco no Flexxus</t>
        </is>
      </c>
      <c r="G187" s="8" t="inlineStr"/>
    </row>
    <row r="188">
      <c r="A188" s="8" t="inlineStr">
        <is>
          <t>Banco</t>
        </is>
      </c>
      <c r="B188" s="8" t="inlineStr">
        <is>
          <t>23/04/2026</t>
        </is>
      </c>
      <c r="C188" s="8" t="inlineStr">
        <is>
          <t>32032899</t>
        </is>
      </c>
      <c r="D188" s="8" t="inlineStr">
        <is>
          <t>GRAVAMEN LEY 25413 S/DEB</t>
        </is>
      </c>
      <c r="E188" s="9" t="n">
        <v>50.21</v>
      </c>
      <c r="F188" s="8" t="inlineStr">
        <is>
          <t>Pendiente visible en hojas Banco no Flexxus</t>
        </is>
      </c>
      <c r="G188" s="8" t="inlineStr"/>
    </row>
    <row r="189">
      <c r="A189" s="8" t="inlineStr">
        <is>
          <t>Banco</t>
        </is>
      </c>
      <c r="B189" s="8" t="inlineStr">
        <is>
          <t>23/04/2026</t>
        </is>
      </c>
      <c r="C189" s="8" t="inlineStr">
        <is>
          <t>31995644</t>
        </is>
      </c>
      <c r="D189" s="8" t="inlineStr">
        <is>
          <t>GRAVAMEN LEY 25413 S/DEB</t>
        </is>
      </c>
      <c r="E189" s="9" t="n">
        <v>41.74</v>
      </c>
      <c r="F189" s="8" t="inlineStr">
        <is>
          <t>Pendiente visible en hojas Banco no Flexxus</t>
        </is>
      </c>
      <c r="G189" s="8" t="inlineStr"/>
    </row>
    <row r="190">
      <c r="A190" s="8" t="inlineStr">
        <is>
          <t>Banco</t>
        </is>
      </c>
      <c r="B190" s="8" t="inlineStr">
        <is>
          <t>23/04/2026</t>
        </is>
      </c>
      <c r="C190" s="8" t="inlineStr">
        <is>
          <t>29841705</t>
        </is>
      </c>
      <c r="D190" s="8" t="inlineStr">
        <is>
          <t>GRAVAMEN LEY 25413 S/DEB</t>
        </is>
      </c>
      <c r="E190" s="9" t="n">
        <v>2.59</v>
      </c>
      <c r="F190" s="8" t="inlineStr">
        <is>
          <t>Pendiente visible en hojas Banco no Flexxus</t>
        </is>
      </c>
      <c r="G190" s="8" t="inlineStr"/>
    </row>
    <row r="191">
      <c r="A191" s="8" t="inlineStr">
        <is>
          <t>Banco</t>
        </is>
      </c>
      <c r="B191" s="8" t="inlineStr">
        <is>
          <t>23/04/2026</t>
        </is>
      </c>
      <c r="C191" s="8" t="inlineStr">
        <is>
          <t>29841683</t>
        </is>
      </c>
      <c r="D191" s="8" t="inlineStr">
        <is>
          <t>GRAVAMEN LEY 25413 S/DEB</t>
        </is>
      </c>
      <c r="E191" s="9" t="n">
        <v>7.2</v>
      </c>
      <c r="F191" s="8" t="inlineStr">
        <is>
          <t>Pendiente visible en hojas Banco no Flexxus</t>
        </is>
      </c>
      <c r="G191" s="8" t="inlineStr"/>
    </row>
    <row r="192">
      <c r="A192" s="8" t="inlineStr">
        <is>
          <t>Banco</t>
        </is>
      </c>
      <c r="B192" s="8" t="inlineStr">
        <is>
          <t>23/04/2026</t>
        </is>
      </c>
      <c r="C192" s="8" t="inlineStr">
        <is>
          <t>29841670</t>
        </is>
      </c>
      <c r="D192" s="8" t="inlineStr">
        <is>
          <t>GRAVAMEN LEY 25413 S/DEB</t>
        </is>
      </c>
      <c r="E192" s="9" t="n">
        <v>10.2</v>
      </c>
      <c r="F192" s="8" t="inlineStr">
        <is>
          <t>Pendiente visible en hojas Banco no Flexxus</t>
        </is>
      </c>
      <c r="G192" s="8" t="inlineStr"/>
    </row>
    <row r="193">
      <c r="A193" s="8" t="inlineStr">
        <is>
          <t>Banco</t>
        </is>
      </c>
      <c r="B193" s="8" t="inlineStr">
        <is>
          <t>23/04/2026</t>
        </is>
      </c>
      <c r="C193" s="8" t="inlineStr">
        <is>
          <t>29841642</t>
        </is>
      </c>
      <c r="D193" s="8" t="inlineStr">
        <is>
          <t>GRAVAMEN LEY 25413 S/DEB</t>
        </is>
      </c>
      <c r="E193" s="9" t="n">
        <v>4.94</v>
      </c>
      <c r="F193" s="8" t="inlineStr">
        <is>
          <t>Pendiente visible en hojas Banco no Flexxus</t>
        </is>
      </c>
      <c r="G193" s="8" t="inlineStr"/>
    </row>
    <row r="194">
      <c r="A194" s="8" t="inlineStr">
        <is>
          <t>Banco</t>
        </is>
      </c>
      <c r="B194" s="8" t="inlineStr">
        <is>
          <t>23/04/2026</t>
        </is>
      </c>
      <c r="C194" s="8" t="inlineStr">
        <is>
          <t>29841642</t>
        </is>
      </c>
      <c r="D194" s="8" t="inlineStr">
        <is>
          <t>GRAVAMEN LEY 25413 S/DEB</t>
        </is>
      </c>
      <c r="E194" s="9" t="n">
        <v>0.68</v>
      </c>
      <c r="F194" s="8" t="inlineStr">
        <is>
          <t>Pendiente visible en hojas Banco no Flexxus</t>
        </is>
      </c>
      <c r="G194" s="8" t="inlineStr"/>
    </row>
    <row r="195">
      <c r="A195" s="8" t="inlineStr">
        <is>
          <t>Banco</t>
        </is>
      </c>
      <c r="B195" s="8" t="inlineStr">
        <is>
          <t>23/04/2026</t>
        </is>
      </c>
      <c r="C195" s="8" t="inlineStr">
        <is>
          <t>29841627</t>
        </is>
      </c>
      <c r="D195" s="8" t="inlineStr">
        <is>
          <t>GRAVAMEN LEY 25413 S/DEB</t>
        </is>
      </c>
      <c r="E195" s="9" t="n">
        <v>3.84</v>
      </c>
      <c r="F195" s="8" t="inlineStr">
        <is>
          <t>Pendiente visible en hojas Banco no Flexxus</t>
        </is>
      </c>
      <c r="G195" s="8" t="inlineStr"/>
    </row>
    <row r="196">
      <c r="A196" s="8" t="inlineStr">
        <is>
          <t>Banco</t>
        </is>
      </c>
      <c r="B196" s="8" t="inlineStr">
        <is>
          <t>23/04/2026</t>
        </is>
      </c>
      <c r="C196" s="8" t="inlineStr">
        <is>
          <t>108389</t>
        </is>
      </c>
      <c r="D196" s="8" t="inlineStr">
        <is>
          <t>GRAVAMEN LEY 25413 S/DEB</t>
        </is>
      </c>
      <c r="E196" s="9" t="n">
        <v>1.3</v>
      </c>
      <c r="F196" s="8" t="inlineStr">
        <is>
          <t>Pendiente visible en hojas Banco no Flexxus</t>
        </is>
      </c>
      <c r="G196" s="8" t="inlineStr"/>
    </row>
    <row r="197">
      <c r="A197" s="8" t="inlineStr">
        <is>
          <t>Banco</t>
        </is>
      </c>
      <c r="B197" s="8" t="inlineStr">
        <is>
          <t>23/04/2026</t>
        </is>
      </c>
      <c r="C197" s="8" t="inlineStr">
        <is>
          <t>108388</t>
        </is>
      </c>
      <c r="D197" s="8" t="inlineStr">
        <is>
          <t>GRAVAMEN LEY 25413 S/DEB</t>
        </is>
      </c>
      <c r="E197" s="9" t="n">
        <v>2.05</v>
      </c>
      <c r="F197" s="8" t="inlineStr">
        <is>
          <t>Pendiente visible en hojas Banco no Flexxus</t>
        </is>
      </c>
      <c r="G197" s="8" t="inlineStr"/>
    </row>
    <row r="198">
      <c r="A198" s="8" t="inlineStr">
        <is>
          <t>Banco</t>
        </is>
      </c>
      <c r="B198" s="8" t="inlineStr">
        <is>
          <t>23/04/2026</t>
        </is>
      </c>
      <c r="C198" s="8" t="inlineStr">
        <is>
          <t>108387</t>
        </is>
      </c>
      <c r="D198" s="8" t="inlineStr">
        <is>
          <t>GRAVAMEN LEY 25413 S/DEB</t>
        </is>
      </c>
      <c r="E198" s="9" t="n">
        <v>0.68</v>
      </c>
      <c r="F198" s="8" t="inlineStr">
        <is>
          <t>Pendiente visible en hojas Banco no Flexxus</t>
        </is>
      </c>
      <c r="G198" s="8" t="inlineStr"/>
    </row>
    <row r="199">
      <c r="A199" s="8" t="inlineStr">
        <is>
          <t>Banco</t>
        </is>
      </c>
      <c r="B199" s="8" t="inlineStr">
        <is>
          <t>23/04/2026</t>
        </is>
      </c>
      <c r="C199" s="8" t="inlineStr">
        <is>
          <t>108386</t>
        </is>
      </c>
      <c r="D199" s="8" t="inlineStr">
        <is>
          <t>GRAVAMEN LEY 25413 S/DEB</t>
        </is>
      </c>
      <c r="E199" s="9" t="n">
        <v>2</v>
      </c>
      <c r="F199" s="8" t="inlineStr">
        <is>
          <t>Pendiente visible en hojas Banco no Flexxus</t>
        </is>
      </c>
      <c r="G199" s="8" t="inlineStr"/>
    </row>
    <row r="200">
      <c r="A200" s="8" t="inlineStr">
        <is>
          <t>Banco</t>
        </is>
      </c>
      <c r="B200" s="8" t="inlineStr">
        <is>
          <t>23/04/2026</t>
        </is>
      </c>
      <c r="C200" s="8" t="inlineStr">
        <is>
          <t>108385</t>
        </is>
      </c>
      <c r="D200" s="8" t="inlineStr">
        <is>
          <t>GRAVAMEN LEY 25413 S/DEB</t>
        </is>
      </c>
      <c r="E200" s="9" t="n">
        <v>0.95</v>
      </c>
      <c r="F200" s="8" t="inlineStr">
        <is>
          <t>Pendiente visible en hojas Banco no Flexxus</t>
        </is>
      </c>
      <c r="G200" s="8" t="inlineStr"/>
    </row>
    <row r="201">
      <c r="A201" s="8" t="inlineStr">
        <is>
          <t>Banco</t>
        </is>
      </c>
      <c r="B201" s="8" t="inlineStr">
        <is>
          <t>23/04/2026</t>
        </is>
      </c>
      <c r="C201" s="8" t="inlineStr">
        <is>
          <t>108384</t>
        </is>
      </c>
      <c r="D201" s="8" t="inlineStr">
        <is>
          <t>GRAVAMEN LEY 25413 S/DEB</t>
        </is>
      </c>
      <c r="E201" s="9" t="n">
        <v>1.08</v>
      </c>
      <c r="F201" s="8" t="inlineStr">
        <is>
          <t>Pendiente visible en hojas Banco no Flexxus</t>
        </is>
      </c>
      <c r="G201" s="8" t="inlineStr"/>
    </row>
    <row r="202">
      <c r="A202" s="8" t="inlineStr">
        <is>
          <t>Banco</t>
        </is>
      </c>
      <c r="B202" s="8" t="inlineStr">
        <is>
          <t>23/04/2026</t>
        </is>
      </c>
      <c r="C202" s="8" t="inlineStr">
        <is>
          <t>108383</t>
        </is>
      </c>
      <c r="D202" s="8" t="inlineStr">
        <is>
          <t>GRAVAMEN LEY 25413 S/DEB</t>
        </is>
      </c>
      <c r="E202" s="9" t="n">
        <v>1.46</v>
      </c>
      <c r="F202" s="8" t="inlineStr">
        <is>
          <t>Pendiente visible en hojas Banco no Flexxus</t>
        </is>
      </c>
      <c r="G202" s="8" t="inlineStr"/>
    </row>
    <row r="203">
      <c r="A203" s="8" t="inlineStr">
        <is>
          <t>Banco</t>
        </is>
      </c>
      <c r="B203" s="8" t="inlineStr">
        <is>
          <t>23/04/2026</t>
        </is>
      </c>
      <c r="C203" s="8" t="inlineStr">
        <is>
          <t>108382</t>
        </is>
      </c>
      <c r="D203" s="8" t="inlineStr">
        <is>
          <t>GRAVAMEN LEY 25413 S/DEB</t>
        </is>
      </c>
      <c r="E203" s="9" t="n">
        <v>9.24</v>
      </c>
      <c r="F203" s="8" t="inlineStr">
        <is>
          <t>Pendiente visible en hojas Banco no Flexxus</t>
        </is>
      </c>
      <c r="G203" s="8" t="inlineStr"/>
    </row>
    <row r="204">
      <c r="A204" s="8" t="inlineStr">
        <is>
          <t>Banco</t>
        </is>
      </c>
      <c r="B204" s="8" t="inlineStr">
        <is>
          <t>23/04/2026</t>
        </is>
      </c>
      <c r="C204" s="8" t="inlineStr">
        <is>
          <t>108428</t>
        </is>
      </c>
      <c r="D204" s="8" t="inlineStr">
        <is>
          <t>GRAVAMEN LEY 25413 S/DEB</t>
        </is>
      </c>
      <c r="E204" s="9" t="n">
        <v>1.2</v>
      </c>
      <c r="F204" s="8" t="inlineStr">
        <is>
          <t>Pendiente visible en hojas Banco no Flexxus</t>
        </is>
      </c>
      <c r="G204" s="8" t="inlineStr"/>
    </row>
    <row r="205">
      <c r="A205" s="8" t="inlineStr">
        <is>
          <t>Banco</t>
        </is>
      </c>
      <c r="B205" s="8" t="inlineStr">
        <is>
          <t>23/04/2026</t>
        </is>
      </c>
      <c r="C205" s="8" t="inlineStr">
        <is>
          <t>108427</t>
        </is>
      </c>
      <c r="D205" s="8" t="inlineStr">
        <is>
          <t>GRAVAMEN LEY 25413 S/DEB</t>
        </is>
      </c>
      <c r="E205" s="9" t="n">
        <v>5.74</v>
      </c>
      <c r="F205" s="8" t="inlineStr">
        <is>
          <t>Pendiente visible en hojas Banco no Flexxus</t>
        </is>
      </c>
      <c r="G205" s="8" t="inlineStr"/>
    </row>
    <row r="206">
      <c r="A206" s="8" t="inlineStr">
        <is>
          <t>Banco</t>
        </is>
      </c>
      <c r="B206" s="8" t="inlineStr">
        <is>
          <t>23/04/2026</t>
        </is>
      </c>
      <c r="C206" s="8" t="inlineStr">
        <is>
          <t>108426</t>
        </is>
      </c>
      <c r="D206" s="8" t="inlineStr">
        <is>
          <t>INGRESOS BRUTOS MENDOZA</t>
        </is>
      </c>
      <c r="E206" s="9" t="n">
        <v>738.78</v>
      </c>
      <c r="F206" s="8" t="inlineStr">
        <is>
          <t>Pendiente visible en hojas Banco no Flexxus</t>
        </is>
      </c>
      <c r="G206" s="8" t="inlineStr"/>
    </row>
    <row r="207">
      <c r="A207" s="8" t="inlineStr">
        <is>
          <t>Banco</t>
        </is>
      </c>
      <c r="B207" s="8" t="inlineStr">
        <is>
          <t>23/04/2026</t>
        </is>
      </c>
      <c r="C207" s="8" t="inlineStr">
        <is>
          <t>108426</t>
        </is>
      </c>
      <c r="D207" s="8" t="inlineStr">
        <is>
          <t>GRAVAMEN LEY 25413 S/CRED</t>
        </is>
      </c>
      <c r="E207" s="9" t="n">
        <v>443.27</v>
      </c>
      <c r="F207" s="8" t="inlineStr">
        <is>
          <t>Pendiente visible en hojas Banco no Flexxus</t>
        </is>
      </c>
      <c r="G207" s="8" t="inlineStr"/>
    </row>
    <row r="208">
      <c r="A208" s="8" t="inlineStr">
        <is>
          <t>Banco</t>
        </is>
      </c>
      <c r="B208" s="8" t="inlineStr">
        <is>
          <t>23/04/2026</t>
        </is>
      </c>
      <c r="C208" s="8" t="inlineStr">
        <is>
          <t>108425</t>
        </is>
      </c>
      <c r="D208" s="8" t="inlineStr">
        <is>
          <t>INGRESOS BRUTOS MENDOZA</t>
        </is>
      </c>
      <c r="E208" s="9" t="n">
        <v>89.13</v>
      </c>
      <c r="F208" s="8" t="inlineStr">
        <is>
          <t>Pendiente visible en hojas Banco no Flexxus</t>
        </is>
      </c>
      <c r="G208" s="8" t="inlineStr"/>
    </row>
    <row r="209">
      <c r="A209" s="8" t="inlineStr">
        <is>
          <t>Banco</t>
        </is>
      </c>
      <c r="B209" s="8" t="inlineStr">
        <is>
          <t>23/04/2026</t>
        </is>
      </c>
      <c r="C209" s="8" t="inlineStr">
        <is>
          <t>108425</t>
        </is>
      </c>
      <c r="D209" s="8" t="inlineStr">
        <is>
          <t>GRAVAMEN LEY 25413 S/CRED</t>
        </is>
      </c>
      <c r="E209" s="9" t="n">
        <v>53.48</v>
      </c>
      <c r="F209" s="8" t="inlineStr">
        <is>
          <t>Pendiente visible en hojas Banco no Flexxus</t>
        </is>
      </c>
      <c r="G209" s="8" t="inlineStr"/>
    </row>
    <row r="210">
      <c r="A210" s="8" t="inlineStr">
        <is>
          <t>Banco</t>
        </is>
      </c>
      <c r="B210" s="8" t="inlineStr">
        <is>
          <t>23/04/2026</t>
        </is>
      </c>
      <c r="C210" s="8" t="inlineStr">
        <is>
          <t>108423</t>
        </is>
      </c>
      <c r="D210" s="8" t="inlineStr">
        <is>
          <t>INGRESOS BRUTOS MENDOZA</t>
        </is>
      </c>
      <c r="E210" s="9" t="n">
        <v>113.89</v>
      </c>
      <c r="F210" s="8" t="inlineStr">
        <is>
          <t>Pendiente visible en hojas Banco no Flexxus</t>
        </is>
      </c>
      <c r="G210" s="8" t="inlineStr"/>
    </row>
    <row r="211">
      <c r="A211" s="8" t="inlineStr">
        <is>
          <t>Banco</t>
        </is>
      </c>
      <c r="B211" s="8" t="inlineStr">
        <is>
          <t>23/04/2026</t>
        </is>
      </c>
      <c r="C211" s="8" t="inlineStr">
        <is>
          <t>108423</t>
        </is>
      </c>
      <c r="D211" s="8" t="inlineStr">
        <is>
          <t>GRAVAMEN LEY 25413 S/CRED</t>
        </is>
      </c>
      <c r="E211" s="9" t="n">
        <v>68.33</v>
      </c>
      <c r="F211" s="8" t="inlineStr">
        <is>
          <t>Pendiente visible en hojas Banco no Flexxus</t>
        </is>
      </c>
      <c r="G211" s="8" t="inlineStr"/>
    </row>
    <row r="212">
      <c r="A212" s="8" t="inlineStr">
        <is>
          <t>Banco</t>
        </is>
      </c>
      <c r="B212" s="8" t="inlineStr">
        <is>
          <t>23/04/2026</t>
        </is>
      </c>
      <c r="C212" s="8" t="inlineStr">
        <is>
          <t>108422</t>
        </is>
      </c>
      <c r="D212" s="8" t="inlineStr">
        <is>
          <t>INGRESOS BRUTOS MENDOZA</t>
        </is>
      </c>
      <c r="E212" s="9" t="n">
        <v>495.16</v>
      </c>
      <c r="F212" s="8" t="inlineStr">
        <is>
          <t>Pendiente visible en hojas Banco no Flexxus</t>
        </is>
      </c>
      <c r="G212" s="8" t="inlineStr"/>
    </row>
    <row r="213">
      <c r="A213" s="8" t="inlineStr">
        <is>
          <t>Banco</t>
        </is>
      </c>
      <c r="B213" s="8" t="inlineStr">
        <is>
          <t>23/04/2026</t>
        </is>
      </c>
      <c r="C213" s="8" t="inlineStr">
        <is>
          <t>108422</t>
        </is>
      </c>
      <c r="D213" s="8" t="inlineStr">
        <is>
          <t>GRAVAMEN LEY 25413 S/CRED</t>
        </is>
      </c>
      <c r="E213" s="9" t="n">
        <v>297.1</v>
      </c>
      <c r="F213" s="8" t="inlineStr">
        <is>
          <t>Pendiente visible en hojas Banco no Flexxus</t>
        </is>
      </c>
      <c r="G213" s="8" t="inlineStr"/>
    </row>
    <row r="214">
      <c r="A214" s="8" t="inlineStr">
        <is>
          <t>Banco</t>
        </is>
      </c>
      <c r="B214" s="8" t="inlineStr">
        <is>
          <t>23/04/2026</t>
        </is>
      </c>
      <c r="C214" s="8" t="inlineStr">
        <is>
          <t>108421</t>
        </is>
      </c>
      <c r="D214" s="8" t="inlineStr">
        <is>
          <t>INGRESOS BRUTOS MENDOZA</t>
        </is>
      </c>
      <c r="E214" s="9" t="n">
        <v>629.84</v>
      </c>
      <c r="F214" s="8" t="inlineStr">
        <is>
          <t>Pendiente visible en hojas Banco no Flexxus</t>
        </is>
      </c>
      <c r="G214" s="8" t="inlineStr"/>
    </row>
    <row r="215">
      <c r="A215" s="8" t="inlineStr">
        <is>
          <t>Banco</t>
        </is>
      </c>
      <c r="B215" s="8" t="inlineStr">
        <is>
          <t>23/04/2026</t>
        </is>
      </c>
      <c r="C215" s="8" t="inlineStr">
        <is>
          <t>108421</t>
        </is>
      </c>
      <c r="D215" s="8" t="inlineStr">
        <is>
          <t>GRAVAMEN LEY 25413 S/CRED</t>
        </is>
      </c>
      <c r="E215" s="9" t="n">
        <v>377.91</v>
      </c>
      <c r="F215" s="8" t="inlineStr">
        <is>
          <t>Pendiente visible en hojas Banco no Flexxus</t>
        </is>
      </c>
      <c r="G215" s="8" t="inlineStr"/>
    </row>
    <row r="216">
      <c r="A216" s="8" t="inlineStr">
        <is>
          <t>Banco</t>
        </is>
      </c>
      <c r="B216" s="8" t="inlineStr">
        <is>
          <t>23/04/2026</t>
        </is>
      </c>
      <c r="C216" s="8" t="inlineStr">
        <is>
          <t>32032899</t>
        </is>
      </c>
      <c r="D216" s="8" t="inlineStr">
        <is>
          <t>INGRESOS BRUTOS MENDOZA</t>
        </is>
      </c>
      <c r="E216" s="9" t="n">
        <v>177.82</v>
      </c>
      <c r="F216" s="8" t="inlineStr">
        <is>
          <t>Pendiente visible en hojas Banco no Flexxus</t>
        </is>
      </c>
      <c r="G216" s="8" t="inlineStr"/>
    </row>
    <row r="217">
      <c r="A217" s="8" t="inlineStr">
        <is>
          <t>Banco</t>
        </is>
      </c>
      <c r="B217" s="8" t="inlineStr">
        <is>
          <t>23/04/2026</t>
        </is>
      </c>
      <c r="C217" s="8" t="inlineStr">
        <is>
          <t>32032899</t>
        </is>
      </c>
      <c r="D217" s="8" t="inlineStr">
        <is>
          <t>GRAVAMEN LEY 25413 S/CRED</t>
        </is>
      </c>
      <c r="E217" s="9" t="n">
        <v>106.69</v>
      </c>
      <c r="F217" s="8" t="inlineStr">
        <is>
          <t>Pendiente visible en hojas Banco no Flexxus</t>
        </is>
      </c>
      <c r="G217" s="8" t="inlineStr"/>
    </row>
    <row r="218">
      <c r="A218" s="8" t="inlineStr">
        <is>
          <t>Banco</t>
        </is>
      </c>
      <c r="B218" s="8" t="inlineStr">
        <is>
          <t>23/04/2026</t>
        </is>
      </c>
      <c r="C218" s="8" t="inlineStr">
        <is>
          <t>31995644</t>
        </is>
      </c>
      <c r="D218" s="8" t="inlineStr">
        <is>
          <t>INGRESOS BRUTOS MENDOZA</t>
        </is>
      </c>
      <c r="E218" s="9" t="n">
        <v>2881.82</v>
      </c>
      <c r="F218" s="8" t="inlineStr">
        <is>
          <t>Pendiente visible en hojas Banco no Flexxus</t>
        </is>
      </c>
      <c r="G218" s="8" t="inlineStr"/>
    </row>
    <row r="219">
      <c r="A219" s="8" t="inlineStr">
        <is>
          <t>Banco</t>
        </is>
      </c>
      <c r="B219" s="8" t="inlineStr">
        <is>
          <t>23/04/2026</t>
        </is>
      </c>
      <c r="C219" s="8" t="inlineStr">
        <is>
          <t>31995644</t>
        </is>
      </c>
      <c r="D219" s="8" t="inlineStr">
        <is>
          <t>GRAVAMEN LEY 25413 S/CRED</t>
        </is>
      </c>
      <c r="E219" s="9" t="n">
        <v>1729.09</v>
      </c>
      <c r="F219" s="8" t="inlineStr">
        <is>
          <t>Pendiente visible en hojas Banco no Flexxus</t>
        </is>
      </c>
      <c r="G219" s="8" t="inlineStr"/>
    </row>
    <row r="220">
      <c r="A220" s="8" t="inlineStr">
        <is>
          <t>Banco</t>
        </is>
      </c>
      <c r="B220" s="8" t="inlineStr">
        <is>
          <t>23/04/2026</t>
        </is>
      </c>
      <c r="C220" s="8" t="inlineStr">
        <is>
          <t>29841705</t>
        </is>
      </c>
      <c r="D220" s="8" t="inlineStr">
        <is>
          <t>INGRESOS BRUTOS MENDOZA</t>
        </is>
      </c>
      <c r="E220" s="9" t="n">
        <v>403.06</v>
      </c>
      <c r="F220" s="8" t="inlineStr">
        <is>
          <t>Pendiente visible en hojas Banco no Flexxus</t>
        </is>
      </c>
      <c r="G220" s="8" t="inlineStr"/>
    </row>
    <row r="221">
      <c r="A221" s="8" t="inlineStr">
        <is>
          <t>Banco</t>
        </is>
      </c>
      <c r="B221" s="8" t="inlineStr">
        <is>
          <t>23/04/2026</t>
        </is>
      </c>
      <c r="C221" s="8" t="inlineStr">
        <is>
          <t>29841705</t>
        </is>
      </c>
      <c r="D221" s="8" t="inlineStr">
        <is>
          <t>GRAVAMEN LEY 25413 S/CRED</t>
        </is>
      </c>
      <c r="E221" s="9" t="n">
        <v>241.84</v>
      </c>
      <c r="F221" s="8" t="inlineStr">
        <is>
          <t>Pendiente visible en hojas Banco no Flexxus</t>
        </is>
      </c>
      <c r="G221" s="8" t="inlineStr"/>
    </row>
    <row r="222">
      <c r="A222" s="8" t="inlineStr">
        <is>
          <t>Banco</t>
        </is>
      </c>
      <c r="B222" s="8" t="inlineStr">
        <is>
          <t>23/04/2026</t>
        </is>
      </c>
      <c r="C222" s="8" t="inlineStr">
        <is>
          <t>29841683</t>
        </is>
      </c>
      <c r="D222" s="8" t="inlineStr">
        <is>
          <t>INGRESOS BRUTOS MENDOZA</t>
        </is>
      </c>
      <c r="E222" s="9" t="n">
        <v>334.9</v>
      </c>
      <c r="F222" s="8" t="inlineStr">
        <is>
          <t>Pendiente visible en hojas Banco no Flexxus</t>
        </is>
      </c>
      <c r="G222" s="8" t="inlineStr"/>
    </row>
    <row r="223">
      <c r="A223" s="8" t="inlineStr">
        <is>
          <t>Banco</t>
        </is>
      </c>
      <c r="B223" s="8" t="inlineStr">
        <is>
          <t>23/04/2026</t>
        </is>
      </c>
      <c r="C223" s="8" t="inlineStr">
        <is>
          <t>29841683</t>
        </is>
      </c>
      <c r="D223" s="8" t="inlineStr">
        <is>
          <t>GRAVAMEN LEY 25413 S/CRED</t>
        </is>
      </c>
      <c r="E223" s="9" t="n">
        <v>200.94</v>
      </c>
      <c r="F223" s="8" t="inlineStr">
        <is>
          <t>Pendiente visible en hojas Banco no Flexxus</t>
        </is>
      </c>
      <c r="G223" s="8" t="inlineStr"/>
    </row>
    <row r="224">
      <c r="A224" s="8" t="inlineStr">
        <is>
          <t>Banco</t>
        </is>
      </c>
      <c r="B224" s="8" t="inlineStr">
        <is>
          <t>23/04/2026</t>
        </is>
      </c>
      <c r="C224" s="8" t="inlineStr">
        <is>
          <t>29841670</t>
        </is>
      </c>
      <c r="D224" s="8" t="inlineStr">
        <is>
          <t>INGRESOS BRUTOS MENDOZA</t>
        </is>
      </c>
      <c r="E224" s="9" t="n">
        <v>246.98</v>
      </c>
      <c r="F224" s="8" t="inlineStr">
        <is>
          <t>Pendiente visible en hojas Banco no Flexxus</t>
        </is>
      </c>
      <c r="G224" s="8" t="inlineStr"/>
    </row>
    <row r="225">
      <c r="A225" s="8" t="inlineStr">
        <is>
          <t>Banco</t>
        </is>
      </c>
      <c r="B225" s="8" t="inlineStr">
        <is>
          <t>23/04/2026</t>
        </is>
      </c>
      <c r="C225" s="8" t="inlineStr">
        <is>
          <t>29841670</t>
        </is>
      </c>
      <c r="D225" s="8" t="inlineStr">
        <is>
          <t>GRAVAMEN LEY 25413 S/CRED</t>
        </is>
      </c>
      <c r="E225" s="9" t="n">
        <v>148.19</v>
      </c>
      <c r="F225" s="8" t="inlineStr">
        <is>
          <t>Pendiente visible en hojas Banco no Flexxus</t>
        </is>
      </c>
      <c r="G225" s="8" t="inlineStr"/>
    </row>
    <row r="226">
      <c r="A226" s="8" t="inlineStr">
        <is>
          <t>Banco</t>
        </is>
      </c>
      <c r="B226" s="8" t="inlineStr">
        <is>
          <t>23/04/2026</t>
        </is>
      </c>
      <c r="C226" s="8" t="inlineStr">
        <is>
          <t>29841642</t>
        </is>
      </c>
      <c r="D226" s="8" t="inlineStr">
        <is>
          <t>INGRESOS BRUTOS MENDOZA</t>
        </is>
      </c>
      <c r="E226" s="9" t="n">
        <v>827.86</v>
      </c>
      <c r="F226" s="8" t="inlineStr">
        <is>
          <t>Pendiente visible en hojas Banco no Flexxus</t>
        </is>
      </c>
      <c r="G226" s="8" t="inlineStr"/>
    </row>
    <row r="227">
      <c r="A227" s="8" t="inlineStr">
        <is>
          <t>Banco</t>
        </is>
      </c>
      <c r="B227" s="8" t="inlineStr">
        <is>
          <t>23/04/2026</t>
        </is>
      </c>
      <c r="C227" s="8" t="inlineStr">
        <is>
          <t>29841642</t>
        </is>
      </c>
      <c r="D227" s="8" t="inlineStr">
        <is>
          <t>GRAVAMEN LEY 25413 S/CRED</t>
        </is>
      </c>
      <c r="E227" s="9" t="n">
        <v>496.72</v>
      </c>
      <c r="F227" s="8" t="inlineStr">
        <is>
          <t>Pendiente visible en hojas Banco no Flexxus</t>
        </is>
      </c>
      <c r="G227" s="8" t="inlineStr"/>
    </row>
    <row r="228">
      <c r="A228" s="8" t="inlineStr">
        <is>
          <t>Banco</t>
        </is>
      </c>
      <c r="B228" s="8" t="inlineStr">
        <is>
          <t>23/04/2026</t>
        </is>
      </c>
      <c r="C228" s="8" t="inlineStr">
        <is>
          <t>29841627</t>
        </is>
      </c>
      <c r="D228" s="8" t="inlineStr">
        <is>
          <t>INGRESOS BRUTOS MENDOZA</t>
        </is>
      </c>
      <c r="E228" s="9" t="n">
        <v>454.43</v>
      </c>
      <c r="F228" s="8" t="inlineStr">
        <is>
          <t>Pendiente visible en hojas Banco no Flexxus</t>
        </is>
      </c>
      <c r="G228" s="8" t="inlineStr"/>
    </row>
    <row r="229">
      <c r="A229" s="8" t="inlineStr">
        <is>
          <t>Banco</t>
        </is>
      </c>
      <c r="B229" s="8" t="inlineStr">
        <is>
          <t>23/04/2026</t>
        </is>
      </c>
      <c r="C229" s="8" t="inlineStr">
        <is>
          <t>29841627</t>
        </is>
      </c>
      <c r="D229" s="8" t="inlineStr">
        <is>
          <t>GRAVAMEN LEY 25413 S/CRED</t>
        </is>
      </c>
      <c r="E229" s="9" t="n">
        <v>272.66</v>
      </c>
      <c r="F229" s="8" t="inlineStr">
        <is>
          <t>Pendiente visible en hojas Banco no Flexxus</t>
        </is>
      </c>
      <c r="G229" s="8" t="inlineStr"/>
    </row>
    <row r="230">
      <c r="A230" s="8" t="inlineStr">
        <is>
          <t>Banco</t>
        </is>
      </c>
      <c r="B230" s="8" t="inlineStr">
        <is>
          <t>23/04/2026</t>
        </is>
      </c>
      <c r="C230" s="8" t="inlineStr">
        <is>
          <t>31995644</t>
        </is>
      </c>
      <c r="D230" s="8" t="inlineStr">
        <is>
          <t>INGRESOS BRUTOS MENDOZA</t>
        </is>
      </c>
      <c r="E230" s="9" t="n">
        <v>477.16</v>
      </c>
      <c r="F230" s="8" t="inlineStr">
        <is>
          <t>Pendiente visible en hojas Banco no Flexxus</t>
        </is>
      </c>
      <c r="G230" s="8" t="inlineStr"/>
    </row>
    <row r="231">
      <c r="A231" s="8" t="inlineStr">
        <is>
          <t>Banco</t>
        </is>
      </c>
      <c r="B231" s="8" t="inlineStr">
        <is>
          <t>23/04/2026</t>
        </is>
      </c>
      <c r="C231" s="8" t="inlineStr">
        <is>
          <t>31995644</t>
        </is>
      </c>
      <c r="D231" s="8" t="inlineStr">
        <is>
          <t>GRAVAMEN LEY 25413 S/CRED</t>
        </is>
      </c>
      <c r="E231" s="9" t="n">
        <v>286.29</v>
      </c>
      <c r="F231" s="8" t="inlineStr">
        <is>
          <t>Pendiente visible en hojas Banco no Flexxus</t>
        </is>
      </c>
      <c r="G231" s="8" t="inlineStr"/>
    </row>
    <row r="232">
      <c r="A232" s="8" t="inlineStr">
        <is>
          <t>Banco</t>
        </is>
      </c>
      <c r="B232" s="8" t="inlineStr">
        <is>
          <t>23/04/2026</t>
        </is>
      </c>
      <c r="C232" s="8" t="inlineStr">
        <is>
          <t>108412</t>
        </is>
      </c>
      <c r="D232" s="8" t="inlineStr">
        <is>
          <t>INGRESOS BRUTOS MENDOZA</t>
        </is>
      </c>
      <c r="E232" s="9" t="n">
        <v>148.55</v>
      </c>
      <c r="F232" s="8" t="inlineStr">
        <is>
          <t>Pendiente visible en hojas Banco no Flexxus</t>
        </is>
      </c>
      <c r="G232" s="8" t="inlineStr"/>
    </row>
    <row r="233">
      <c r="A233" s="8" t="inlineStr">
        <is>
          <t>Banco</t>
        </is>
      </c>
      <c r="B233" s="8" t="inlineStr">
        <is>
          <t>23/04/2026</t>
        </is>
      </c>
      <c r="C233" s="8" t="inlineStr">
        <is>
          <t>108412</t>
        </is>
      </c>
      <c r="D233" s="8" t="inlineStr">
        <is>
          <t>GRAVAMEN LEY 25413 S/CRED</t>
        </is>
      </c>
      <c r="E233" s="9" t="n">
        <v>89.13</v>
      </c>
      <c r="F233" s="8" t="inlineStr">
        <is>
          <t>Pendiente visible en hojas Banco no Flexxus</t>
        </is>
      </c>
      <c r="G233" s="8" t="inlineStr"/>
    </row>
    <row r="234">
      <c r="A234" s="8" t="inlineStr">
        <is>
          <t>Banco</t>
        </is>
      </c>
      <c r="B234" s="8" t="inlineStr">
        <is>
          <t>23/04/2026</t>
        </is>
      </c>
      <c r="C234" s="8" t="inlineStr">
        <is>
          <t>29841705</t>
        </is>
      </c>
      <c r="D234" s="8" t="inlineStr">
        <is>
          <t>INGRESOS BRUTOS MENDOZA</t>
        </is>
      </c>
      <c r="E234" s="9" t="n">
        <v>467.28</v>
      </c>
      <c r="F234" s="8" t="inlineStr">
        <is>
          <t>Pendiente visible en hojas Banco no Flexxus</t>
        </is>
      </c>
      <c r="G234" s="8" t="inlineStr"/>
    </row>
    <row r="235">
      <c r="A235" s="8" t="inlineStr">
        <is>
          <t>Banco</t>
        </is>
      </c>
      <c r="B235" s="8" t="inlineStr">
        <is>
          <t>23/04/2026</t>
        </is>
      </c>
      <c r="C235" s="8" t="inlineStr">
        <is>
          <t>29841705</t>
        </is>
      </c>
      <c r="D235" s="8" t="inlineStr">
        <is>
          <t>GRAVAMEN LEY 25413 S/CRED</t>
        </is>
      </c>
      <c r="E235" s="9" t="n">
        <v>280.37</v>
      </c>
      <c r="F235" s="8" t="inlineStr">
        <is>
          <t>Pendiente visible en hojas Banco no Flexxus</t>
        </is>
      </c>
      <c r="G235" s="8" t="inlineStr"/>
    </row>
    <row r="236">
      <c r="A236" s="8" t="inlineStr">
        <is>
          <t>Banco</t>
        </is>
      </c>
      <c r="B236" s="8" t="inlineStr">
        <is>
          <t>23/04/2026</t>
        </is>
      </c>
      <c r="C236" s="8" t="inlineStr">
        <is>
          <t>29841670</t>
        </is>
      </c>
      <c r="D236" s="8" t="inlineStr">
        <is>
          <t>INGRESOS BRUTOS MENDOZA</t>
        </is>
      </c>
      <c r="E236" s="9" t="n">
        <v>301.31</v>
      </c>
      <c r="F236" s="8" t="inlineStr">
        <is>
          <t>Pendiente visible en hojas Banco no Flexxus</t>
        </is>
      </c>
      <c r="G236" s="8" t="inlineStr"/>
    </row>
    <row r="237">
      <c r="A237" s="8" t="inlineStr">
        <is>
          <t>Banco</t>
        </is>
      </c>
      <c r="B237" s="8" t="inlineStr">
        <is>
          <t>23/04/2026</t>
        </is>
      </c>
      <c r="C237" s="8" t="inlineStr">
        <is>
          <t>29841670</t>
        </is>
      </c>
      <c r="D237" s="8" t="inlineStr">
        <is>
          <t>GRAVAMEN LEY 25413 S/CRED</t>
        </is>
      </c>
      <c r="E237" s="9" t="n">
        <v>180.79</v>
      </c>
      <c r="F237" s="8" t="inlineStr">
        <is>
          <t>Pendiente visible en hojas Banco no Flexxus</t>
        </is>
      </c>
      <c r="G237" s="8" t="inlineStr"/>
    </row>
    <row r="238">
      <c r="A238" s="8" t="inlineStr">
        <is>
          <t>Banco</t>
        </is>
      </c>
      <c r="B238" s="8" t="inlineStr">
        <is>
          <t>23/04/2026</t>
        </is>
      </c>
      <c r="C238" s="8" t="inlineStr">
        <is>
          <t>29841627</t>
        </is>
      </c>
      <c r="D238" s="8" t="inlineStr">
        <is>
          <t>INGRESOS BRUTOS MENDOZA</t>
        </is>
      </c>
      <c r="E238" s="9" t="n">
        <v>227.22</v>
      </c>
      <c r="F238" s="8" t="inlineStr">
        <is>
          <t>Pendiente visible en hojas Banco no Flexxus</t>
        </is>
      </c>
      <c r="G238" s="8" t="inlineStr"/>
    </row>
    <row r="239">
      <c r="A239" s="8" t="inlineStr">
        <is>
          <t>Banco</t>
        </is>
      </c>
      <c r="B239" s="8" t="inlineStr">
        <is>
          <t>23/04/2026</t>
        </is>
      </c>
      <c r="C239" s="8" t="inlineStr">
        <is>
          <t>29841627</t>
        </is>
      </c>
      <c r="D239" s="8" t="inlineStr">
        <is>
          <t>GRAVAMEN LEY 25413 S/CRED</t>
        </is>
      </c>
      <c r="E239" s="9" t="n">
        <v>136.33</v>
      </c>
      <c r="F239" s="8" t="inlineStr">
        <is>
          <t>Pendiente visible en hojas Banco no Flexxus</t>
        </is>
      </c>
      <c r="G239" s="8" t="inlineStr"/>
    </row>
    <row r="240">
      <c r="A240" s="8" t="inlineStr">
        <is>
          <t>Banco</t>
        </is>
      </c>
      <c r="B240" s="8" t="inlineStr">
        <is>
          <t>23/04/2026</t>
        </is>
      </c>
      <c r="C240" s="8" t="inlineStr">
        <is>
          <t>32032899</t>
        </is>
      </c>
      <c r="D240" s="8" t="inlineStr">
        <is>
          <t>INGRESOS BRUTOS MENDOZA</t>
        </is>
      </c>
      <c r="E240" s="9" t="n">
        <v>24937.93</v>
      </c>
      <c r="F240" s="8" t="inlineStr">
        <is>
          <t>Pendiente visible en hojas Banco no Flexxus</t>
        </is>
      </c>
      <c r="G240" s="8" t="inlineStr"/>
    </row>
    <row r="241">
      <c r="A241" s="8" t="inlineStr">
        <is>
          <t>Banco</t>
        </is>
      </c>
      <c r="B241" s="8" t="inlineStr">
        <is>
          <t>23/04/2026</t>
        </is>
      </c>
      <c r="C241" s="8" t="inlineStr">
        <is>
          <t>32032899</t>
        </is>
      </c>
      <c r="D241" s="8" t="inlineStr">
        <is>
          <t>GRAVAMEN LEY 25413 S/CRED</t>
        </is>
      </c>
      <c r="E241" s="9" t="n">
        <v>14962.76</v>
      </c>
      <c r="F241" s="8" t="inlineStr">
        <is>
          <t>Pendiente visible en hojas Banco no Flexxus</t>
        </is>
      </c>
      <c r="G241" s="8" t="inlineStr"/>
    </row>
    <row r="242">
      <c r="A242" s="8" t="inlineStr">
        <is>
          <t>Banco</t>
        </is>
      </c>
      <c r="B242" s="8" t="inlineStr">
        <is>
          <t>23/04/2026</t>
        </is>
      </c>
      <c r="C242" s="8" t="inlineStr">
        <is>
          <t>32032899</t>
        </is>
      </c>
      <c r="D242" s="8" t="inlineStr">
        <is>
          <t>INGRESOS BRUTOS MENDOZA</t>
        </is>
      </c>
      <c r="E242" s="9" t="n">
        <v>2895.89</v>
      </c>
      <c r="F242" s="8" t="inlineStr">
        <is>
          <t>Pendiente visible en hojas Banco no Flexxus</t>
        </is>
      </c>
      <c r="G242" s="8" t="inlineStr"/>
    </row>
    <row r="243">
      <c r="A243" s="8" t="inlineStr">
        <is>
          <t>Banco</t>
        </is>
      </c>
      <c r="B243" s="8" t="inlineStr">
        <is>
          <t>23/04/2026</t>
        </is>
      </c>
      <c r="C243" s="8" t="inlineStr">
        <is>
          <t>32032899</t>
        </is>
      </c>
      <c r="D243" s="8" t="inlineStr">
        <is>
          <t>GRAVAMEN LEY 25413 S/CRED</t>
        </is>
      </c>
      <c r="E243" s="9" t="n">
        <v>1737.53</v>
      </c>
      <c r="F243" s="8" t="inlineStr">
        <is>
          <t>Pendiente visible en hojas Banco no Flexxus</t>
        </is>
      </c>
      <c r="G243" s="8" t="inlineStr"/>
    </row>
    <row r="244">
      <c r="A244" s="8" t="inlineStr">
        <is>
          <t>Banco</t>
        </is>
      </c>
      <c r="B244" s="8" t="inlineStr">
        <is>
          <t>23/04/2026</t>
        </is>
      </c>
      <c r="C244" s="8" t="inlineStr">
        <is>
          <t>31995644</t>
        </is>
      </c>
      <c r="D244" s="8" t="inlineStr">
        <is>
          <t>INGRESOS BRUTOS MENDOZA</t>
        </is>
      </c>
      <c r="E244" s="9" t="n">
        <v>22153.06</v>
      </c>
      <c r="F244" s="8" t="inlineStr">
        <is>
          <t>Pendiente visible en hojas Banco no Flexxus</t>
        </is>
      </c>
      <c r="G244" s="8" t="inlineStr"/>
    </row>
    <row r="245">
      <c r="A245" s="8" t="inlineStr">
        <is>
          <t>Banco</t>
        </is>
      </c>
      <c r="B245" s="8" t="inlineStr">
        <is>
          <t>23/04/2026</t>
        </is>
      </c>
      <c r="C245" s="8" t="inlineStr">
        <is>
          <t>31995644</t>
        </is>
      </c>
      <c r="D245" s="8" t="inlineStr">
        <is>
          <t>GRAVAMEN LEY 25413 S/CRED</t>
        </is>
      </c>
      <c r="E245" s="9" t="n">
        <v>13291.83</v>
      </c>
      <c r="F245" s="8" t="inlineStr">
        <is>
          <t>Pendiente visible en hojas Banco no Flexxus</t>
        </is>
      </c>
      <c r="G245" s="8" t="inlineStr"/>
    </row>
    <row r="246">
      <c r="A246" s="8" t="inlineStr">
        <is>
          <t>Banco</t>
        </is>
      </c>
      <c r="B246" s="8" t="inlineStr">
        <is>
          <t>23/04/2026</t>
        </is>
      </c>
      <c r="C246" s="8" t="inlineStr">
        <is>
          <t>31995644</t>
        </is>
      </c>
      <c r="D246" s="8" t="inlineStr">
        <is>
          <t>INGRESOS BRUTOS MENDOZA</t>
        </is>
      </c>
      <c r="E246" s="9" t="n">
        <v>718.99</v>
      </c>
      <c r="F246" s="8" t="inlineStr">
        <is>
          <t>Pendiente visible en hojas Banco no Flexxus</t>
        </is>
      </c>
      <c r="G246" s="8" t="inlineStr"/>
    </row>
    <row r="247">
      <c r="A247" s="8" t="inlineStr">
        <is>
          <t>Banco</t>
        </is>
      </c>
      <c r="B247" s="8" t="inlineStr">
        <is>
          <t>23/04/2026</t>
        </is>
      </c>
      <c r="C247" s="8" t="inlineStr">
        <is>
          <t>31995644</t>
        </is>
      </c>
      <c r="D247" s="8" t="inlineStr">
        <is>
          <t>GRAVAMEN LEY 25413 S/CRED</t>
        </is>
      </c>
      <c r="E247" s="9" t="n">
        <v>431.4</v>
      </c>
      <c r="F247" s="8" t="inlineStr">
        <is>
          <t>Pendiente visible en hojas Banco no Flexxus</t>
        </is>
      </c>
      <c r="G247" s="8" t="inlineStr"/>
    </row>
    <row r="248">
      <c r="A248" s="8" t="inlineStr">
        <is>
          <t>Banco</t>
        </is>
      </c>
      <c r="B248" s="8" t="inlineStr">
        <is>
          <t>23/04/2026</t>
        </is>
      </c>
      <c r="C248" s="8" t="inlineStr">
        <is>
          <t>29841705</t>
        </is>
      </c>
      <c r="D248" s="8" t="inlineStr">
        <is>
          <t>INGRESOS BRUTOS MENDOZA</t>
        </is>
      </c>
      <c r="E248" s="9" t="n">
        <v>4568.7</v>
      </c>
      <c r="F248" s="8" t="inlineStr">
        <is>
          <t>Pendiente visible en hojas Banco no Flexxus</t>
        </is>
      </c>
      <c r="G248" s="8" t="inlineStr"/>
    </row>
    <row r="249">
      <c r="A249" s="8" t="inlineStr">
        <is>
          <t>Banco</t>
        </is>
      </c>
      <c r="B249" s="8" t="inlineStr">
        <is>
          <t>23/04/2026</t>
        </is>
      </c>
      <c r="C249" s="8" t="inlineStr">
        <is>
          <t>29841705</t>
        </is>
      </c>
      <c r="D249" s="8" t="inlineStr">
        <is>
          <t>GRAVAMEN LEY 25413 S/CRED</t>
        </is>
      </c>
      <c r="E249" s="9" t="n">
        <v>2741.22</v>
      </c>
      <c r="F249" s="8" t="inlineStr">
        <is>
          <t>Pendiente visible en hojas Banco no Flexxus</t>
        </is>
      </c>
      <c r="G249" s="8" t="inlineStr"/>
    </row>
    <row r="250">
      <c r="A250" s="8" t="inlineStr">
        <is>
          <t>Banco</t>
        </is>
      </c>
      <c r="B250" s="8" t="inlineStr">
        <is>
          <t>23/04/2026</t>
        </is>
      </c>
      <c r="C250" s="8" t="inlineStr">
        <is>
          <t>29841683</t>
        </is>
      </c>
      <c r="D250" s="8" t="inlineStr">
        <is>
          <t>INGRESOS BRUTOS MENDOZA</t>
        </is>
      </c>
      <c r="E250" s="9" t="n">
        <v>1033.39</v>
      </c>
      <c r="F250" s="8" t="inlineStr">
        <is>
          <t>Pendiente visible en hojas Banco no Flexxus</t>
        </is>
      </c>
      <c r="G250" s="8" t="inlineStr"/>
    </row>
    <row r="251">
      <c r="A251" s="8" t="inlineStr">
        <is>
          <t>Banco</t>
        </is>
      </c>
      <c r="B251" s="8" t="inlineStr">
        <is>
          <t>23/04/2026</t>
        </is>
      </c>
      <c r="C251" s="8" t="inlineStr">
        <is>
          <t>29841683</t>
        </is>
      </c>
      <c r="D251" s="8" t="inlineStr">
        <is>
          <t>GRAVAMEN LEY 25413 S/CRED</t>
        </is>
      </c>
      <c r="E251" s="9" t="n">
        <v>620.03</v>
      </c>
      <c r="F251" s="8" t="inlineStr">
        <is>
          <t>Pendiente visible en hojas Banco no Flexxus</t>
        </is>
      </c>
      <c r="G251" s="8" t="inlineStr"/>
    </row>
    <row r="252">
      <c r="A252" s="8" t="inlineStr">
        <is>
          <t>Banco</t>
        </is>
      </c>
      <c r="B252" s="8" t="inlineStr">
        <is>
          <t>23/04/2026</t>
        </is>
      </c>
      <c r="C252" s="8" t="inlineStr">
        <is>
          <t>29841670</t>
        </is>
      </c>
      <c r="D252" s="8" t="inlineStr">
        <is>
          <t>INGRESOS BRUTOS MENDOZA</t>
        </is>
      </c>
      <c r="E252" s="9" t="n">
        <v>1897.68</v>
      </c>
      <c r="F252" s="8" t="inlineStr">
        <is>
          <t>Pendiente visible en hojas Banco no Flexxus</t>
        </is>
      </c>
      <c r="G252" s="8" t="inlineStr"/>
    </row>
    <row r="253">
      <c r="A253" s="8" t="inlineStr">
        <is>
          <t>Banco</t>
        </is>
      </c>
      <c r="B253" s="8" t="inlineStr">
        <is>
          <t>23/04/2026</t>
        </is>
      </c>
      <c r="C253" s="8" t="inlineStr">
        <is>
          <t>29841670</t>
        </is>
      </c>
      <c r="D253" s="8" t="inlineStr">
        <is>
          <t>GRAVAMEN LEY 25413 S/CRED</t>
        </is>
      </c>
      <c r="E253" s="9" t="n">
        <v>1138.61</v>
      </c>
      <c r="F253" s="8" t="inlineStr">
        <is>
          <t>Pendiente visible en hojas Banco no Flexxus</t>
        </is>
      </c>
      <c r="G253" s="8" t="inlineStr"/>
    </row>
    <row r="254">
      <c r="A254" s="8" t="inlineStr">
        <is>
          <t>Banco</t>
        </is>
      </c>
      <c r="B254" s="8" t="inlineStr">
        <is>
          <t>23/04/2026</t>
        </is>
      </c>
      <c r="C254" s="8" t="inlineStr">
        <is>
          <t>29841642</t>
        </is>
      </c>
      <c r="D254" s="8" t="inlineStr">
        <is>
          <t>INGRESOS BRUTOS MENDOZA</t>
        </is>
      </c>
      <c r="E254" s="9" t="n">
        <v>4386.85</v>
      </c>
      <c r="F254" s="8" t="inlineStr">
        <is>
          <t>Pendiente visible en hojas Banco no Flexxus</t>
        </is>
      </c>
      <c r="G254" s="8" t="inlineStr"/>
    </row>
    <row r="255">
      <c r="A255" s="8" t="inlineStr">
        <is>
          <t>Banco</t>
        </is>
      </c>
      <c r="B255" s="8" t="inlineStr">
        <is>
          <t>23/04/2026</t>
        </is>
      </c>
      <c r="C255" s="8" t="inlineStr">
        <is>
          <t>29841642</t>
        </is>
      </c>
      <c r="D255" s="8" t="inlineStr">
        <is>
          <t>GRAVAMEN LEY 25413 S/CRED</t>
        </is>
      </c>
      <c r="E255" s="9" t="n">
        <v>2632.11</v>
      </c>
      <c r="F255" s="8" t="inlineStr">
        <is>
          <t>Pendiente visible en hojas Banco no Flexxus</t>
        </is>
      </c>
      <c r="G255" s="8" t="inlineStr"/>
    </row>
    <row r="256">
      <c r="A256" s="8" t="inlineStr">
        <is>
          <t>Banco</t>
        </is>
      </c>
      <c r="B256" s="8" t="inlineStr">
        <is>
          <t>23/04/2026</t>
        </is>
      </c>
      <c r="C256" s="8" t="inlineStr">
        <is>
          <t>29841627</t>
        </is>
      </c>
      <c r="D256" s="8" t="inlineStr">
        <is>
          <t>INGRESOS BRUTOS MENDOZA</t>
        </is>
      </c>
      <c r="E256" s="9" t="n">
        <v>2321.99</v>
      </c>
      <c r="F256" s="8" t="inlineStr">
        <is>
          <t>Pendiente visible en hojas Banco no Flexxus</t>
        </is>
      </c>
      <c r="G256" s="8" t="inlineStr"/>
    </row>
    <row r="257">
      <c r="A257" s="8" t="inlineStr">
        <is>
          <t>Banco</t>
        </is>
      </c>
      <c r="B257" s="8" t="inlineStr">
        <is>
          <t>23/04/2026</t>
        </is>
      </c>
      <c r="C257" s="8" t="inlineStr">
        <is>
          <t>29841627</t>
        </is>
      </c>
      <c r="D257" s="8" t="inlineStr">
        <is>
          <t>GRAVAMEN LEY 25413 S/CRED</t>
        </is>
      </c>
      <c r="E257" s="9" t="n">
        <v>1393.19</v>
      </c>
      <c r="F257" s="8" t="inlineStr">
        <is>
          <t>Pendiente visible en hojas Banco no Flexxus</t>
        </is>
      </c>
      <c r="G257" s="8" t="inlineStr"/>
    </row>
    <row r="258">
      <c r="A258" s="8" t="inlineStr">
        <is>
          <t>Banco</t>
        </is>
      </c>
      <c r="B258" s="8" t="inlineStr">
        <is>
          <t>23/04/2026</t>
        </is>
      </c>
      <c r="C258" s="8" t="inlineStr">
        <is>
          <t>32032899</t>
        </is>
      </c>
      <c r="D258" s="8" t="inlineStr">
        <is>
          <t>INGRESOS BRUTOS MENDOZA</t>
        </is>
      </c>
      <c r="E258" s="9" t="n">
        <v>8368.940000000001</v>
      </c>
      <c r="F258" s="8" t="inlineStr">
        <is>
          <t>Pendiente visible en hojas Banco no Flexxus</t>
        </is>
      </c>
      <c r="G258" s="8" t="inlineStr"/>
    </row>
    <row r="259">
      <c r="A259" s="8" t="inlineStr">
        <is>
          <t>Banco</t>
        </is>
      </c>
      <c r="B259" s="8" t="inlineStr">
        <is>
          <t>23/04/2026</t>
        </is>
      </c>
      <c r="C259" s="8" t="inlineStr">
        <is>
          <t>32032899</t>
        </is>
      </c>
      <c r="D259" s="8" t="inlineStr">
        <is>
          <t>GRAVAMEN LEY 25413 S/CRED</t>
        </is>
      </c>
      <c r="E259" s="9" t="n">
        <v>5021.36</v>
      </c>
      <c r="F259" s="8" t="inlineStr">
        <is>
          <t>Pendiente visible en hojas Banco no Flexxus</t>
        </is>
      </c>
      <c r="G259" s="8" t="inlineStr"/>
    </row>
    <row r="260">
      <c r="A260" s="8" t="inlineStr">
        <is>
          <t>Banco</t>
        </is>
      </c>
      <c r="B260" s="8" t="inlineStr">
        <is>
          <t>23/04/2026</t>
        </is>
      </c>
      <c r="C260" s="8" t="inlineStr">
        <is>
          <t>31995644</t>
        </is>
      </c>
      <c r="D260" s="8" t="inlineStr">
        <is>
          <t>INGRESOS BRUTOS MENDOZA</t>
        </is>
      </c>
      <c r="E260" s="9" t="n">
        <v>6957.17</v>
      </c>
      <c r="F260" s="8" t="inlineStr">
        <is>
          <t>Pendiente visible en hojas Banco no Flexxus</t>
        </is>
      </c>
      <c r="G260" s="8" t="inlineStr"/>
    </row>
    <row r="261">
      <c r="A261" s="8" t="inlineStr">
        <is>
          <t>Banco</t>
        </is>
      </c>
      <c r="B261" s="8" t="inlineStr">
        <is>
          <t>23/04/2026</t>
        </is>
      </c>
      <c r="C261" s="8" t="inlineStr">
        <is>
          <t>31995644</t>
        </is>
      </c>
      <c r="D261" s="8" t="inlineStr">
        <is>
          <t>GRAVAMEN LEY 25413 S/CRED</t>
        </is>
      </c>
      <c r="E261" s="9" t="n">
        <v>4174.3</v>
      </c>
      <c r="F261" s="8" t="inlineStr">
        <is>
          <t>Pendiente visible en hojas Banco no Flexxus</t>
        </is>
      </c>
      <c r="G261" s="8" t="inlineStr"/>
    </row>
    <row r="262">
      <c r="A262" s="8" t="inlineStr">
        <is>
          <t>Banco</t>
        </is>
      </c>
      <c r="B262" s="8" t="inlineStr">
        <is>
          <t>23/04/2026</t>
        </is>
      </c>
      <c r="C262" s="8" t="inlineStr">
        <is>
          <t>29841705</t>
        </is>
      </c>
      <c r="D262" s="8" t="inlineStr">
        <is>
          <t>INGRESOS BRUTOS MENDOZA</t>
        </is>
      </c>
      <c r="E262" s="9" t="n">
        <v>432.37</v>
      </c>
      <c r="F262" s="8" t="inlineStr">
        <is>
          <t>Pendiente visible en hojas Banco no Flexxus</t>
        </is>
      </c>
      <c r="G262" s="8" t="inlineStr"/>
    </row>
    <row r="263">
      <c r="A263" s="8" t="inlineStr">
        <is>
          <t>Banco</t>
        </is>
      </c>
      <c r="B263" s="8" t="inlineStr">
        <is>
          <t>23/04/2026</t>
        </is>
      </c>
      <c r="C263" s="8" t="inlineStr">
        <is>
          <t>29841705</t>
        </is>
      </c>
      <c r="D263" s="8" t="inlineStr">
        <is>
          <t>GRAVAMEN LEY 25413 S/CRED</t>
        </is>
      </c>
      <c r="E263" s="9" t="n">
        <v>259.42</v>
      </c>
      <c r="F263" s="8" t="inlineStr">
        <is>
          <t>Pendiente visible en hojas Banco no Flexxus</t>
        </is>
      </c>
      <c r="G263" s="8" t="inlineStr"/>
    </row>
    <row r="264">
      <c r="A264" s="8" t="inlineStr">
        <is>
          <t>Banco</t>
        </is>
      </c>
      <c r="B264" s="8" t="inlineStr">
        <is>
          <t>23/04/2026</t>
        </is>
      </c>
      <c r="C264" s="8" t="inlineStr">
        <is>
          <t>29841683</t>
        </is>
      </c>
      <c r="D264" s="8" t="inlineStr">
        <is>
          <t>INGRESOS BRUTOS MENDOZA</t>
        </is>
      </c>
      <c r="E264" s="9" t="n">
        <v>1199.61</v>
      </c>
      <c r="F264" s="8" t="inlineStr">
        <is>
          <t>Pendiente visible en hojas Banco no Flexxus</t>
        </is>
      </c>
      <c r="G264" s="8" t="inlineStr"/>
    </row>
    <row r="265">
      <c r="A265" s="8" t="inlineStr">
        <is>
          <t>Banco</t>
        </is>
      </c>
      <c r="B265" s="8" t="inlineStr">
        <is>
          <t>23/04/2026</t>
        </is>
      </c>
      <c r="C265" s="8" t="inlineStr">
        <is>
          <t>29841683</t>
        </is>
      </c>
      <c r="D265" s="8" t="inlineStr">
        <is>
          <t>GRAVAMEN LEY 25413 S/CRED</t>
        </is>
      </c>
      <c r="E265" s="9" t="n">
        <v>719.77</v>
      </c>
      <c r="F265" s="8" t="inlineStr">
        <is>
          <t>Pendiente visible en hojas Banco no Flexxus</t>
        </is>
      </c>
      <c r="G265" s="8" t="inlineStr"/>
    </row>
    <row r="266">
      <c r="A266" s="8" t="inlineStr">
        <is>
          <t>Banco</t>
        </is>
      </c>
      <c r="B266" s="8" t="inlineStr">
        <is>
          <t>23/04/2026</t>
        </is>
      </c>
      <c r="C266" s="8" t="inlineStr">
        <is>
          <t>29841670</t>
        </is>
      </c>
      <c r="D266" s="8" t="inlineStr">
        <is>
          <t>INGRESOS BRUTOS MENDOZA</t>
        </is>
      </c>
      <c r="E266" s="9" t="n">
        <v>1700.19</v>
      </c>
      <c r="F266" s="8" t="inlineStr">
        <is>
          <t>Pendiente visible en hojas Banco no Flexxus</t>
        </is>
      </c>
      <c r="G266" s="8" t="inlineStr"/>
    </row>
    <row r="267">
      <c r="A267" s="8" t="inlineStr">
        <is>
          <t>Banco</t>
        </is>
      </c>
      <c r="B267" s="8" t="inlineStr">
        <is>
          <t>23/04/2026</t>
        </is>
      </c>
      <c r="C267" s="8" t="inlineStr">
        <is>
          <t>29841670</t>
        </is>
      </c>
      <c r="D267" s="8" t="inlineStr">
        <is>
          <t>GRAVAMEN LEY 25413 S/CRED</t>
        </is>
      </c>
      <c r="E267" s="9" t="n">
        <v>1020.11</v>
      </c>
      <c r="F267" s="8" t="inlineStr">
        <is>
          <t>Pendiente visible en hojas Banco no Flexxus</t>
        </is>
      </c>
      <c r="G267" s="8" t="inlineStr"/>
    </row>
    <row r="268">
      <c r="A268" s="8" t="inlineStr">
        <is>
          <t>Banco</t>
        </is>
      </c>
      <c r="B268" s="8" t="inlineStr">
        <is>
          <t>23/04/2026</t>
        </is>
      </c>
      <c r="C268" s="8" t="inlineStr">
        <is>
          <t>29841642</t>
        </is>
      </c>
      <c r="D268" s="8" t="inlineStr">
        <is>
          <t>INGRESOS BRUTOS MENDOZA</t>
        </is>
      </c>
      <c r="E268" s="9" t="n">
        <v>822.6799999999999</v>
      </c>
      <c r="F268" s="8" t="inlineStr">
        <is>
          <t>Pendiente visible en hojas Banco no Flexxus</t>
        </is>
      </c>
      <c r="G268" s="8" t="inlineStr"/>
    </row>
    <row r="269">
      <c r="A269" s="8" t="inlineStr">
        <is>
          <t>Banco</t>
        </is>
      </c>
      <c r="B269" s="8" t="inlineStr">
        <is>
          <t>23/04/2026</t>
        </is>
      </c>
      <c r="C269" s="8" t="inlineStr">
        <is>
          <t>29841642</t>
        </is>
      </c>
      <c r="D269" s="8" t="inlineStr">
        <is>
          <t>GRAVAMEN LEY 25413 S/CRED</t>
        </is>
      </c>
      <c r="E269" s="9" t="n">
        <v>493.61</v>
      </c>
      <c r="F269" s="8" t="inlineStr">
        <is>
          <t>Pendiente visible en hojas Banco no Flexxus</t>
        </is>
      </c>
      <c r="G269" s="8" t="inlineStr"/>
    </row>
    <row r="270">
      <c r="A270" s="8" t="inlineStr">
        <is>
          <t>Banco</t>
        </is>
      </c>
      <c r="B270" s="8" t="inlineStr">
        <is>
          <t>23/04/2026</t>
        </is>
      </c>
      <c r="C270" s="8" t="inlineStr">
        <is>
          <t>29841642</t>
        </is>
      </c>
      <c r="D270" s="8" t="inlineStr">
        <is>
          <t>INGRESOS BRUTOS MENDOZA</t>
        </is>
      </c>
      <c r="E270" s="9" t="n">
        <v>112.5</v>
      </c>
      <c r="F270" s="8" t="inlineStr">
        <is>
          <t>Pendiente visible en hojas Banco no Flexxus</t>
        </is>
      </c>
      <c r="G270" s="8" t="inlineStr"/>
    </row>
    <row r="271">
      <c r="A271" s="8" t="inlineStr">
        <is>
          <t>Banco</t>
        </is>
      </c>
      <c r="B271" s="8" t="inlineStr">
        <is>
          <t>23/04/2026</t>
        </is>
      </c>
      <c r="C271" s="8" t="inlineStr">
        <is>
          <t>29841642</t>
        </is>
      </c>
      <c r="D271" s="8" t="inlineStr">
        <is>
          <t>GRAVAMEN LEY 25413 S/CRED</t>
        </is>
      </c>
      <c r="E271" s="9" t="n">
        <v>67.5</v>
      </c>
      <c r="F271" s="8" t="inlineStr">
        <is>
          <t>Pendiente visible en hojas Banco no Flexxus</t>
        </is>
      </c>
      <c r="G271" s="8" t="inlineStr"/>
    </row>
    <row r="272">
      <c r="A272" s="8" t="inlineStr">
        <is>
          <t>Banco</t>
        </is>
      </c>
      <c r="B272" s="8" t="inlineStr">
        <is>
          <t>23/04/2026</t>
        </is>
      </c>
      <c r="C272" s="8" t="inlineStr">
        <is>
          <t>29841627</t>
        </is>
      </c>
      <c r="D272" s="8" t="inlineStr">
        <is>
          <t>INGRESOS BRUTOS MENDOZA</t>
        </is>
      </c>
      <c r="E272" s="9" t="n">
        <v>640.73</v>
      </c>
      <c r="F272" s="8" t="inlineStr">
        <is>
          <t>Pendiente visible en hojas Banco no Flexxus</t>
        </is>
      </c>
      <c r="G272" s="8" t="inlineStr"/>
    </row>
    <row r="273">
      <c r="A273" s="8" t="inlineStr">
        <is>
          <t>Banco</t>
        </is>
      </c>
      <c r="B273" s="8" t="inlineStr">
        <is>
          <t>23/04/2026</t>
        </is>
      </c>
      <c r="C273" s="8" t="inlineStr">
        <is>
          <t>29841627</t>
        </is>
      </c>
      <c r="D273" s="8" t="inlineStr">
        <is>
          <t>GRAVAMEN LEY 25413 S/CRED</t>
        </is>
      </c>
      <c r="E273" s="9" t="n">
        <v>384.44</v>
      </c>
      <c r="F273" s="8" t="inlineStr">
        <is>
          <t>Pendiente visible en hojas Banco no Flexxus</t>
        </is>
      </c>
      <c r="G273" s="8" t="inlineStr"/>
    </row>
    <row r="274">
      <c r="A274" s="8" t="inlineStr">
        <is>
          <t>Banco</t>
        </is>
      </c>
      <c r="B274" s="8" t="inlineStr">
        <is>
          <t>23/04/2026</t>
        </is>
      </c>
      <c r="C274" s="8" t="inlineStr">
        <is>
          <t>108389</t>
        </is>
      </c>
      <c r="D274" s="8" t="inlineStr">
        <is>
          <t>INGRESOS BRUTOS MENDOZA</t>
        </is>
      </c>
      <c r="E274" s="9" t="n">
        <v>216.88</v>
      </c>
      <c r="F274" s="8" t="inlineStr">
        <is>
          <t>Pendiente visible en hojas Banco no Flexxus</t>
        </is>
      </c>
      <c r="G274" s="8" t="inlineStr"/>
    </row>
    <row r="275">
      <c r="A275" s="8" t="inlineStr">
        <is>
          <t>Banco</t>
        </is>
      </c>
      <c r="B275" s="8" t="inlineStr">
        <is>
          <t>23/04/2026</t>
        </is>
      </c>
      <c r="C275" s="8" t="inlineStr">
        <is>
          <t>108389</t>
        </is>
      </c>
      <c r="D275" s="8" t="inlineStr">
        <is>
          <t>GRAVAMEN LEY 25413 S/CRED</t>
        </is>
      </c>
      <c r="E275" s="9" t="n">
        <v>130.13</v>
      </c>
      <c r="F275" s="8" t="inlineStr">
        <is>
          <t>Pendiente visible en hojas Banco no Flexxus</t>
        </is>
      </c>
      <c r="G275" s="8" t="inlineStr"/>
    </row>
    <row r="276">
      <c r="A276" s="8" t="inlineStr">
        <is>
          <t>Banco</t>
        </is>
      </c>
      <c r="B276" s="8" t="inlineStr">
        <is>
          <t>23/04/2026</t>
        </is>
      </c>
      <c r="C276" s="8" t="inlineStr">
        <is>
          <t>108388</t>
        </is>
      </c>
      <c r="D276" s="8" t="inlineStr">
        <is>
          <t>INGRESOS BRUTOS MENDOZA</t>
        </is>
      </c>
      <c r="E276" s="9" t="n">
        <v>341.66</v>
      </c>
      <c r="F276" s="8" t="inlineStr">
        <is>
          <t>Pendiente visible en hojas Banco no Flexxus</t>
        </is>
      </c>
      <c r="G276" s="8" t="inlineStr"/>
    </row>
    <row r="277">
      <c r="A277" s="8" t="inlineStr">
        <is>
          <t>Banco</t>
        </is>
      </c>
      <c r="B277" s="8" t="inlineStr">
        <is>
          <t>23/04/2026</t>
        </is>
      </c>
      <c r="C277" s="8" t="inlineStr">
        <is>
          <t>108388</t>
        </is>
      </c>
      <c r="D277" s="8" t="inlineStr">
        <is>
          <t>GRAVAMEN LEY 25413 S/CRED</t>
        </is>
      </c>
      <c r="E277" s="9" t="n">
        <v>205</v>
      </c>
      <c r="F277" s="8" t="inlineStr">
        <is>
          <t>Pendiente visible en hojas Banco no Flexxus</t>
        </is>
      </c>
      <c r="G277" s="8" t="inlineStr"/>
    </row>
    <row r="278">
      <c r="A278" s="8" t="inlineStr">
        <is>
          <t>Banco</t>
        </is>
      </c>
      <c r="B278" s="8" t="inlineStr">
        <is>
          <t>23/04/2026</t>
        </is>
      </c>
      <c r="C278" s="8" t="inlineStr">
        <is>
          <t>108387</t>
        </is>
      </c>
      <c r="D278" s="8" t="inlineStr">
        <is>
          <t>INGRESOS BRUTOS MENDOZA</t>
        </is>
      </c>
      <c r="E278" s="9" t="n">
        <v>113.89</v>
      </c>
      <c r="F278" s="8" t="inlineStr">
        <is>
          <t>Pendiente visible en hojas Banco no Flexxus</t>
        </is>
      </c>
      <c r="G278" s="8" t="inlineStr"/>
    </row>
    <row r="279">
      <c r="A279" s="8" t="inlineStr">
        <is>
          <t>Banco</t>
        </is>
      </c>
      <c r="B279" s="8" t="inlineStr">
        <is>
          <t>23/04/2026</t>
        </is>
      </c>
      <c r="C279" s="8" t="inlineStr">
        <is>
          <t>108387</t>
        </is>
      </c>
      <c r="D279" s="8" t="inlineStr">
        <is>
          <t>GRAVAMEN LEY 25413 S/CRED</t>
        </is>
      </c>
      <c r="E279" s="9" t="n">
        <v>68.33</v>
      </c>
      <c r="F279" s="8" t="inlineStr">
        <is>
          <t>Pendiente visible en hojas Banco no Flexxus</t>
        </is>
      </c>
      <c r="G279" s="8" t="inlineStr"/>
    </row>
    <row r="280">
      <c r="A280" s="8" t="inlineStr">
        <is>
          <t>Banco</t>
        </is>
      </c>
      <c r="B280" s="8" t="inlineStr">
        <is>
          <t>23/04/2026</t>
        </is>
      </c>
      <c r="C280" s="8" t="inlineStr">
        <is>
          <t>108386</t>
        </is>
      </c>
      <c r="D280" s="8" t="inlineStr">
        <is>
          <t>INGRESOS BRUTOS MENDOZA</t>
        </is>
      </c>
      <c r="E280" s="9" t="n">
        <v>332.75</v>
      </c>
      <c r="F280" s="8" t="inlineStr">
        <is>
          <t>Pendiente visible en hojas Banco no Flexxus</t>
        </is>
      </c>
      <c r="G280" s="8" t="inlineStr"/>
    </row>
    <row r="281">
      <c r="A281" s="8" t="inlineStr">
        <is>
          <t>Banco</t>
        </is>
      </c>
      <c r="B281" s="8" t="inlineStr">
        <is>
          <t>23/04/2026</t>
        </is>
      </c>
      <c r="C281" s="8" t="inlineStr">
        <is>
          <t>108386</t>
        </is>
      </c>
      <c r="D281" s="8" t="inlineStr">
        <is>
          <t>GRAVAMEN LEY 25413 S/CRED</t>
        </is>
      </c>
      <c r="E281" s="9" t="n">
        <v>199.65</v>
      </c>
      <c r="F281" s="8" t="inlineStr">
        <is>
          <t>Pendiente visible en hojas Banco no Flexxus</t>
        </is>
      </c>
      <c r="G281" s="8" t="inlineStr"/>
    </row>
    <row r="282">
      <c r="A282" s="8" t="inlineStr">
        <is>
          <t>Banco</t>
        </is>
      </c>
      <c r="B282" s="8" t="inlineStr">
        <is>
          <t>23/04/2026</t>
        </is>
      </c>
      <c r="C282" s="8" t="inlineStr">
        <is>
          <t>108385</t>
        </is>
      </c>
      <c r="D282" s="8" t="inlineStr">
        <is>
          <t>INGRESOS BRUTOS MENDOZA</t>
        </is>
      </c>
      <c r="E282" s="9" t="n">
        <v>158.45</v>
      </c>
      <c r="F282" s="8" t="inlineStr">
        <is>
          <t>Pendiente visible en hojas Banco no Flexxus</t>
        </is>
      </c>
      <c r="G282" s="8" t="inlineStr"/>
    </row>
    <row r="283">
      <c r="A283" s="8" t="inlineStr">
        <is>
          <t>Banco</t>
        </is>
      </c>
      <c r="B283" s="8" t="inlineStr">
        <is>
          <t>23/04/2026</t>
        </is>
      </c>
      <c r="C283" s="8" t="inlineStr">
        <is>
          <t>108385</t>
        </is>
      </c>
      <c r="D283" s="8" t="inlineStr">
        <is>
          <t>GRAVAMEN LEY 25413 S/CRED</t>
        </is>
      </c>
      <c r="E283" s="9" t="n">
        <v>95.06999999999999</v>
      </c>
      <c r="F283" s="8" t="inlineStr">
        <is>
          <t>Pendiente visible en hojas Banco no Flexxus</t>
        </is>
      </c>
      <c r="G283" s="8" t="inlineStr"/>
    </row>
    <row r="284">
      <c r="A284" s="8" t="inlineStr">
        <is>
          <t>Banco</t>
        </is>
      </c>
      <c r="B284" s="8" t="inlineStr">
        <is>
          <t>23/04/2026</t>
        </is>
      </c>
      <c r="C284" s="8" t="inlineStr">
        <is>
          <t>108384</t>
        </is>
      </c>
      <c r="D284" s="8" t="inlineStr">
        <is>
          <t>INGRESOS BRUTOS MENDOZA</t>
        </is>
      </c>
      <c r="E284" s="9" t="n">
        <v>180.24</v>
      </c>
      <c r="F284" s="8" t="inlineStr">
        <is>
          <t>Pendiente visible en hojas Banco no Flexxus</t>
        </is>
      </c>
      <c r="G284" s="8" t="inlineStr"/>
    </row>
    <row r="285">
      <c r="A285" s="8" t="inlineStr">
        <is>
          <t>Banco</t>
        </is>
      </c>
      <c r="B285" s="8" t="inlineStr">
        <is>
          <t>23/04/2026</t>
        </is>
      </c>
      <c r="C285" s="8" t="inlineStr">
        <is>
          <t>108384</t>
        </is>
      </c>
      <c r="D285" s="8" t="inlineStr">
        <is>
          <t>GRAVAMEN LEY 25413 S/CRED</t>
        </is>
      </c>
      <c r="E285" s="9" t="n">
        <v>108.14</v>
      </c>
      <c r="F285" s="8" t="inlineStr">
        <is>
          <t>Pendiente visible en hojas Banco no Flexxus</t>
        </is>
      </c>
      <c r="G285" s="8" t="inlineStr"/>
    </row>
    <row r="286">
      <c r="A286" s="8" t="inlineStr">
        <is>
          <t>Banco</t>
        </is>
      </c>
      <c r="B286" s="8" t="inlineStr">
        <is>
          <t>23/04/2026</t>
        </is>
      </c>
      <c r="C286" s="8" t="inlineStr">
        <is>
          <t>108383</t>
        </is>
      </c>
      <c r="D286" s="8" t="inlineStr">
        <is>
          <t>INGRESOS BRUTOS MENDOZA</t>
        </is>
      </c>
      <c r="E286" s="9" t="n">
        <v>243.62</v>
      </c>
      <c r="F286" s="8" t="inlineStr">
        <is>
          <t>Pendiente visible en hojas Banco no Flexxus</t>
        </is>
      </c>
      <c r="G286" s="8" t="inlineStr"/>
    </row>
    <row r="287">
      <c r="A287" s="8" t="inlineStr">
        <is>
          <t>Banco</t>
        </is>
      </c>
      <c r="B287" s="8" t="inlineStr">
        <is>
          <t>23/04/2026</t>
        </is>
      </c>
      <c r="C287" s="8" t="inlineStr">
        <is>
          <t>108383</t>
        </is>
      </c>
      <c r="D287" s="8" t="inlineStr">
        <is>
          <t>GRAVAMEN LEY 25413 S/CRED</t>
        </is>
      </c>
      <c r="E287" s="9" t="n">
        <v>146.17</v>
      </c>
      <c r="F287" s="8" t="inlineStr">
        <is>
          <t>Pendiente visible en hojas Banco no Flexxus</t>
        </is>
      </c>
      <c r="G287" s="8" t="inlineStr"/>
    </row>
    <row r="288">
      <c r="A288" s="8" t="inlineStr">
        <is>
          <t>Banco</t>
        </is>
      </c>
      <c r="B288" s="8" t="inlineStr">
        <is>
          <t>23/04/2026</t>
        </is>
      </c>
      <c r="C288" s="8" t="inlineStr">
        <is>
          <t>108382</t>
        </is>
      </c>
      <c r="D288" s="8" t="inlineStr">
        <is>
          <t>INGRESOS BRUTOS MENDOZA</t>
        </is>
      </c>
      <c r="E288" s="9" t="n">
        <v>1539.95</v>
      </c>
      <c r="F288" s="8" t="inlineStr">
        <is>
          <t>Pendiente visible en hojas Banco no Flexxus</t>
        </is>
      </c>
      <c r="G288" s="8" t="inlineStr"/>
    </row>
    <row r="289">
      <c r="A289" s="8" t="inlineStr">
        <is>
          <t>Banco</t>
        </is>
      </c>
      <c r="B289" s="8" t="inlineStr">
        <is>
          <t>23/04/2026</t>
        </is>
      </c>
      <c r="C289" s="8" t="inlineStr">
        <is>
          <t>108382</t>
        </is>
      </c>
      <c r="D289" s="8" t="inlineStr">
        <is>
          <t>GRAVAMEN LEY 25413 S/CRED</t>
        </is>
      </c>
      <c r="E289" s="9" t="n">
        <v>923.97</v>
      </c>
      <c r="F289" s="8" t="inlineStr">
        <is>
          <t>Pendiente visible en hojas Banco no Flexxus</t>
        </is>
      </c>
      <c r="G289" s="8" t="inlineStr"/>
    </row>
    <row r="290">
      <c r="A290" s="8" t="inlineStr">
        <is>
          <t>Banco</t>
        </is>
      </c>
      <c r="B290" s="8" t="inlineStr">
        <is>
          <t>23/04/2026</t>
        </is>
      </c>
      <c r="C290" s="8" t="inlineStr">
        <is>
          <t>108428</t>
        </is>
      </c>
      <c r="D290" s="8" t="inlineStr">
        <is>
          <t>I.V.A. BASE</t>
        </is>
      </c>
      <c r="E290" s="9" t="n">
        <v>200.76</v>
      </c>
      <c r="F290" s="8" t="inlineStr">
        <is>
          <t>Pendiente visible en hojas Banco no Flexxus</t>
        </is>
      </c>
      <c r="G290" s="8" t="inlineStr"/>
    </row>
    <row r="291">
      <c r="A291" s="8" t="inlineStr">
        <is>
          <t>Banco</t>
        </is>
      </c>
      <c r="B291" s="8" t="inlineStr">
        <is>
          <t>23/04/2026</t>
        </is>
      </c>
      <c r="C291" s="8" t="inlineStr">
        <is>
          <t>108427</t>
        </is>
      </c>
      <c r="D291" s="8" t="inlineStr">
        <is>
          <t>COM TRANSFE ELECTRONICA</t>
        </is>
      </c>
      <c r="E291" s="9" t="n">
        <v>956</v>
      </c>
      <c r="F291" s="8" t="inlineStr">
        <is>
          <t>Pendiente visible en hojas Banco no Flexxus</t>
        </is>
      </c>
      <c r="G291" s="8" t="inlineStr"/>
    </row>
    <row r="292">
      <c r="A292" s="8" t="inlineStr">
        <is>
          <t>Banco</t>
        </is>
      </c>
      <c r="B292" s="8" t="inlineStr">
        <is>
          <t>23/04/2026</t>
        </is>
      </c>
      <c r="C292" s="8" t="inlineStr">
        <is>
          <t>32032899</t>
        </is>
      </c>
      <c r="D292" s="8" t="inlineStr">
        <is>
          <t>DEB LIQ MASTERCARD 24H</t>
        </is>
      </c>
      <c r="E292" s="9" t="n">
        <v>22.75</v>
      </c>
      <c r="F292" s="8" t="inlineStr">
        <is>
          <t>Pendiente visible en hojas Banco no Flexxus</t>
        </is>
      </c>
      <c r="G292" s="8" t="inlineStr"/>
    </row>
    <row r="293">
      <c r="A293" s="8" t="inlineStr">
        <is>
          <t>Banco</t>
        </is>
      </c>
      <c r="B293" s="8" t="inlineStr">
        <is>
          <t>23/04/2026</t>
        </is>
      </c>
      <c r="C293" s="8" t="inlineStr">
        <is>
          <t>29841705</t>
        </is>
      </c>
      <c r="D293" s="8" t="inlineStr">
        <is>
          <t>DEB LIQ MASTERCARD 24H</t>
        </is>
      </c>
      <c r="E293" s="9" t="n">
        <v>29.06</v>
      </c>
      <c r="F293" s="8" t="inlineStr">
        <is>
          <t>Pendiente visible en hojas Banco no Flexxus</t>
        </is>
      </c>
      <c r="G293" s="8" t="inlineStr"/>
    </row>
    <row r="294">
      <c r="A294" s="8" t="inlineStr">
        <is>
          <t>Banco</t>
        </is>
      </c>
      <c r="B294" s="8" t="inlineStr">
        <is>
          <t>22/04/2026</t>
        </is>
      </c>
      <c r="C294" s="8" t="inlineStr">
        <is>
          <t>108230</t>
        </is>
      </c>
      <c r="D294" s="8" t="inlineStr">
        <is>
          <t>GRAVAMEN LEY 25413 S/DEB</t>
        </is>
      </c>
      <c r="E294" s="9" t="n">
        <v>4.03</v>
      </c>
      <c r="F294" s="8" t="inlineStr">
        <is>
          <t>Pendiente visible en hojas Banco no Flexxus</t>
        </is>
      </c>
      <c r="G294" s="8" t="inlineStr"/>
    </row>
    <row r="295">
      <c r="A295" s="8" t="inlineStr">
        <is>
          <t>Banco</t>
        </is>
      </c>
      <c r="B295" s="8" t="inlineStr">
        <is>
          <t>22/04/2026</t>
        </is>
      </c>
      <c r="C295" s="8" t="inlineStr">
        <is>
          <t>108229</t>
        </is>
      </c>
      <c r="D295" s="8" t="inlineStr">
        <is>
          <t>GRAVAMEN LEY 25413 S/DEB</t>
        </is>
      </c>
      <c r="E295" s="9" t="n">
        <v>5.44</v>
      </c>
      <c r="F295" s="8" t="inlineStr">
        <is>
          <t>Pendiente visible en hojas Banco no Flexxus</t>
        </is>
      </c>
      <c r="G295" s="8" t="inlineStr"/>
    </row>
    <row r="296">
      <c r="A296" s="8" t="inlineStr">
        <is>
          <t>Banco</t>
        </is>
      </c>
      <c r="B296" s="8" t="inlineStr">
        <is>
          <t>22/04/2026</t>
        </is>
      </c>
      <c r="C296" s="8" t="inlineStr">
        <is>
          <t>108228</t>
        </is>
      </c>
      <c r="D296" s="8" t="inlineStr">
        <is>
          <t>GRAVAMEN LEY 25413 S/DEB</t>
        </is>
      </c>
      <c r="E296" s="9" t="n">
        <v>1.37</v>
      </c>
      <c r="F296" s="8" t="inlineStr">
        <is>
          <t>Pendiente visible en hojas Banco no Flexxus</t>
        </is>
      </c>
      <c r="G296" s="8" t="inlineStr"/>
    </row>
    <row r="297">
      <c r="A297" s="8" t="inlineStr">
        <is>
          <t>Banco</t>
        </is>
      </c>
      <c r="B297" s="8" t="inlineStr">
        <is>
          <t>22/04/2026</t>
        </is>
      </c>
      <c r="C297" s="8" t="inlineStr">
        <is>
          <t>108227</t>
        </is>
      </c>
      <c r="D297" s="8" t="inlineStr">
        <is>
          <t>GRAVAMEN LEY 25413 S/DEB</t>
        </is>
      </c>
      <c r="E297" s="9" t="n">
        <v>1.53</v>
      </c>
      <c r="F297" s="8" t="inlineStr">
        <is>
          <t>Pendiente visible en hojas Banco no Flexxus</t>
        </is>
      </c>
      <c r="G297" s="8" t="inlineStr"/>
    </row>
    <row r="298">
      <c r="A298" s="8" t="inlineStr">
        <is>
          <t>Banco</t>
        </is>
      </c>
      <c r="B298" s="8" t="inlineStr">
        <is>
          <t>22/04/2026</t>
        </is>
      </c>
      <c r="C298" s="8" t="inlineStr">
        <is>
          <t>108226</t>
        </is>
      </c>
      <c r="D298" s="8" t="inlineStr">
        <is>
          <t>GRAVAMEN LEY 25413 S/DEB</t>
        </is>
      </c>
      <c r="E298" s="9" t="n">
        <v>0.53</v>
      </c>
      <c r="F298" s="8" t="inlineStr">
        <is>
          <t>Pendiente visible en hojas Banco no Flexxus</t>
        </is>
      </c>
      <c r="G298" s="8" t="inlineStr"/>
    </row>
    <row r="299">
      <c r="A299" s="8" t="inlineStr">
        <is>
          <t>Banco</t>
        </is>
      </c>
      <c r="B299" s="8" t="inlineStr">
        <is>
          <t>22/04/2026</t>
        </is>
      </c>
      <c r="C299" s="8" t="inlineStr">
        <is>
          <t>108225</t>
        </is>
      </c>
      <c r="D299" s="8" t="inlineStr">
        <is>
          <t>GRAVAMEN LEY 25413 S/DEB</t>
        </is>
      </c>
      <c r="E299" s="9" t="n">
        <v>0.8</v>
      </c>
      <c r="F299" s="8" t="inlineStr">
        <is>
          <t>Pendiente visible en hojas Banco no Flexxus</t>
        </is>
      </c>
      <c r="G299" s="8" t="inlineStr"/>
    </row>
    <row r="300">
      <c r="A300" s="8" t="inlineStr">
        <is>
          <t>Banco</t>
        </is>
      </c>
      <c r="B300" s="8" t="inlineStr">
        <is>
          <t>22/04/2026</t>
        </is>
      </c>
      <c r="C300" s="8" t="inlineStr">
        <is>
          <t>108224</t>
        </is>
      </c>
      <c r="D300" s="8" t="inlineStr">
        <is>
          <t>GRAVAMEN LEY 25413 S/DEB</t>
        </is>
      </c>
      <c r="E300" s="9" t="n">
        <v>0.68</v>
      </c>
      <c r="F300" s="8" t="inlineStr">
        <is>
          <t>Pendiente visible en hojas Banco no Flexxus</t>
        </is>
      </c>
      <c r="G300" s="8" t="inlineStr"/>
    </row>
    <row r="301">
      <c r="A301" s="8" t="inlineStr">
        <is>
          <t>Banco</t>
        </is>
      </c>
      <c r="B301" s="8" t="inlineStr">
        <is>
          <t>22/04/2026</t>
        </is>
      </c>
      <c r="C301" s="8" t="inlineStr">
        <is>
          <t>108223</t>
        </is>
      </c>
      <c r="D301" s="8" t="inlineStr">
        <is>
          <t>GRAVAMEN LEY 25413 S/DEB</t>
        </is>
      </c>
      <c r="E301" s="9" t="n">
        <v>0.8</v>
      </c>
      <c r="F301" s="8" t="inlineStr">
        <is>
          <t>Pendiente visible en hojas Banco no Flexxus</t>
        </is>
      </c>
      <c r="G301" s="8" t="inlineStr"/>
    </row>
    <row r="302">
      <c r="A302" s="8" t="inlineStr">
        <is>
          <t>Banco</t>
        </is>
      </c>
      <c r="B302" s="8" t="inlineStr">
        <is>
          <t>22/04/2026</t>
        </is>
      </c>
      <c r="C302" s="8" t="inlineStr">
        <is>
          <t>108222</t>
        </is>
      </c>
      <c r="D302" s="8" t="inlineStr">
        <is>
          <t>GRAVAMEN LEY 25413 S/DEB</t>
        </is>
      </c>
      <c r="E302" s="9" t="n">
        <v>6.04</v>
      </c>
      <c r="F302" s="8" t="inlineStr">
        <is>
          <t>Pendiente visible en hojas Banco no Flexxus</t>
        </is>
      </c>
      <c r="G302" s="8" t="inlineStr"/>
    </row>
    <row r="303">
      <c r="A303" s="8" t="inlineStr">
        <is>
          <t>Banco</t>
        </is>
      </c>
      <c r="B303" s="8" t="inlineStr">
        <is>
          <t>22/04/2026</t>
        </is>
      </c>
      <c r="C303" s="8" t="inlineStr">
        <is>
          <t>108221</t>
        </is>
      </c>
      <c r="D303" s="8" t="inlineStr">
        <is>
          <t>GRAVAMEN LEY 25413 S/DEB</t>
        </is>
      </c>
      <c r="E303" s="9" t="n">
        <v>4.34</v>
      </c>
      <c r="F303" s="8" t="inlineStr">
        <is>
          <t>Pendiente visible en hojas Banco no Flexxus</t>
        </is>
      </c>
      <c r="G303" s="8" t="inlineStr"/>
    </row>
    <row r="304">
      <c r="A304" s="8" t="inlineStr">
        <is>
          <t>Banco</t>
        </is>
      </c>
      <c r="B304" s="8" t="inlineStr">
        <is>
          <t>22/04/2026</t>
        </is>
      </c>
      <c r="C304" s="8" t="inlineStr">
        <is>
          <t>108220</t>
        </is>
      </c>
      <c r="D304" s="8" t="inlineStr">
        <is>
          <t>GRAVAMEN LEY 25413 S/DEB</t>
        </is>
      </c>
      <c r="E304" s="9" t="n">
        <v>1.13</v>
      </c>
      <c r="F304" s="8" t="inlineStr">
        <is>
          <t>Pendiente visible en hojas Banco no Flexxus</t>
        </is>
      </c>
      <c r="G304" s="8" t="inlineStr"/>
    </row>
    <row r="305">
      <c r="A305" s="8" t="inlineStr">
        <is>
          <t>Banco</t>
        </is>
      </c>
      <c r="B305" s="8" t="inlineStr">
        <is>
          <t>22/04/2026</t>
        </is>
      </c>
      <c r="C305" s="8" t="inlineStr">
        <is>
          <t>108218</t>
        </is>
      </c>
      <c r="D305" s="8" t="inlineStr">
        <is>
          <t>GRAVAMEN LEY 25413 S/DEB</t>
        </is>
      </c>
      <c r="E305" s="9" t="n">
        <v>3.16</v>
      </c>
      <c r="F305" s="8" t="inlineStr">
        <is>
          <t>Pendiente visible en hojas Banco no Flexxus</t>
        </is>
      </c>
      <c r="G305" s="8" t="inlineStr"/>
    </row>
    <row r="306">
      <c r="A306" s="8" t="inlineStr">
        <is>
          <t>Banco</t>
        </is>
      </c>
      <c r="B306" s="8" t="inlineStr">
        <is>
          <t>22/04/2026</t>
        </is>
      </c>
      <c r="C306" s="8" t="inlineStr">
        <is>
          <t>32032899</t>
        </is>
      </c>
      <c r="D306" s="8" t="inlineStr">
        <is>
          <t>GRAVAMEN LEY 25413 S/DEB</t>
        </is>
      </c>
      <c r="E306" s="9" t="n">
        <v>12.65</v>
      </c>
      <c r="F306" s="8" t="inlineStr">
        <is>
          <t>Pendiente visible en hojas Banco no Flexxus</t>
        </is>
      </c>
      <c r="G306" s="8" t="inlineStr"/>
    </row>
    <row r="307">
      <c r="A307" s="8" t="inlineStr">
        <is>
          <t>Banco</t>
        </is>
      </c>
      <c r="B307" s="8" t="inlineStr">
        <is>
          <t>22/04/2026</t>
        </is>
      </c>
      <c r="C307" s="8" t="inlineStr">
        <is>
          <t>31995644</t>
        </is>
      </c>
      <c r="D307" s="8" t="inlineStr">
        <is>
          <t>GRAVAMEN LEY 25413 S/DEB</t>
        </is>
      </c>
      <c r="E307" s="9" t="n">
        <v>4.21</v>
      </c>
      <c r="F307" s="8" t="inlineStr">
        <is>
          <t>Pendiente visible en hojas Banco no Flexxus</t>
        </is>
      </c>
      <c r="G307" s="8" t="inlineStr"/>
    </row>
    <row r="308">
      <c r="A308" s="8" t="inlineStr">
        <is>
          <t>Banco</t>
        </is>
      </c>
      <c r="B308" s="8" t="inlineStr">
        <is>
          <t>22/04/2026</t>
        </is>
      </c>
      <c r="C308" s="8" t="inlineStr">
        <is>
          <t>29841705</t>
        </is>
      </c>
      <c r="D308" s="8" t="inlineStr">
        <is>
          <t>GRAVAMEN LEY 25413 S/DEB</t>
        </is>
      </c>
      <c r="E308" s="9" t="n">
        <v>1.63</v>
      </c>
      <c r="F308" s="8" t="inlineStr">
        <is>
          <t>Pendiente visible en hojas Banco no Flexxus</t>
        </is>
      </c>
      <c r="G308" s="8" t="inlineStr"/>
    </row>
    <row r="309">
      <c r="A309" s="8" t="inlineStr">
        <is>
          <t>Banco</t>
        </is>
      </c>
      <c r="B309" s="8" t="inlineStr">
        <is>
          <t>22/04/2026</t>
        </is>
      </c>
      <c r="C309" s="8" t="inlineStr">
        <is>
          <t>29841670</t>
        </is>
      </c>
      <c r="D309" s="8" t="inlineStr">
        <is>
          <t>GRAVAMEN LEY 25413 S/DEB</t>
        </is>
      </c>
      <c r="E309" s="9" t="n">
        <v>5.45</v>
      </c>
      <c r="F309" s="8" t="inlineStr">
        <is>
          <t>Pendiente visible en hojas Banco no Flexxus</t>
        </is>
      </c>
      <c r="G309" s="8" t="inlineStr"/>
    </row>
    <row r="310">
      <c r="A310" s="8" t="inlineStr">
        <is>
          <t>Banco</t>
        </is>
      </c>
      <c r="B310" s="8" t="inlineStr">
        <is>
          <t>22/04/2026</t>
        </is>
      </c>
      <c r="C310" s="8" t="inlineStr">
        <is>
          <t>29841642</t>
        </is>
      </c>
      <c r="D310" s="8" t="inlineStr">
        <is>
          <t>GRAVAMEN LEY 25413 S/DEB</t>
        </is>
      </c>
      <c r="E310" s="9" t="n">
        <v>3.53</v>
      </c>
      <c r="F310" s="8" t="inlineStr">
        <is>
          <t>Pendiente visible en hojas Banco no Flexxus</t>
        </is>
      </c>
      <c r="G310" s="8" t="inlineStr"/>
    </row>
    <row r="311">
      <c r="A311" s="8" t="inlineStr">
        <is>
          <t>Banco</t>
        </is>
      </c>
      <c r="B311" s="8" t="inlineStr">
        <is>
          <t>22/04/2026</t>
        </is>
      </c>
      <c r="C311" s="8" t="inlineStr">
        <is>
          <t>29841627</t>
        </is>
      </c>
      <c r="D311" s="8" t="inlineStr">
        <is>
          <t>GRAVAMEN LEY 25413 S/DEB</t>
        </is>
      </c>
      <c r="E311" s="9" t="n">
        <v>0.92</v>
      </c>
      <c r="F311" s="8" t="inlineStr">
        <is>
          <t>Pendiente visible en hojas Banco no Flexxus</t>
        </is>
      </c>
      <c r="G311" s="8" t="inlineStr"/>
    </row>
    <row r="312">
      <c r="A312" s="8" t="inlineStr">
        <is>
          <t>Banco</t>
        </is>
      </c>
      <c r="B312" s="8" t="inlineStr">
        <is>
          <t>22/04/2026</t>
        </is>
      </c>
      <c r="C312" s="8" t="inlineStr">
        <is>
          <t>32032899</t>
        </is>
      </c>
      <c r="D312" s="8" t="inlineStr">
        <is>
          <t>GRAVAMEN LEY 25413 S/DEB</t>
        </is>
      </c>
      <c r="E312" s="9" t="n">
        <v>1.96</v>
      </c>
      <c r="F312" s="8" t="inlineStr">
        <is>
          <t>Pendiente visible en hojas Banco no Flexxus</t>
        </is>
      </c>
      <c r="G312" s="8" t="inlineStr"/>
    </row>
    <row r="313">
      <c r="A313" s="8" t="inlineStr">
        <is>
          <t>Banco</t>
        </is>
      </c>
      <c r="B313" s="8" t="inlineStr">
        <is>
          <t>22/04/2026</t>
        </is>
      </c>
      <c r="C313" s="8" t="inlineStr">
        <is>
          <t>108210</t>
        </is>
      </c>
      <c r="D313" s="8" t="inlineStr">
        <is>
          <t>GRAVAMEN LEY 25413 S/DEB</t>
        </is>
      </c>
      <c r="E313" s="9" t="n">
        <v>0.74</v>
      </c>
      <c r="F313" s="8" t="inlineStr">
        <is>
          <t>Pendiente visible en hojas Banco no Flexxus</t>
        </is>
      </c>
      <c r="G313" s="8" t="inlineStr"/>
    </row>
    <row r="314">
      <c r="A314" s="8" t="inlineStr">
        <is>
          <t>Banco</t>
        </is>
      </c>
      <c r="B314" s="8" t="inlineStr">
        <is>
          <t>22/04/2026</t>
        </is>
      </c>
      <c r="C314" s="8" t="inlineStr">
        <is>
          <t>29841705</t>
        </is>
      </c>
      <c r="D314" s="8" t="inlineStr">
        <is>
          <t>GRAVAMEN LEY 25413 S/DEB</t>
        </is>
      </c>
      <c r="E314" s="9" t="n">
        <v>2.27</v>
      </c>
      <c r="F314" s="8" t="inlineStr">
        <is>
          <t>Pendiente visible en hojas Banco no Flexxus</t>
        </is>
      </c>
      <c r="G314" s="8" t="inlineStr"/>
    </row>
    <row r="315">
      <c r="A315" s="8" t="inlineStr">
        <is>
          <t>Banco</t>
        </is>
      </c>
      <c r="B315" s="8" t="inlineStr">
        <is>
          <t>22/04/2026</t>
        </is>
      </c>
      <c r="C315" s="8" t="inlineStr">
        <is>
          <t>29841683</t>
        </is>
      </c>
      <c r="D315" s="8" t="inlineStr">
        <is>
          <t>GRAVAMEN LEY 25413 S/DEB</t>
        </is>
      </c>
      <c r="E315" s="9" t="n">
        <v>1.78</v>
      </c>
      <c r="F315" s="8" t="inlineStr">
        <is>
          <t>Pendiente visible en hojas Banco no Flexxus</t>
        </is>
      </c>
      <c r="G315" s="8" t="inlineStr"/>
    </row>
    <row r="316">
      <c r="A316" s="8" t="inlineStr">
        <is>
          <t>Banco</t>
        </is>
      </c>
      <c r="B316" s="8" t="inlineStr">
        <is>
          <t>22/04/2026</t>
        </is>
      </c>
      <c r="C316" s="8" t="inlineStr">
        <is>
          <t>29841642</t>
        </is>
      </c>
      <c r="D316" s="8" t="inlineStr">
        <is>
          <t>GRAVAMEN LEY 25413 S/DEB</t>
        </is>
      </c>
      <c r="E316" s="9" t="n">
        <v>7.46</v>
      </c>
      <c r="F316" s="8" t="inlineStr">
        <is>
          <t>Pendiente visible en hojas Banco no Flexxus</t>
        </is>
      </c>
      <c r="G316" s="8" t="inlineStr"/>
    </row>
    <row r="317">
      <c r="A317" s="8" t="inlineStr">
        <is>
          <t>Banco</t>
        </is>
      </c>
      <c r="B317" s="8" t="inlineStr">
        <is>
          <t>22/04/2026</t>
        </is>
      </c>
      <c r="C317" s="8" t="inlineStr">
        <is>
          <t>32032899</t>
        </is>
      </c>
      <c r="D317" s="8" t="inlineStr">
        <is>
          <t>GRAVAMEN LEY 25413 S/DEB</t>
        </is>
      </c>
      <c r="E317" s="9" t="n">
        <v>11.7</v>
      </c>
      <c r="F317" s="8" t="inlineStr">
        <is>
          <t>Pendiente visible en hojas Banco no Flexxus</t>
        </is>
      </c>
      <c r="G317" s="8" t="inlineStr"/>
    </row>
    <row r="318">
      <c r="A318" s="8" t="inlineStr">
        <is>
          <t>Banco</t>
        </is>
      </c>
      <c r="B318" s="8" t="inlineStr">
        <is>
          <t>22/04/2026</t>
        </is>
      </c>
      <c r="C318" s="8" t="inlineStr">
        <is>
          <t>31995644</t>
        </is>
      </c>
      <c r="D318" s="8" t="inlineStr">
        <is>
          <t>GRAVAMEN LEY 25413 S/DEB</t>
        </is>
      </c>
      <c r="E318" s="9" t="n">
        <v>17.63</v>
      </c>
      <c r="F318" s="8" t="inlineStr">
        <is>
          <t>Pendiente visible en hojas Banco no Flexxus</t>
        </is>
      </c>
      <c r="G318" s="8" t="inlineStr"/>
    </row>
    <row r="319">
      <c r="A319" s="8" t="inlineStr">
        <is>
          <t>Banco</t>
        </is>
      </c>
      <c r="B319" s="8" t="inlineStr">
        <is>
          <t>22/04/2026</t>
        </is>
      </c>
      <c r="C319" s="8" t="inlineStr">
        <is>
          <t>108203</t>
        </is>
      </c>
      <c r="D319" s="8" t="inlineStr">
        <is>
          <t>GRAVAMEN LEY 25413 S/DEB</t>
        </is>
      </c>
      <c r="E319" s="9" t="n">
        <v>1.44</v>
      </c>
      <c r="F319" s="8" t="inlineStr">
        <is>
          <t>Pendiente visible en hojas Banco no Flexxus</t>
        </is>
      </c>
      <c r="G319" s="8" t="inlineStr"/>
    </row>
    <row r="320">
      <c r="A320" s="8" t="inlineStr">
        <is>
          <t>Banco</t>
        </is>
      </c>
      <c r="B320" s="8" t="inlineStr">
        <is>
          <t>22/04/2026</t>
        </is>
      </c>
      <c r="C320" s="8" t="inlineStr">
        <is>
          <t>29841705</t>
        </is>
      </c>
      <c r="D320" s="8" t="inlineStr">
        <is>
          <t>GRAVAMEN LEY 25413 S/DEB</t>
        </is>
      </c>
      <c r="E320" s="9" t="n">
        <v>2.27</v>
      </c>
      <c r="F320" s="8" t="inlineStr">
        <is>
          <t>Pendiente visible en hojas Banco no Flexxus</t>
        </is>
      </c>
      <c r="G320" s="8" t="inlineStr"/>
    </row>
    <row r="321">
      <c r="A321" s="8" t="inlineStr">
        <is>
          <t>Banco</t>
        </is>
      </c>
      <c r="B321" s="8" t="inlineStr">
        <is>
          <t>22/04/2026</t>
        </is>
      </c>
      <c r="C321" s="8" t="inlineStr">
        <is>
          <t>29841670</t>
        </is>
      </c>
      <c r="D321" s="8" t="inlineStr">
        <is>
          <t>GRAVAMEN LEY 25413 S/DEB</t>
        </is>
      </c>
      <c r="E321" s="9" t="n">
        <v>2.27</v>
      </c>
      <c r="F321" s="8" t="inlineStr">
        <is>
          <t>Pendiente visible en hojas Banco no Flexxus</t>
        </is>
      </c>
      <c r="G321" s="8" t="inlineStr"/>
    </row>
    <row r="322">
      <c r="A322" s="8" t="inlineStr">
        <is>
          <t>Banco</t>
        </is>
      </c>
      <c r="B322" s="8" t="inlineStr">
        <is>
          <t>22/04/2026</t>
        </is>
      </c>
      <c r="C322" s="8" t="inlineStr">
        <is>
          <t>29841642</t>
        </is>
      </c>
      <c r="D322" s="8" t="inlineStr">
        <is>
          <t>GRAVAMEN LEY 25413 S/DEB</t>
        </is>
      </c>
      <c r="E322" s="9" t="n">
        <v>2.52</v>
      </c>
      <c r="F322" s="8" t="inlineStr">
        <is>
          <t>Pendiente visible en hojas Banco no Flexxus</t>
        </is>
      </c>
      <c r="G322" s="8" t="inlineStr"/>
    </row>
    <row r="323">
      <c r="A323" s="8" t="inlineStr">
        <is>
          <t>Banco</t>
        </is>
      </c>
      <c r="B323" s="8" t="inlineStr">
        <is>
          <t>22/04/2026</t>
        </is>
      </c>
      <c r="C323" s="8" t="inlineStr">
        <is>
          <t>32032899</t>
        </is>
      </c>
      <c r="D323" s="8" t="inlineStr">
        <is>
          <t>GRAVAMEN LEY 25413 S/DEB</t>
        </is>
      </c>
      <c r="E323" s="9" t="n">
        <v>6.86</v>
      </c>
      <c r="F323" s="8" t="inlineStr">
        <is>
          <t>Pendiente visible en hojas Banco no Flexxus</t>
        </is>
      </c>
      <c r="G323" s="8" t="inlineStr"/>
    </row>
    <row r="324">
      <c r="A324" s="8" t="inlineStr">
        <is>
          <t>Banco</t>
        </is>
      </c>
      <c r="B324" s="8" t="inlineStr">
        <is>
          <t>22/04/2026</t>
        </is>
      </c>
      <c r="C324" s="8" t="inlineStr">
        <is>
          <t>32032899</t>
        </is>
      </c>
      <c r="D324" s="8" t="inlineStr">
        <is>
          <t>GRAVAMEN LEY 25413 S/DEB</t>
        </is>
      </c>
      <c r="E324" s="9" t="n">
        <v>6.69</v>
      </c>
      <c r="F324" s="8" t="inlineStr">
        <is>
          <t>Pendiente visible en hojas Banco no Flexxus</t>
        </is>
      </c>
      <c r="G324" s="8" t="inlineStr"/>
    </row>
    <row r="325">
      <c r="A325" s="8" t="inlineStr">
        <is>
          <t>Banco</t>
        </is>
      </c>
      <c r="B325" s="8" t="inlineStr">
        <is>
          <t>22/04/2026</t>
        </is>
      </c>
      <c r="C325" s="8" t="inlineStr">
        <is>
          <t>31995644</t>
        </is>
      </c>
      <c r="D325" s="8" t="inlineStr">
        <is>
          <t>GRAVAMEN LEY 25413 S/DEB</t>
        </is>
      </c>
      <c r="E325" s="9" t="n">
        <v>47.13</v>
      </c>
      <c r="F325" s="8" t="inlineStr">
        <is>
          <t>Pendiente visible en hojas Banco no Flexxus</t>
        </is>
      </c>
      <c r="G325" s="8" t="inlineStr"/>
    </row>
    <row r="326">
      <c r="A326" s="8" t="inlineStr">
        <is>
          <t>Banco</t>
        </is>
      </c>
      <c r="B326" s="8" t="inlineStr">
        <is>
          <t>22/04/2026</t>
        </is>
      </c>
      <c r="C326" s="8" t="inlineStr">
        <is>
          <t>31995644</t>
        </is>
      </c>
      <c r="D326" s="8" t="inlineStr">
        <is>
          <t>GRAVAMEN LEY 25413 S/DEB</t>
        </is>
      </c>
      <c r="E326" s="9" t="n">
        <v>105.26</v>
      </c>
      <c r="F326" s="8" t="inlineStr">
        <is>
          <t>Pendiente visible en hojas Banco no Flexxus</t>
        </is>
      </c>
      <c r="G326" s="8" t="inlineStr"/>
    </row>
    <row r="327">
      <c r="A327" s="8" t="inlineStr">
        <is>
          <t>Banco</t>
        </is>
      </c>
      <c r="B327" s="8" t="inlineStr">
        <is>
          <t>22/04/2026</t>
        </is>
      </c>
      <c r="C327" s="8" t="inlineStr">
        <is>
          <t>29841705</t>
        </is>
      </c>
      <c r="D327" s="8" t="inlineStr">
        <is>
          <t>GRAVAMEN LEY 25413 S/DEB</t>
        </is>
      </c>
      <c r="E327" s="9" t="n">
        <v>7.84</v>
      </c>
      <c r="F327" s="8" t="inlineStr">
        <is>
          <t>Pendiente visible en hojas Banco no Flexxus</t>
        </is>
      </c>
      <c r="G327" s="8" t="inlineStr"/>
    </row>
    <row r="328">
      <c r="A328" s="8" t="inlineStr">
        <is>
          <t>Banco</t>
        </is>
      </c>
      <c r="B328" s="8" t="inlineStr">
        <is>
          <t>22/04/2026</t>
        </is>
      </c>
      <c r="C328" s="8" t="inlineStr">
        <is>
          <t>29841705</t>
        </is>
      </c>
      <c r="D328" s="8" t="inlineStr">
        <is>
          <t>GRAVAMEN LEY 25413 S/DEB</t>
        </is>
      </c>
      <c r="E328" s="9" t="n">
        <v>2.57</v>
      </c>
      <c r="F328" s="8" t="inlineStr">
        <is>
          <t>Pendiente visible en hojas Banco no Flexxus</t>
        </is>
      </c>
      <c r="G328" s="8" t="inlineStr"/>
    </row>
    <row r="329">
      <c r="A329" s="8" t="inlineStr">
        <is>
          <t>Banco</t>
        </is>
      </c>
      <c r="B329" s="8" t="inlineStr">
        <is>
          <t>22/04/2026</t>
        </is>
      </c>
      <c r="C329" s="8" t="inlineStr">
        <is>
          <t>29841683</t>
        </is>
      </c>
      <c r="D329" s="8" t="inlineStr">
        <is>
          <t>GRAVAMEN LEY 25413 S/DEB</t>
        </is>
      </c>
      <c r="E329" s="9" t="n">
        <v>7.5</v>
      </c>
      <c r="F329" s="8" t="inlineStr">
        <is>
          <t>Pendiente visible en hojas Banco no Flexxus</t>
        </is>
      </c>
      <c r="G329" s="8" t="inlineStr"/>
    </row>
    <row r="330">
      <c r="A330" s="8" t="inlineStr">
        <is>
          <t>Banco</t>
        </is>
      </c>
      <c r="B330" s="8" t="inlineStr">
        <is>
          <t>22/04/2026</t>
        </is>
      </c>
      <c r="C330" s="8" t="inlineStr">
        <is>
          <t>29841642</t>
        </is>
      </c>
      <c r="D330" s="8" t="inlineStr">
        <is>
          <t>GRAVAMEN LEY 25413 S/DEB</t>
        </is>
      </c>
      <c r="E330" s="9" t="n">
        <v>4</v>
      </c>
      <c r="F330" s="8" t="inlineStr">
        <is>
          <t>Pendiente visible en hojas Banco no Flexxus</t>
        </is>
      </c>
      <c r="G330" s="8" t="inlineStr"/>
    </row>
    <row r="331">
      <c r="A331" s="8" t="inlineStr">
        <is>
          <t>Banco</t>
        </is>
      </c>
      <c r="B331" s="8" t="inlineStr">
        <is>
          <t>22/04/2026</t>
        </is>
      </c>
      <c r="C331" s="8" t="inlineStr">
        <is>
          <t>29841627</t>
        </is>
      </c>
      <c r="D331" s="8" t="inlineStr">
        <is>
          <t>GRAVAMEN LEY 25413 S/DEB</t>
        </is>
      </c>
      <c r="E331" s="9" t="n">
        <v>0.79</v>
      </c>
      <c r="F331" s="8" t="inlineStr">
        <is>
          <t>Pendiente visible en hojas Banco no Flexxus</t>
        </is>
      </c>
      <c r="G331" s="8" t="inlineStr"/>
    </row>
    <row r="332">
      <c r="A332" s="8" t="inlineStr">
        <is>
          <t>Banco</t>
        </is>
      </c>
      <c r="B332" s="8" t="inlineStr">
        <is>
          <t>22/04/2026</t>
        </is>
      </c>
      <c r="C332" s="8" t="inlineStr">
        <is>
          <t>32032899</t>
        </is>
      </c>
      <c r="D332" s="8" t="inlineStr">
        <is>
          <t>GRAVAMEN LEY 25413 S/DEB</t>
        </is>
      </c>
      <c r="E332" s="9" t="n">
        <v>11.76</v>
      </c>
      <c r="F332" s="8" t="inlineStr">
        <is>
          <t>Pendiente visible en hojas Banco no Flexxus</t>
        </is>
      </c>
      <c r="G332" s="8" t="inlineStr"/>
    </row>
    <row r="333">
      <c r="A333" s="8" t="inlineStr">
        <is>
          <t>Banco</t>
        </is>
      </c>
      <c r="B333" s="8" t="inlineStr">
        <is>
          <t>22/04/2026</t>
        </is>
      </c>
      <c r="C333" s="8" t="inlineStr">
        <is>
          <t>32032899</t>
        </is>
      </c>
      <c r="D333" s="8" t="inlineStr">
        <is>
          <t>GRAVAMEN LEY 25413 S/DEB</t>
        </is>
      </c>
      <c r="E333" s="9" t="n">
        <v>10.16</v>
      </c>
      <c r="F333" s="8" t="inlineStr">
        <is>
          <t>Pendiente visible en hojas Banco no Flexxus</t>
        </is>
      </c>
      <c r="G333" s="8" t="inlineStr"/>
    </row>
    <row r="334">
      <c r="A334" s="8" t="inlineStr">
        <is>
          <t>Banco</t>
        </is>
      </c>
      <c r="B334" s="8" t="inlineStr">
        <is>
          <t>22/04/2026</t>
        </is>
      </c>
      <c r="C334" s="8" t="inlineStr">
        <is>
          <t>31995644</t>
        </is>
      </c>
      <c r="D334" s="8" t="inlineStr">
        <is>
          <t>GRAVAMEN LEY 25413 S/DEB</t>
        </is>
      </c>
      <c r="E334" s="9" t="n">
        <v>2.02</v>
      </c>
      <c r="F334" s="8" t="inlineStr">
        <is>
          <t>Pendiente visible en hojas Banco no Flexxus</t>
        </is>
      </c>
      <c r="G334" s="8" t="inlineStr"/>
    </row>
    <row r="335">
      <c r="A335" s="8" t="inlineStr">
        <is>
          <t>Banco</t>
        </is>
      </c>
      <c r="B335" s="8" t="inlineStr">
        <is>
          <t>22/04/2026</t>
        </is>
      </c>
      <c r="C335" s="8" t="inlineStr">
        <is>
          <t>31995644</t>
        </is>
      </c>
      <c r="D335" s="8" t="inlineStr">
        <is>
          <t>GRAVAMEN LEY 25413 S/DEB</t>
        </is>
      </c>
      <c r="E335" s="9" t="n">
        <v>39.94</v>
      </c>
      <c r="F335" s="8" t="inlineStr">
        <is>
          <t>Pendiente visible en hojas Banco no Flexxus</t>
        </is>
      </c>
      <c r="G335" s="8" t="inlineStr"/>
    </row>
    <row r="336">
      <c r="A336" s="8" t="inlineStr">
        <is>
          <t>Banco</t>
        </is>
      </c>
      <c r="B336" s="8" t="inlineStr">
        <is>
          <t>22/04/2026</t>
        </is>
      </c>
      <c r="C336" s="8" t="inlineStr">
        <is>
          <t>29841683</t>
        </is>
      </c>
      <c r="D336" s="8" t="inlineStr">
        <is>
          <t>GRAVAMEN LEY 25413 S/DEB</t>
        </is>
      </c>
      <c r="E336" s="9" t="n">
        <v>0.68</v>
      </c>
      <c r="F336" s="8" t="inlineStr">
        <is>
          <t>Pendiente visible en hojas Banco no Flexxus</t>
        </is>
      </c>
      <c r="G336" s="8" t="inlineStr"/>
    </row>
    <row r="337">
      <c r="A337" s="8" t="inlineStr">
        <is>
          <t>Banco</t>
        </is>
      </c>
      <c r="B337" s="8" t="inlineStr">
        <is>
          <t>22/04/2026</t>
        </is>
      </c>
      <c r="C337" s="8" t="inlineStr">
        <is>
          <t>29841642</t>
        </is>
      </c>
      <c r="D337" s="8" t="inlineStr">
        <is>
          <t>GRAVAMEN LEY 25413 S/DEB</t>
        </is>
      </c>
      <c r="E337" s="9" t="n">
        <v>0.68</v>
      </c>
      <c r="F337" s="8" t="inlineStr">
        <is>
          <t>Pendiente visible en hojas Banco no Flexxus</t>
        </is>
      </c>
      <c r="G337" s="8" t="inlineStr"/>
    </row>
    <row r="338">
      <c r="A338" s="8" t="inlineStr">
        <is>
          <t>Banco</t>
        </is>
      </c>
      <c r="B338" s="8" t="inlineStr">
        <is>
          <t>22/04/2026</t>
        </is>
      </c>
      <c r="C338" s="8" t="inlineStr">
        <is>
          <t>108182</t>
        </is>
      </c>
      <c r="D338" s="8" t="inlineStr">
        <is>
          <t>GRAVAMEN LEY 25413 S/DEB</t>
        </is>
      </c>
      <c r="E338" s="9" t="n">
        <v>0.68</v>
      </c>
      <c r="F338" s="8" t="inlineStr">
        <is>
          <t>Pendiente visible en hojas Banco no Flexxus</t>
        </is>
      </c>
      <c r="G338" s="8" t="inlineStr"/>
    </row>
    <row r="339">
      <c r="A339" s="8" t="inlineStr">
        <is>
          <t>Banco</t>
        </is>
      </c>
      <c r="B339" s="8" t="inlineStr">
        <is>
          <t>22/04/2026</t>
        </is>
      </c>
      <c r="C339" s="8" t="inlineStr">
        <is>
          <t>108181</t>
        </is>
      </c>
      <c r="D339" s="8" t="inlineStr">
        <is>
          <t>GRAVAMEN LEY 25413 S/DEB</t>
        </is>
      </c>
      <c r="E339" s="9" t="n">
        <v>1.25</v>
      </c>
      <c r="F339" s="8" t="inlineStr">
        <is>
          <t>Pendiente visible en hojas Banco no Flexxus</t>
        </is>
      </c>
      <c r="G339" s="8" t="inlineStr"/>
    </row>
    <row r="340">
      <c r="A340" s="8" t="inlineStr">
        <is>
          <t>Banco</t>
        </is>
      </c>
      <c r="B340" s="8" t="inlineStr">
        <is>
          <t>22/04/2026</t>
        </is>
      </c>
      <c r="C340" s="8" t="inlineStr">
        <is>
          <t>108180</t>
        </is>
      </c>
      <c r="D340" s="8" t="inlineStr">
        <is>
          <t>GRAVAMEN LEY 25413 S/DEB</t>
        </is>
      </c>
      <c r="E340" s="9" t="n">
        <v>0.89</v>
      </c>
      <c r="F340" s="8" t="inlineStr">
        <is>
          <t>Pendiente visible en hojas Banco no Flexxus</t>
        </is>
      </c>
      <c r="G340" s="8" t="inlineStr"/>
    </row>
    <row r="341">
      <c r="A341" s="8" t="inlineStr">
        <is>
          <t>Banco</t>
        </is>
      </c>
      <c r="B341" s="8" t="inlineStr">
        <is>
          <t>22/04/2026</t>
        </is>
      </c>
      <c r="C341" s="8" t="inlineStr">
        <is>
          <t>108179</t>
        </is>
      </c>
      <c r="D341" s="8" t="inlineStr">
        <is>
          <t>GRAVAMEN LEY 25413 S/DEB</t>
        </is>
      </c>
      <c r="E341" s="9" t="n">
        <v>2.48</v>
      </c>
      <c r="F341" s="8" t="inlineStr">
        <is>
          <t>Pendiente visible en hojas Banco no Flexxus</t>
        </is>
      </c>
      <c r="G341" s="8" t="inlineStr"/>
    </row>
    <row r="342">
      <c r="A342" s="8" t="inlineStr">
        <is>
          <t>Banco</t>
        </is>
      </c>
      <c r="B342" s="8" t="inlineStr">
        <is>
          <t>22/04/2026</t>
        </is>
      </c>
      <c r="C342" s="8" t="inlineStr">
        <is>
          <t>108177</t>
        </is>
      </c>
      <c r="D342" s="8" t="inlineStr">
        <is>
          <t>GRAVAMEN LEY 25413 S/DEB</t>
        </is>
      </c>
      <c r="E342" s="9" t="n">
        <v>4.09</v>
      </c>
      <c r="F342" s="8" t="inlineStr">
        <is>
          <t>Pendiente visible en hojas Banco no Flexxus</t>
        </is>
      </c>
      <c r="G342" s="8" t="inlineStr"/>
    </row>
    <row r="343">
      <c r="A343" s="8" t="inlineStr">
        <is>
          <t>Banco</t>
        </is>
      </c>
      <c r="B343" s="8" t="inlineStr">
        <is>
          <t>22/04/2026</t>
        </is>
      </c>
      <c r="C343" s="8" t="inlineStr">
        <is>
          <t>108176</t>
        </is>
      </c>
      <c r="D343" s="8" t="inlineStr">
        <is>
          <t>GRAVAMEN LEY 25413 S/DEB</t>
        </is>
      </c>
      <c r="E343" s="9" t="n">
        <v>2.41</v>
      </c>
      <c r="F343" s="8" t="inlineStr">
        <is>
          <t>Pendiente visible en hojas Banco no Flexxus</t>
        </is>
      </c>
      <c r="G343" s="8" t="inlineStr"/>
    </row>
    <row r="344">
      <c r="A344" s="8" t="inlineStr">
        <is>
          <t>Banco</t>
        </is>
      </c>
      <c r="B344" s="8" t="inlineStr">
        <is>
          <t>22/04/2026</t>
        </is>
      </c>
      <c r="C344" s="8" t="inlineStr">
        <is>
          <t>108230</t>
        </is>
      </c>
      <c r="D344" s="8" t="inlineStr">
        <is>
          <t>INGRESOS BRUTOS MENDOZA</t>
        </is>
      </c>
      <c r="E344" s="9" t="n">
        <v>672.4299999999999</v>
      </c>
      <c r="F344" s="8" t="inlineStr">
        <is>
          <t>Pendiente visible en hojas Banco no Flexxus</t>
        </is>
      </c>
      <c r="G344" s="8" t="inlineStr"/>
    </row>
    <row r="345">
      <c r="A345" s="8" t="inlineStr">
        <is>
          <t>Banco</t>
        </is>
      </c>
      <c r="B345" s="8" t="inlineStr">
        <is>
          <t>22/04/2026</t>
        </is>
      </c>
      <c r="C345" s="8" t="inlineStr">
        <is>
          <t>108230</t>
        </is>
      </c>
      <c r="D345" s="8" t="inlineStr">
        <is>
          <t>GRAVAMEN LEY 25413 S/CRED</t>
        </is>
      </c>
      <c r="E345" s="9" t="n">
        <v>403.46</v>
      </c>
      <c r="F345" s="8" t="inlineStr">
        <is>
          <t>Pendiente visible en hojas Banco no Flexxus</t>
        </is>
      </c>
      <c r="G345" s="8" t="inlineStr"/>
    </row>
    <row r="346">
      <c r="A346" s="8" t="inlineStr">
        <is>
          <t>Banco</t>
        </is>
      </c>
      <c r="B346" s="8" t="inlineStr">
        <is>
          <t>22/04/2026</t>
        </is>
      </c>
      <c r="C346" s="8" t="inlineStr">
        <is>
          <t>108229</t>
        </is>
      </c>
      <c r="D346" s="8" t="inlineStr">
        <is>
          <t>INGRESOS BRUTOS MENDOZA</t>
        </is>
      </c>
      <c r="E346" s="9" t="n">
        <v>906.14</v>
      </c>
      <c r="F346" s="8" t="inlineStr">
        <is>
          <t>Pendiente visible en hojas Banco no Flexxus</t>
        </is>
      </c>
      <c r="G346" s="8" t="inlineStr"/>
    </row>
    <row r="347">
      <c r="A347" s="8" t="inlineStr">
        <is>
          <t>Banco</t>
        </is>
      </c>
      <c r="B347" s="8" t="inlineStr">
        <is>
          <t>22/04/2026</t>
        </is>
      </c>
      <c r="C347" s="8" t="inlineStr">
        <is>
          <t>108229</t>
        </is>
      </c>
      <c r="D347" s="8" t="inlineStr">
        <is>
          <t>GRAVAMEN LEY 25413 S/CRED</t>
        </is>
      </c>
      <c r="E347" s="9" t="n">
        <v>543.6900000000001</v>
      </c>
      <c r="F347" s="8" t="inlineStr">
        <is>
          <t>Pendiente visible en hojas Banco no Flexxus</t>
        </is>
      </c>
      <c r="G347" s="8" t="inlineStr"/>
    </row>
    <row r="348">
      <c r="A348" s="8" t="inlineStr">
        <is>
          <t>Banco</t>
        </is>
      </c>
      <c r="B348" s="8" t="inlineStr">
        <is>
          <t>22/04/2026</t>
        </is>
      </c>
      <c r="C348" s="8" t="inlineStr">
        <is>
          <t>108228</t>
        </is>
      </c>
      <c r="D348" s="8" t="inlineStr">
        <is>
          <t>INGRESOS BRUTOS MENDOZA</t>
        </is>
      </c>
      <c r="E348" s="9" t="n">
        <v>227.77</v>
      </c>
      <c r="F348" s="8" t="inlineStr">
        <is>
          <t>Pendiente visible en hojas Banco no Flexxus</t>
        </is>
      </c>
      <c r="G348" s="8" t="inlineStr"/>
    </row>
    <row r="349">
      <c r="A349" s="8" t="inlineStr">
        <is>
          <t>Banco</t>
        </is>
      </c>
      <c r="B349" s="8" t="inlineStr">
        <is>
          <t>22/04/2026</t>
        </is>
      </c>
      <c r="C349" s="8" t="inlineStr">
        <is>
          <t>108228</t>
        </is>
      </c>
      <c r="D349" s="8" t="inlineStr">
        <is>
          <t>GRAVAMEN LEY 25413 S/CRED</t>
        </is>
      </c>
      <c r="E349" s="9" t="n">
        <v>136.66</v>
      </c>
      <c r="F349" s="8" t="inlineStr">
        <is>
          <t>Pendiente visible en hojas Banco no Flexxus</t>
        </is>
      </c>
      <c r="G349" s="8" t="inlineStr"/>
    </row>
    <row r="350">
      <c r="A350" s="8" t="inlineStr">
        <is>
          <t>Banco</t>
        </is>
      </c>
      <c r="B350" s="8" t="inlineStr">
        <is>
          <t>22/04/2026</t>
        </is>
      </c>
      <c r="C350" s="8" t="inlineStr">
        <is>
          <t>108227</t>
        </is>
      </c>
      <c r="D350" s="8" t="inlineStr">
        <is>
          <t>INGRESOS BRUTOS MENDOZA</t>
        </is>
      </c>
      <c r="E350" s="9" t="n">
        <v>255.5</v>
      </c>
      <c r="F350" s="8" t="inlineStr">
        <is>
          <t>Pendiente visible en hojas Banco no Flexxus</t>
        </is>
      </c>
      <c r="G350" s="8" t="inlineStr"/>
    </row>
    <row r="351">
      <c r="A351" s="8" t="inlineStr">
        <is>
          <t>Banco</t>
        </is>
      </c>
      <c r="B351" s="8" t="inlineStr">
        <is>
          <t>22/04/2026</t>
        </is>
      </c>
      <c r="C351" s="8" t="inlineStr">
        <is>
          <t>108227</t>
        </is>
      </c>
      <c r="D351" s="8" t="inlineStr">
        <is>
          <t>GRAVAMEN LEY 25413 S/CRED</t>
        </is>
      </c>
      <c r="E351" s="9" t="n">
        <v>153.3</v>
      </c>
      <c r="F351" s="8" t="inlineStr">
        <is>
          <t>Pendiente visible en hojas Banco no Flexxus</t>
        </is>
      </c>
      <c r="G351" s="8" t="inlineStr"/>
    </row>
    <row r="352">
      <c r="A352" s="8" t="inlineStr">
        <is>
          <t>Banco</t>
        </is>
      </c>
      <c r="B352" s="8" t="inlineStr">
        <is>
          <t>22/04/2026</t>
        </is>
      </c>
      <c r="C352" s="8" t="inlineStr">
        <is>
          <t>108226</t>
        </is>
      </c>
      <c r="D352" s="8" t="inlineStr">
        <is>
          <t>INGRESOS BRUTOS MENDOZA</t>
        </is>
      </c>
      <c r="E352" s="9" t="n">
        <v>89.13</v>
      </c>
      <c r="F352" s="8" t="inlineStr">
        <is>
          <t>Pendiente visible en hojas Banco no Flexxus</t>
        </is>
      </c>
      <c r="G352" s="8" t="inlineStr"/>
    </row>
    <row r="353">
      <c r="A353" s="8" t="inlineStr">
        <is>
          <t>Banco</t>
        </is>
      </c>
      <c r="B353" s="8" t="inlineStr">
        <is>
          <t>22/04/2026</t>
        </is>
      </c>
      <c r="C353" s="8" t="inlineStr">
        <is>
          <t>108226</t>
        </is>
      </c>
      <c r="D353" s="8" t="inlineStr">
        <is>
          <t>GRAVAMEN LEY 25413 S/CRED</t>
        </is>
      </c>
      <c r="E353" s="9" t="n">
        <v>53.48</v>
      </c>
      <c r="F353" s="8" t="inlineStr">
        <is>
          <t>Pendiente visible en hojas Banco no Flexxus</t>
        </is>
      </c>
      <c r="G353" s="8" t="inlineStr"/>
    </row>
    <row r="354">
      <c r="A354" s="8" t="inlineStr">
        <is>
          <t>Banco</t>
        </is>
      </c>
      <c r="B354" s="8" t="inlineStr">
        <is>
          <t>22/04/2026</t>
        </is>
      </c>
      <c r="C354" s="8" t="inlineStr">
        <is>
          <t>108225</t>
        </is>
      </c>
      <c r="D354" s="8" t="inlineStr">
        <is>
          <t>INGRESOS BRUTOS MENDOZA</t>
        </is>
      </c>
      <c r="E354" s="9" t="n">
        <v>133.69</v>
      </c>
      <c r="F354" s="8" t="inlineStr">
        <is>
          <t>Pendiente visible en hojas Banco no Flexxus</t>
        </is>
      </c>
      <c r="G354" s="8" t="inlineStr"/>
    </row>
    <row r="355">
      <c r="A355" s="8" t="inlineStr">
        <is>
          <t>Banco</t>
        </is>
      </c>
      <c r="B355" s="8" t="inlineStr">
        <is>
          <t>22/04/2026</t>
        </is>
      </c>
      <c r="C355" s="8" t="inlineStr">
        <is>
          <t>108225</t>
        </is>
      </c>
      <c r="D355" s="8" t="inlineStr">
        <is>
          <t>GRAVAMEN LEY 25413 S/CRED</t>
        </is>
      </c>
      <c r="E355" s="9" t="n">
        <v>80.22</v>
      </c>
      <c r="F355" s="8" t="inlineStr">
        <is>
          <t>Pendiente visible en hojas Banco no Flexxus</t>
        </is>
      </c>
      <c r="G355" s="8" t="inlineStr"/>
    </row>
    <row r="356">
      <c r="A356" s="8" t="inlineStr">
        <is>
          <t>Banco</t>
        </is>
      </c>
      <c r="B356" s="8" t="inlineStr">
        <is>
          <t>22/04/2026</t>
        </is>
      </c>
      <c r="C356" s="8" t="inlineStr">
        <is>
          <t>108224</t>
        </is>
      </c>
      <c r="D356" s="8" t="inlineStr">
        <is>
          <t>INGRESOS BRUTOS MENDOZA</t>
        </is>
      </c>
      <c r="E356" s="9" t="n">
        <v>113.89</v>
      </c>
      <c r="F356" s="8" t="inlineStr">
        <is>
          <t>Pendiente visible en hojas Banco no Flexxus</t>
        </is>
      </c>
      <c r="G356" s="8" t="inlineStr"/>
    </row>
    <row r="357">
      <c r="A357" s="8" t="inlineStr">
        <is>
          <t>Banco</t>
        </is>
      </c>
      <c r="B357" s="8" t="inlineStr">
        <is>
          <t>22/04/2026</t>
        </is>
      </c>
      <c r="C357" s="8" t="inlineStr">
        <is>
          <t>108224</t>
        </is>
      </c>
      <c r="D357" s="8" t="inlineStr">
        <is>
          <t>GRAVAMEN LEY 25413 S/CRED</t>
        </is>
      </c>
      <c r="E357" s="9" t="n">
        <v>68.33</v>
      </c>
      <c r="F357" s="8" t="inlineStr">
        <is>
          <t>Pendiente visible en hojas Banco no Flexxus</t>
        </is>
      </c>
      <c r="G357" s="8" t="inlineStr"/>
    </row>
    <row r="358">
      <c r="A358" s="8" t="inlineStr">
        <is>
          <t>Banco</t>
        </is>
      </c>
      <c r="B358" s="8" t="inlineStr">
        <is>
          <t>22/04/2026</t>
        </is>
      </c>
      <c r="C358" s="8" t="inlineStr">
        <is>
          <t>108223</t>
        </is>
      </c>
      <c r="D358" s="8" t="inlineStr">
        <is>
          <t>INGRESOS BRUTOS MENDOZA</t>
        </is>
      </c>
      <c r="E358" s="9" t="n">
        <v>133.69</v>
      </c>
      <c r="F358" s="8" t="inlineStr">
        <is>
          <t>Pendiente visible en hojas Banco no Flexxus</t>
        </is>
      </c>
      <c r="G358" s="8" t="inlineStr"/>
    </row>
    <row r="359">
      <c r="A359" s="8" t="inlineStr">
        <is>
          <t>Banco</t>
        </is>
      </c>
      <c r="B359" s="8" t="inlineStr">
        <is>
          <t>22/04/2026</t>
        </is>
      </c>
      <c r="C359" s="8" t="inlineStr">
        <is>
          <t>108223</t>
        </is>
      </c>
      <c r="D359" s="8" t="inlineStr">
        <is>
          <t>GRAVAMEN LEY 25413 S/CRED</t>
        </is>
      </c>
      <c r="E359" s="9" t="n">
        <v>80.22</v>
      </c>
      <c r="F359" s="8" t="inlineStr">
        <is>
          <t>Pendiente visible en hojas Banco no Flexxus</t>
        </is>
      </c>
      <c r="G359" s="8" t="inlineStr"/>
    </row>
    <row r="360">
      <c r="A360" s="8" t="inlineStr">
        <is>
          <t>Banco</t>
        </is>
      </c>
      <c r="B360" s="8" t="inlineStr">
        <is>
          <t>22/04/2026</t>
        </is>
      </c>
      <c r="C360" s="8" t="inlineStr">
        <is>
          <t>108222</t>
        </is>
      </c>
      <c r="D360" s="8" t="inlineStr">
        <is>
          <t>INGRESOS BRUTOS MENDOZA</t>
        </is>
      </c>
      <c r="E360" s="9" t="n">
        <v>1007.16</v>
      </c>
      <c r="F360" s="8" t="inlineStr">
        <is>
          <t>Pendiente visible en hojas Banco no Flexxus</t>
        </is>
      </c>
      <c r="G360" s="8" t="inlineStr"/>
    </row>
    <row r="361">
      <c r="A361" s="8" t="inlineStr">
        <is>
          <t>Banco</t>
        </is>
      </c>
      <c r="B361" s="8" t="inlineStr">
        <is>
          <t>22/04/2026</t>
        </is>
      </c>
      <c r="C361" s="8" t="inlineStr">
        <is>
          <t>108222</t>
        </is>
      </c>
      <c r="D361" s="8" t="inlineStr">
        <is>
          <t>GRAVAMEN LEY 25413 S/CRED</t>
        </is>
      </c>
      <c r="E361" s="9" t="n">
        <v>604.29</v>
      </c>
      <c r="F361" s="8" t="inlineStr">
        <is>
          <t>Pendiente visible en hojas Banco no Flexxus</t>
        </is>
      </c>
      <c r="G361" s="8" t="inlineStr"/>
    </row>
    <row r="362">
      <c r="A362" s="8" t="inlineStr">
        <is>
          <t>Banco</t>
        </is>
      </c>
      <c r="B362" s="8" t="inlineStr">
        <is>
          <t>22/04/2026</t>
        </is>
      </c>
      <c r="C362" s="8" t="inlineStr">
        <is>
          <t>108221</t>
        </is>
      </c>
      <c r="D362" s="8" t="inlineStr">
        <is>
          <t>INGRESOS BRUTOS MENDOZA</t>
        </is>
      </c>
      <c r="E362" s="9" t="n">
        <v>722.9299999999999</v>
      </c>
      <c r="F362" s="8" t="inlineStr">
        <is>
          <t>Pendiente visible en hojas Banco no Flexxus</t>
        </is>
      </c>
      <c r="G362" s="8" t="inlineStr"/>
    </row>
    <row r="363">
      <c r="A363" s="8" t="inlineStr">
        <is>
          <t>Banco</t>
        </is>
      </c>
      <c r="B363" s="8" t="inlineStr">
        <is>
          <t>22/04/2026</t>
        </is>
      </c>
      <c r="C363" s="8" t="inlineStr">
        <is>
          <t>108221</t>
        </is>
      </c>
      <c r="D363" s="8" t="inlineStr">
        <is>
          <t>GRAVAMEN LEY 25413 S/CRED</t>
        </is>
      </c>
      <c r="E363" s="9" t="n">
        <v>433.76</v>
      </c>
      <c r="F363" s="8" t="inlineStr">
        <is>
          <t>Pendiente visible en hojas Banco no Flexxus</t>
        </is>
      </c>
      <c r="G363" s="8" t="inlineStr"/>
    </row>
    <row r="364">
      <c r="A364" s="8" t="inlineStr">
        <is>
          <t>Banco</t>
        </is>
      </c>
      <c r="B364" s="8" t="inlineStr">
        <is>
          <t>22/04/2026</t>
        </is>
      </c>
      <c r="C364" s="8" t="inlineStr">
        <is>
          <t>108220</t>
        </is>
      </c>
      <c r="D364" s="8" t="inlineStr">
        <is>
          <t>INGRESOS BRUTOS MENDOZA</t>
        </is>
      </c>
      <c r="E364" s="9" t="n">
        <v>189.15</v>
      </c>
      <c r="F364" s="8" t="inlineStr">
        <is>
          <t>Pendiente visible en hojas Banco no Flexxus</t>
        </is>
      </c>
      <c r="G364" s="8" t="inlineStr"/>
    </row>
    <row r="365">
      <c r="A365" s="8" t="inlineStr">
        <is>
          <t>Banco</t>
        </is>
      </c>
      <c r="B365" s="8" t="inlineStr">
        <is>
          <t>22/04/2026</t>
        </is>
      </c>
      <c r="C365" s="8" t="inlineStr">
        <is>
          <t>108220</t>
        </is>
      </c>
      <c r="D365" s="8" t="inlineStr">
        <is>
          <t>GRAVAMEN LEY 25413 S/CRED</t>
        </is>
      </c>
      <c r="E365" s="9" t="n">
        <v>113.49</v>
      </c>
      <c r="F365" s="8" t="inlineStr">
        <is>
          <t>Pendiente visible en hojas Banco no Flexxus</t>
        </is>
      </c>
      <c r="G365" s="8" t="inlineStr"/>
    </row>
    <row r="366">
      <c r="A366" s="8" t="inlineStr">
        <is>
          <t>Banco</t>
        </is>
      </c>
      <c r="B366" s="8" t="inlineStr">
        <is>
          <t>22/04/2026</t>
        </is>
      </c>
      <c r="C366" s="8" t="inlineStr">
        <is>
          <t>108219</t>
        </is>
      </c>
      <c r="D366" s="8" t="inlineStr">
        <is>
          <t>GRAVAMEN LEY 25413 S/DEB</t>
        </is>
      </c>
      <c r="E366" s="9" t="n">
        <v>12000</v>
      </c>
      <c r="F366" s="8" t="inlineStr">
        <is>
          <t>Pendiente visible en hojas Banco no Flexxus</t>
        </is>
      </c>
      <c r="G366" s="8" t="inlineStr"/>
    </row>
    <row r="367">
      <c r="A367" s="8" t="inlineStr">
        <is>
          <t>Banco</t>
        </is>
      </c>
      <c r="B367" s="8" t="inlineStr">
        <is>
          <t>22/04/2026</t>
        </is>
      </c>
      <c r="C367" s="8" t="inlineStr">
        <is>
          <t>108218</t>
        </is>
      </c>
      <c r="D367" s="8" t="inlineStr">
        <is>
          <t>INGRESOS BRUTOS MENDOZA</t>
        </is>
      </c>
      <c r="E367" s="9" t="n">
        <v>525.86</v>
      </c>
      <c r="F367" s="8" t="inlineStr">
        <is>
          <t>Pendiente visible en hojas Banco no Flexxus</t>
        </is>
      </c>
      <c r="G367" s="8" t="inlineStr"/>
    </row>
    <row r="368">
      <c r="A368" s="8" t="inlineStr">
        <is>
          <t>Banco</t>
        </is>
      </c>
      <c r="B368" s="8" t="inlineStr">
        <is>
          <t>22/04/2026</t>
        </is>
      </c>
      <c r="C368" s="8" t="inlineStr">
        <is>
          <t>108218</t>
        </is>
      </c>
      <c r="D368" s="8" t="inlineStr">
        <is>
          <t>GRAVAMEN LEY 25413 S/CRED</t>
        </is>
      </c>
      <c r="E368" s="9" t="n">
        <v>315.52</v>
      </c>
      <c r="F368" s="8" t="inlineStr">
        <is>
          <t>Pendiente visible en hojas Banco no Flexxus</t>
        </is>
      </c>
      <c r="G368" s="8" t="inlineStr"/>
    </row>
    <row r="369">
      <c r="A369" s="8" t="inlineStr">
        <is>
          <t>Banco</t>
        </is>
      </c>
      <c r="B369" s="8" t="inlineStr">
        <is>
          <t>22/04/2026</t>
        </is>
      </c>
      <c r="C369" s="8" t="inlineStr">
        <is>
          <t>32032899</t>
        </is>
      </c>
      <c r="D369" s="8" t="inlineStr">
        <is>
          <t>INGRESOS BRUTOS MENDOZA</t>
        </is>
      </c>
      <c r="E369" s="9" t="n">
        <v>2108.53</v>
      </c>
      <c r="F369" s="8" t="inlineStr">
        <is>
          <t>Pendiente visible en hojas Banco no Flexxus</t>
        </is>
      </c>
      <c r="G369" s="8" t="inlineStr"/>
    </row>
    <row r="370">
      <c r="A370" s="8" t="inlineStr">
        <is>
          <t>Banco</t>
        </is>
      </c>
      <c r="B370" s="8" t="inlineStr">
        <is>
          <t>22/04/2026</t>
        </is>
      </c>
      <c r="C370" s="8" t="inlineStr">
        <is>
          <t>32032899</t>
        </is>
      </c>
      <c r="D370" s="8" t="inlineStr">
        <is>
          <t>GRAVAMEN LEY 25413 S/CRED</t>
        </is>
      </c>
      <c r="E370" s="9" t="n">
        <v>1265.12</v>
      </c>
      <c r="F370" s="8" t="inlineStr">
        <is>
          <t>Pendiente visible en hojas Banco no Flexxus</t>
        </is>
      </c>
      <c r="G370" s="8" t="inlineStr"/>
    </row>
    <row r="371">
      <c r="A371" s="8" t="inlineStr">
        <is>
          <t>Banco</t>
        </is>
      </c>
      <c r="B371" s="8" t="inlineStr">
        <is>
          <t>22/04/2026</t>
        </is>
      </c>
      <c r="C371" s="8" t="inlineStr">
        <is>
          <t>31995644</t>
        </is>
      </c>
      <c r="D371" s="8" t="inlineStr">
        <is>
          <t>INGRESOS BRUTOS MENDOZA</t>
        </is>
      </c>
      <c r="E371" s="9" t="n">
        <v>702.4</v>
      </c>
      <c r="F371" s="8" t="inlineStr">
        <is>
          <t>Pendiente visible en hojas Banco no Flexxus</t>
        </is>
      </c>
      <c r="G371" s="8" t="inlineStr"/>
    </row>
    <row r="372">
      <c r="A372" s="8" t="inlineStr">
        <is>
          <t>Banco</t>
        </is>
      </c>
      <c r="B372" s="8" t="inlineStr">
        <is>
          <t>22/04/2026</t>
        </is>
      </c>
      <c r="C372" s="8" t="inlineStr">
        <is>
          <t>31995644</t>
        </is>
      </c>
      <c r="D372" s="8" t="inlineStr">
        <is>
          <t>GRAVAMEN LEY 25413 S/CRED</t>
        </is>
      </c>
      <c r="E372" s="9" t="n">
        <v>421.44</v>
      </c>
      <c r="F372" s="8" t="inlineStr">
        <is>
          <t>Pendiente visible en hojas Banco no Flexxus</t>
        </is>
      </c>
      <c r="G372" s="8" t="inlineStr"/>
    </row>
    <row r="373">
      <c r="A373" s="8" t="inlineStr">
        <is>
          <t>Banco</t>
        </is>
      </c>
      <c r="B373" s="8" t="inlineStr">
        <is>
          <t>22/04/2026</t>
        </is>
      </c>
      <c r="C373" s="8" t="inlineStr">
        <is>
          <t>29841705</t>
        </is>
      </c>
      <c r="D373" s="8" t="inlineStr">
        <is>
          <t>INGRESOS BRUTOS MENDOZA</t>
        </is>
      </c>
      <c r="E373" s="9" t="n">
        <v>271.67</v>
      </c>
      <c r="F373" s="8" t="inlineStr">
        <is>
          <t>Pendiente visible en hojas Banco no Flexxus</t>
        </is>
      </c>
      <c r="G373" s="8" t="inlineStr"/>
    </row>
    <row r="374">
      <c r="A374" s="8" t="inlineStr">
        <is>
          <t>Banco</t>
        </is>
      </c>
      <c r="B374" s="8" t="inlineStr">
        <is>
          <t>22/04/2026</t>
        </is>
      </c>
      <c r="C374" s="8" t="inlineStr">
        <is>
          <t>29841705</t>
        </is>
      </c>
      <c r="D374" s="8" t="inlineStr">
        <is>
          <t>GRAVAMEN LEY 25413 S/CRED</t>
        </is>
      </c>
      <c r="E374" s="9" t="n">
        <v>163</v>
      </c>
      <c r="F374" s="8" t="inlineStr">
        <is>
          <t>Pendiente visible en hojas Banco no Flexxus</t>
        </is>
      </c>
      <c r="G374" s="8" t="inlineStr"/>
    </row>
    <row r="375">
      <c r="A375" s="8" t="inlineStr">
        <is>
          <t>Banco</t>
        </is>
      </c>
      <c r="B375" s="8" t="inlineStr">
        <is>
          <t>22/04/2026</t>
        </is>
      </c>
      <c r="C375" s="8" t="inlineStr">
        <is>
          <t>29841670</t>
        </is>
      </c>
      <c r="D375" s="8" t="inlineStr">
        <is>
          <t>INGRESOS BRUTOS MENDOZA</t>
        </is>
      </c>
      <c r="E375" s="9" t="n">
        <v>908.87</v>
      </c>
      <c r="F375" s="8" t="inlineStr">
        <is>
          <t>Pendiente visible en hojas Banco no Flexxus</t>
        </is>
      </c>
      <c r="G375" s="8" t="inlineStr"/>
    </row>
    <row r="376">
      <c r="A376" s="8" t="inlineStr">
        <is>
          <t>Banco</t>
        </is>
      </c>
      <c r="B376" s="8" t="inlineStr">
        <is>
          <t>22/04/2026</t>
        </is>
      </c>
      <c r="C376" s="8" t="inlineStr">
        <is>
          <t>29841670</t>
        </is>
      </c>
      <c r="D376" s="8" t="inlineStr">
        <is>
          <t>GRAVAMEN LEY 25413 S/CRED</t>
        </is>
      </c>
      <c r="E376" s="9" t="n">
        <v>545.3200000000001</v>
      </c>
      <c r="F376" s="8" t="inlineStr">
        <is>
          <t>Pendiente visible en hojas Banco no Flexxus</t>
        </is>
      </c>
      <c r="G376" s="8" t="inlineStr"/>
    </row>
    <row r="377">
      <c r="A377" s="8" t="inlineStr">
        <is>
          <t>Banco</t>
        </is>
      </c>
      <c r="B377" s="8" t="inlineStr">
        <is>
          <t>22/04/2026</t>
        </is>
      </c>
      <c r="C377" s="8" t="inlineStr">
        <is>
          <t>29841642</t>
        </is>
      </c>
      <c r="D377" s="8" t="inlineStr">
        <is>
          <t>INGRESOS BRUTOS MENDOZA</t>
        </is>
      </c>
      <c r="E377" s="9" t="n">
        <v>587.8</v>
      </c>
      <c r="F377" s="8" t="inlineStr">
        <is>
          <t>Pendiente visible en hojas Banco no Flexxus</t>
        </is>
      </c>
      <c r="G377" s="8" t="inlineStr"/>
    </row>
    <row r="378">
      <c r="A378" s="8" t="inlineStr">
        <is>
          <t>Banco</t>
        </is>
      </c>
      <c r="B378" s="8" t="inlineStr">
        <is>
          <t>22/04/2026</t>
        </is>
      </c>
      <c r="C378" s="8" t="inlineStr">
        <is>
          <t>29841642</t>
        </is>
      </c>
      <c r="D378" s="8" t="inlineStr">
        <is>
          <t>GRAVAMEN LEY 25413 S/CRED</t>
        </is>
      </c>
      <c r="E378" s="9" t="n">
        <v>352.68</v>
      </c>
      <c r="F378" s="8" t="inlineStr">
        <is>
          <t>Pendiente visible en hojas Banco no Flexxus</t>
        </is>
      </c>
      <c r="G378" s="8" t="inlineStr"/>
    </row>
    <row r="379">
      <c r="A379" s="8" t="inlineStr">
        <is>
          <t>Banco</t>
        </is>
      </c>
      <c r="B379" s="8" t="inlineStr">
        <is>
          <t>22/04/2026</t>
        </is>
      </c>
      <c r="C379" s="8" t="inlineStr">
        <is>
          <t>29841627</t>
        </is>
      </c>
      <c r="D379" s="8" t="inlineStr">
        <is>
          <t>INGRESOS BRUTOS MENDOZA</t>
        </is>
      </c>
      <c r="E379" s="9" t="n">
        <v>154.11</v>
      </c>
      <c r="F379" s="8" t="inlineStr">
        <is>
          <t>Pendiente visible en hojas Banco no Flexxus</t>
        </is>
      </c>
      <c r="G379" s="8" t="inlineStr"/>
    </row>
    <row r="380">
      <c r="A380" s="8" t="inlineStr">
        <is>
          <t>Banco</t>
        </is>
      </c>
      <c r="B380" s="8" t="inlineStr">
        <is>
          <t>22/04/2026</t>
        </is>
      </c>
      <c r="C380" s="8" t="inlineStr">
        <is>
          <t>29841627</t>
        </is>
      </c>
      <c r="D380" s="8" t="inlineStr">
        <is>
          <t>GRAVAMEN LEY 25413 S/CRED</t>
        </is>
      </c>
      <c r="E380" s="9" t="n">
        <v>92.47</v>
      </c>
      <c r="F380" s="8" t="inlineStr">
        <is>
          <t>Pendiente visible en hojas Banco no Flexxus</t>
        </is>
      </c>
      <c r="G380" s="8" t="inlineStr"/>
    </row>
    <row r="381">
      <c r="A381" s="8" t="inlineStr">
        <is>
          <t>Banco</t>
        </is>
      </c>
      <c r="B381" s="8" t="inlineStr">
        <is>
          <t>22/04/2026</t>
        </is>
      </c>
      <c r="C381" s="8" t="inlineStr">
        <is>
          <t>32032899</t>
        </is>
      </c>
      <c r="D381" s="8" t="inlineStr">
        <is>
          <t>INGRESOS BRUTOS MENDOZA</t>
        </is>
      </c>
      <c r="E381" s="9" t="n">
        <v>326.99</v>
      </c>
      <c r="F381" s="8" t="inlineStr">
        <is>
          <t>Pendiente visible en hojas Banco no Flexxus</t>
        </is>
      </c>
      <c r="G381" s="8" t="inlineStr"/>
    </row>
    <row r="382">
      <c r="A382" s="8" t="inlineStr">
        <is>
          <t>Banco</t>
        </is>
      </c>
      <c r="B382" s="8" t="inlineStr">
        <is>
          <t>22/04/2026</t>
        </is>
      </c>
      <c r="C382" s="8" t="inlineStr">
        <is>
          <t>32032899</t>
        </is>
      </c>
      <c r="D382" s="8" t="inlineStr">
        <is>
          <t>GRAVAMEN LEY 25413 S/CRED</t>
        </is>
      </c>
      <c r="E382" s="9" t="n">
        <v>196.2</v>
      </c>
      <c r="F382" s="8" t="inlineStr">
        <is>
          <t>Pendiente visible en hojas Banco no Flexxus</t>
        </is>
      </c>
      <c r="G382" s="8" t="inlineStr"/>
    </row>
    <row r="383">
      <c r="A383" s="8" t="inlineStr">
        <is>
          <t>Banco</t>
        </is>
      </c>
      <c r="B383" s="8" t="inlineStr">
        <is>
          <t>22/04/2026</t>
        </is>
      </c>
      <c r="C383" s="8" t="inlineStr">
        <is>
          <t>108210</t>
        </is>
      </c>
      <c r="D383" s="8" t="inlineStr">
        <is>
          <t>INGRESOS BRUTOS MENDOZA</t>
        </is>
      </c>
      <c r="E383" s="9" t="n">
        <v>123.79</v>
      </c>
      <c r="F383" s="8" t="inlineStr">
        <is>
          <t>Pendiente visible en hojas Banco no Flexxus</t>
        </is>
      </c>
      <c r="G383" s="8" t="inlineStr"/>
    </row>
    <row r="384">
      <c r="A384" s="8" t="inlineStr">
        <is>
          <t>Banco</t>
        </is>
      </c>
      <c r="B384" s="8" t="inlineStr">
        <is>
          <t>22/04/2026</t>
        </is>
      </c>
      <c r="C384" s="8" t="inlineStr">
        <is>
          <t>108210</t>
        </is>
      </c>
      <c r="D384" s="8" t="inlineStr">
        <is>
          <t>GRAVAMEN LEY 25413 S/CRED</t>
        </is>
      </c>
      <c r="E384" s="9" t="n">
        <v>74.27</v>
      </c>
      <c r="F384" s="8" t="inlineStr">
        <is>
          <t>Pendiente visible en hojas Banco no Flexxus</t>
        </is>
      </c>
      <c r="G384" s="8" t="inlineStr"/>
    </row>
    <row r="385">
      <c r="A385" s="8" t="inlineStr">
        <is>
          <t>Banco</t>
        </is>
      </c>
      <c r="B385" s="8" t="inlineStr">
        <is>
          <t>22/04/2026</t>
        </is>
      </c>
      <c r="C385" s="8" t="inlineStr">
        <is>
          <t>29841705</t>
        </is>
      </c>
      <c r="D385" s="8" t="inlineStr">
        <is>
          <t>INGRESOS BRUTOS MENDOZA</t>
        </is>
      </c>
      <c r="E385" s="9" t="n">
        <v>378.37</v>
      </c>
      <c r="F385" s="8" t="inlineStr">
        <is>
          <t>Pendiente visible en hojas Banco no Flexxus</t>
        </is>
      </c>
      <c r="G385" s="8" t="inlineStr"/>
    </row>
    <row r="386">
      <c r="A386" s="8" t="inlineStr">
        <is>
          <t>Banco</t>
        </is>
      </c>
      <c r="B386" s="8" t="inlineStr">
        <is>
          <t>22/04/2026</t>
        </is>
      </c>
      <c r="C386" s="8" t="inlineStr">
        <is>
          <t>29841705</t>
        </is>
      </c>
      <c r="D386" s="8" t="inlineStr">
        <is>
          <t>GRAVAMEN LEY 25413 S/CRED</t>
        </is>
      </c>
      <c r="E386" s="9" t="n">
        <v>227.02</v>
      </c>
      <c r="F386" s="8" t="inlineStr">
        <is>
          <t>Pendiente visible en hojas Banco no Flexxus</t>
        </is>
      </c>
      <c r="G386" s="8" t="inlineStr"/>
    </row>
    <row r="387">
      <c r="A387" s="8" t="inlineStr">
        <is>
          <t>Banco</t>
        </is>
      </c>
      <c r="B387" s="8" t="inlineStr">
        <is>
          <t>22/04/2026</t>
        </is>
      </c>
      <c r="C387" s="8" t="inlineStr">
        <is>
          <t>29841683</t>
        </is>
      </c>
      <c r="D387" s="8" t="inlineStr">
        <is>
          <t>INGRESOS BRUTOS MENDOZA</t>
        </is>
      </c>
      <c r="E387" s="9" t="n">
        <v>297.36</v>
      </c>
      <c r="F387" s="8" t="inlineStr">
        <is>
          <t>Pendiente visible en hojas Banco no Flexxus</t>
        </is>
      </c>
      <c r="G387" s="8" t="inlineStr"/>
    </row>
    <row r="388">
      <c r="A388" s="8" t="inlineStr">
        <is>
          <t>Banco</t>
        </is>
      </c>
      <c r="B388" s="8" t="inlineStr">
        <is>
          <t>22/04/2026</t>
        </is>
      </c>
      <c r="C388" s="8" t="inlineStr">
        <is>
          <t>29841683</t>
        </is>
      </c>
      <c r="D388" s="8" t="inlineStr">
        <is>
          <t>GRAVAMEN LEY 25413 S/CRED</t>
        </is>
      </c>
      <c r="E388" s="9" t="n">
        <v>178.41</v>
      </c>
      <c r="F388" s="8" t="inlineStr">
        <is>
          <t>Pendiente visible en hojas Banco no Flexxus</t>
        </is>
      </c>
      <c r="G388" s="8" t="inlineStr"/>
    </row>
    <row r="389">
      <c r="A389" s="8" t="inlineStr">
        <is>
          <t>Banco</t>
        </is>
      </c>
      <c r="B389" s="8" t="inlineStr">
        <is>
          <t>22/04/2026</t>
        </is>
      </c>
      <c r="C389" s="8" t="inlineStr">
        <is>
          <t>29841642</t>
        </is>
      </c>
      <c r="D389" s="8" t="inlineStr">
        <is>
          <t>INGRESOS BRUTOS MENDOZA</t>
        </is>
      </c>
      <c r="E389" s="9" t="n">
        <v>1243.77</v>
      </c>
      <c r="F389" s="8" t="inlineStr">
        <is>
          <t>Pendiente visible en hojas Banco no Flexxus</t>
        </is>
      </c>
      <c r="G389" s="8" t="inlineStr"/>
    </row>
    <row r="390">
      <c r="A390" s="8" t="inlineStr">
        <is>
          <t>Banco</t>
        </is>
      </c>
      <c r="B390" s="8" t="inlineStr">
        <is>
          <t>22/04/2026</t>
        </is>
      </c>
      <c r="C390" s="8" t="inlineStr">
        <is>
          <t>29841642</t>
        </is>
      </c>
      <c r="D390" s="8" t="inlineStr">
        <is>
          <t>GRAVAMEN LEY 25413 S/CRED</t>
        </is>
      </c>
      <c r="E390" s="9" t="n">
        <v>746.26</v>
      </c>
      <c r="F390" s="8" t="inlineStr">
        <is>
          <t>Pendiente visible en hojas Banco no Flexxus</t>
        </is>
      </c>
      <c r="G390" s="8" t="inlineStr"/>
    </row>
    <row r="391">
      <c r="A391" s="8" t="inlineStr">
        <is>
          <t>Banco</t>
        </is>
      </c>
      <c r="B391" s="8" t="inlineStr">
        <is>
          <t>22/04/2026</t>
        </is>
      </c>
      <c r="C391" s="8" t="inlineStr">
        <is>
          <t>32032899</t>
        </is>
      </c>
      <c r="D391" s="8" t="inlineStr">
        <is>
          <t>INGRESOS BRUTOS MENDOZA</t>
        </is>
      </c>
      <c r="E391" s="9" t="n">
        <v>1950.47</v>
      </c>
      <c r="F391" s="8" t="inlineStr">
        <is>
          <t>Pendiente visible en hojas Banco no Flexxus</t>
        </is>
      </c>
      <c r="G391" s="8" t="inlineStr"/>
    </row>
    <row r="392">
      <c r="A392" s="8" t="inlineStr">
        <is>
          <t>Banco</t>
        </is>
      </c>
      <c r="B392" s="8" t="inlineStr">
        <is>
          <t>22/04/2026</t>
        </is>
      </c>
      <c r="C392" s="8" t="inlineStr">
        <is>
          <t>32032899</t>
        </is>
      </c>
      <c r="D392" s="8" t="inlineStr">
        <is>
          <t>GRAVAMEN LEY 25413 S/CRED</t>
        </is>
      </c>
      <c r="E392" s="9" t="n">
        <v>1170.28</v>
      </c>
      <c r="F392" s="8" t="inlineStr">
        <is>
          <t>Pendiente visible en hojas Banco no Flexxus</t>
        </is>
      </c>
      <c r="G392" s="8" t="inlineStr"/>
    </row>
    <row r="393">
      <c r="A393" s="8" t="inlineStr">
        <is>
          <t>Banco</t>
        </is>
      </c>
      <c r="B393" s="8" t="inlineStr">
        <is>
          <t>22/04/2026</t>
        </is>
      </c>
      <c r="C393" s="8" t="inlineStr">
        <is>
          <t>31995644</t>
        </is>
      </c>
      <c r="D393" s="8" t="inlineStr">
        <is>
          <t>INGRESOS BRUTOS MENDOZA</t>
        </is>
      </c>
      <c r="E393" s="9" t="n">
        <v>2938.91</v>
      </c>
      <c r="F393" s="8" t="inlineStr">
        <is>
          <t>Pendiente visible en hojas Banco no Flexxus</t>
        </is>
      </c>
      <c r="G393" s="8" t="inlineStr"/>
    </row>
    <row r="394">
      <c r="A394" s="8" t="inlineStr">
        <is>
          <t>Banco</t>
        </is>
      </c>
      <c r="B394" s="8" t="inlineStr">
        <is>
          <t>22/04/2026</t>
        </is>
      </c>
      <c r="C394" s="8" t="inlineStr">
        <is>
          <t>31995644</t>
        </is>
      </c>
      <c r="D394" s="8" t="inlineStr">
        <is>
          <t>GRAVAMEN LEY 25413 S/CRED</t>
        </is>
      </c>
      <c r="E394" s="9" t="n">
        <v>1763.34</v>
      </c>
      <c r="F394" s="8" t="inlineStr">
        <is>
          <t>Pendiente visible en hojas Banco no Flexxus</t>
        </is>
      </c>
      <c r="G394" s="8" t="inlineStr"/>
    </row>
    <row r="395">
      <c r="A395" s="8" t="inlineStr">
        <is>
          <t>Banco</t>
        </is>
      </c>
      <c r="B395" s="8" t="inlineStr">
        <is>
          <t>22/04/2026</t>
        </is>
      </c>
      <c r="C395" s="8" t="inlineStr">
        <is>
          <t>108203</t>
        </is>
      </c>
      <c r="D395" s="8" t="inlineStr">
        <is>
          <t>INGRESOS BRUTOS MENDOZA</t>
        </is>
      </c>
      <c r="E395" s="9" t="n">
        <v>239.66</v>
      </c>
      <c r="F395" s="8" t="inlineStr">
        <is>
          <t>Pendiente visible en hojas Banco no Flexxus</t>
        </is>
      </c>
      <c r="G395" s="8" t="inlineStr"/>
    </row>
    <row r="396">
      <c r="A396" s="8" t="inlineStr">
        <is>
          <t>Banco</t>
        </is>
      </c>
      <c r="B396" s="8" t="inlineStr">
        <is>
          <t>22/04/2026</t>
        </is>
      </c>
      <c r="C396" s="8" t="inlineStr">
        <is>
          <t>108203</t>
        </is>
      </c>
      <c r="D396" s="8" t="inlineStr">
        <is>
          <t>GRAVAMEN LEY 25413 S/CRED</t>
        </is>
      </c>
      <c r="E396" s="9" t="n">
        <v>143.79</v>
      </c>
      <c r="F396" s="8" t="inlineStr">
        <is>
          <t>Pendiente visible en hojas Banco no Flexxus</t>
        </is>
      </c>
      <c r="G396" s="8" t="inlineStr"/>
    </row>
    <row r="397">
      <c r="A397" s="8" t="inlineStr">
        <is>
          <t>Banco</t>
        </is>
      </c>
      <c r="B397" s="8" t="inlineStr">
        <is>
          <t>22/04/2026</t>
        </is>
      </c>
      <c r="C397" s="8" t="inlineStr">
        <is>
          <t>29841705</t>
        </is>
      </c>
      <c r="D397" s="8" t="inlineStr">
        <is>
          <t>INGRESOS BRUTOS MENDOZA</t>
        </is>
      </c>
      <c r="E397" s="9" t="n">
        <v>377.59</v>
      </c>
      <c r="F397" s="8" t="inlineStr">
        <is>
          <t>Pendiente visible en hojas Banco no Flexxus</t>
        </is>
      </c>
      <c r="G397" s="8" t="inlineStr"/>
    </row>
    <row r="398">
      <c r="A398" s="8" t="inlineStr">
        <is>
          <t>Banco</t>
        </is>
      </c>
      <c r="B398" s="8" t="inlineStr">
        <is>
          <t>22/04/2026</t>
        </is>
      </c>
      <c r="C398" s="8" t="inlineStr">
        <is>
          <t>29841705</t>
        </is>
      </c>
      <c r="D398" s="8" t="inlineStr">
        <is>
          <t>GRAVAMEN LEY 25413 S/CRED</t>
        </is>
      </c>
      <c r="E398" s="9" t="n">
        <v>226.56</v>
      </c>
      <c r="F398" s="8" t="inlineStr">
        <is>
          <t>Pendiente visible en hojas Banco no Flexxus</t>
        </is>
      </c>
      <c r="G398" s="8" t="inlineStr"/>
    </row>
    <row r="399">
      <c r="A399" s="8" t="inlineStr">
        <is>
          <t>Banco</t>
        </is>
      </c>
      <c r="B399" s="8" t="inlineStr">
        <is>
          <t>22/04/2026</t>
        </is>
      </c>
      <c r="C399" s="8" t="inlineStr">
        <is>
          <t>29841670</t>
        </is>
      </c>
      <c r="D399" s="8" t="inlineStr">
        <is>
          <t>INGRESOS BRUTOS MENDOZA</t>
        </is>
      </c>
      <c r="E399" s="9" t="n">
        <v>377.59</v>
      </c>
      <c r="F399" s="8" t="inlineStr">
        <is>
          <t>Pendiente visible en hojas Banco no Flexxus</t>
        </is>
      </c>
      <c r="G399" s="8" t="inlineStr"/>
    </row>
    <row r="400">
      <c r="A400" s="8" t="inlineStr">
        <is>
          <t>Banco</t>
        </is>
      </c>
      <c r="B400" s="8" t="inlineStr">
        <is>
          <t>22/04/2026</t>
        </is>
      </c>
      <c r="C400" s="8" t="inlineStr">
        <is>
          <t>29841670</t>
        </is>
      </c>
      <c r="D400" s="8" t="inlineStr">
        <is>
          <t>GRAVAMEN LEY 25413 S/CRED</t>
        </is>
      </c>
      <c r="E400" s="9" t="n">
        <v>226.56</v>
      </c>
      <c r="F400" s="8" t="inlineStr">
        <is>
          <t>Pendiente visible en hojas Banco no Flexxus</t>
        </is>
      </c>
      <c r="G400" s="8" t="inlineStr"/>
    </row>
    <row r="401">
      <c r="A401" s="8" t="inlineStr">
        <is>
          <t>Banco</t>
        </is>
      </c>
      <c r="B401" s="8" t="inlineStr">
        <is>
          <t>22/04/2026</t>
        </is>
      </c>
      <c r="C401" s="8" t="inlineStr">
        <is>
          <t>29841642</t>
        </is>
      </c>
      <c r="D401" s="8" t="inlineStr">
        <is>
          <t>INGRESOS BRUTOS MENDOZA</t>
        </is>
      </c>
      <c r="E401" s="9" t="n">
        <v>420.83</v>
      </c>
      <c r="F401" s="8" t="inlineStr">
        <is>
          <t>Pendiente visible en hojas Banco no Flexxus</t>
        </is>
      </c>
      <c r="G401" s="8" t="inlineStr"/>
    </row>
    <row r="402">
      <c r="A402" s="8" t="inlineStr">
        <is>
          <t>Banco</t>
        </is>
      </c>
      <c r="B402" s="8" t="inlineStr">
        <is>
          <t>22/04/2026</t>
        </is>
      </c>
      <c r="C402" s="8" t="inlineStr">
        <is>
          <t>29841642</t>
        </is>
      </c>
      <c r="D402" s="8" t="inlineStr">
        <is>
          <t>GRAVAMEN LEY 25413 S/CRED</t>
        </is>
      </c>
      <c r="E402" s="9" t="n">
        <v>252.5</v>
      </c>
      <c r="F402" s="8" t="inlineStr">
        <is>
          <t>Pendiente visible en hojas Banco no Flexxus</t>
        </is>
      </c>
      <c r="G402" s="8" t="inlineStr"/>
    </row>
    <row r="403">
      <c r="A403" s="8" t="inlineStr">
        <is>
          <t>Banco</t>
        </is>
      </c>
      <c r="B403" s="8" t="inlineStr">
        <is>
          <t>22/04/2026</t>
        </is>
      </c>
      <c r="C403" s="8" t="inlineStr">
        <is>
          <t>32032899</t>
        </is>
      </c>
      <c r="D403" s="8" t="inlineStr">
        <is>
          <t>INGRESOS BRUTOS MENDOZA</t>
        </is>
      </c>
      <c r="E403" s="9" t="n">
        <v>1142.91</v>
      </c>
      <c r="F403" s="8" t="inlineStr">
        <is>
          <t>Pendiente visible en hojas Banco no Flexxus</t>
        </is>
      </c>
      <c r="G403" s="8" t="inlineStr"/>
    </row>
    <row r="404">
      <c r="A404" s="8" t="inlineStr">
        <is>
          <t>Banco</t>
        </is>
      </c>
      <c r="B404" s="8" t="inlineStr">
        <is>
          <t>22/04/2026</t>
        </is>
      </c>
      <c r="C404" s="8" t="inlineStr">
        <is>
          <t>32032899</t>
        </is>
      </c>
      <c r="D404" s="8" t="inlineStr">
        <is>
          <t>GRAVAMEN LEY 25413 S/CRED</t>
        </is>
      </c>
      <c r="E404" s="9" t="n">
        <v>685.74</v>
      </c>
      <c r="F404" s="8" t="inlineStr">
        <is>
          <t>Pendiente visible en hojas Banco no Flexxus</t>
        </is>
      </c>
      <c r="G404" s="8" t="inlineStr"/>
    </row>
    <row r="405">
      <c r="A405" s="8" t="inlineStr">
        <is>
          <t>Banco</t>
        </is>
      </c>
      <c r="B405" s="8" t="inlineStr">
        <is>
          <t>22/04/2026</t>
        </is>
      </c>
      <c r="C405" s="8" t="inlineStr">
        <is>
          <t>32032899</t>
        </is>
      </c>
      <c r="D405" s="8" t="inlineStr">
        <is>
          <t>INGRESOS BRUTOS MENDOZA</t>
        </is>
      </c>
      <c r="E405" s="9" t="n">
        <v>1114.56</v>
      </c>
      <c r="F405" s="8" t="inlineStr">
        <is>
          <t>Pendiente visible en hojas Banco no Flexxus</t>
        </is>
      </c>
      <c r="G405" s="8" t="inlineStr"/>
    </row>
    <row r="406">
      <c r="A406" s="8" t="inlineStr">
        <is>
          <t>Banco</t>
        </is>
      </c>
      <c r="B406" s="8" t="inlineStr">
        <is>
          <t>22/04/2026</t>
        </is>
      </c>
      <c r="C406" s="8" t="inlineStr">
        <is>
          <t>32032899</t>
        </is>
      </c>
      <c r="D406" s="8" t="inlineStr">
        <is>
          <t>GRAVAMEN LEY 25413 S/CRED</t>
        </is>
      </c>
      <c r="E406" s="9" t="n">
        <v>668.73</v>
      </c>
      <c r="F406" s="8" t="inlineStr">
        <is>
          <t>Pendiente visible en hojas Banco no Flexxus</t>
        </is>
      </c>
      <c r="G406" s="8" t="inlineStr"/>
    </row>
    <row r="407">
      <c r="A407" s="8" t="inlineStr">
        <is>
          <t>Banco</t>
        </is>
      </c>
      <c r="B407" s="8" t="inlineStr">
        <is>
          <t>22/04/2026</t>
        </is>
      </c>
      <c r="C407" s="8" t="inlineStr">
        <is>
          <t>31995644</t>
        </is>
      </c>
      <c r="D407" s="8" t="inlineStr">
        <is>
          <t>INGRESOS BRUTOS MENDOZA</t>
        </is>
      </c>
      <c r="E407" s="9" t="n">
        <v>7855.66</v>
      </c>
      <c r="F407" s="8" t="inlineStr">
        <is>
          <t>Pendiente visible en hojas Banco no Flexxus</t>
        </is>
      </c>
      <c r="G407" s="8" t="inlineStr"/>
    </row>
    <row r="408">
      <c r="A408" s="8" t="inlineStr">
        <is>
          <t>Banco</t>
        </is>
      </c>
      <c r="B408" s="8" t="inlineStr">
        <is>
          <t>22/04/2026</t>
        </is>
      </c>
      <c r="C408" s="8" t="inlineStr">
        <is>
          <t>31995644</t>
        </is>
      </c>
      <c r="D408" s="8" t="inlineStr">
        <is>
          <t>GRAVAMEN LEY 25413 S/CRED</t>
        </is>
      </c>
      <c r="E408" s="9" t="n">
        <v>4713.4</v>
      </c>
      <c r="F408" s="8" t="inlineStr">
        <is>
          <t>Pendiente visible en hojas Banco no Flexxus</t>
        </is>
      </c>
      <c r="G408" s="8" t="inlineStr"/>
    </row>
    <row r="409">
      <c r="A409" s="8" t="inlineStr">
        <is>
          <t>Banco</t>
        </is>
      </c>
      <c r="B409" s="8" t="inlineStr">
        <is>
          <t>22/04/2026</t>
        </is>
      </c>
      <c r="C409" s="8" t="inlineStr">
        <is>
          <t>31995644</t>
        </is>
      </c>
      <c r="D409" s="8" t="inlineStr">
        <is>
          <t>INGRESOS BRUTOS MENDOZA</t>
        </is>
      </c>
      <c r="E409" s="9" t="n">
        <v>17542.51</v>
      </c>
      <c r="F409" s="8" t="inlineStr">
        <is>
          <t>Pendiente visible en hojas Banco no Flexxus</t>
        </is>
      </c>
      <c r="G409" s="8" t="inlineStr"/>
    </row>
    <row r="410">
      <c r="A410" s="8" t="inlineStr">
        <is>
          <t>Banco</t>
        </is>
      </c>
      <c r="B410" s="8" t="inlineStr">
        <is>
          <t>22/04/2026</t>
        </is>
      </c>
      <c r="C410" s="8" t="inlineStr">
        <is>
          <t>31995644</t>
        </is>
      </c>
      <c r="D410" s="8" t="inlineStr">
        <is>
          <t>GRAVAMEN LEY 25413 S/CRED</t>
        </is>
      </c>
      <c r="E410" s="9" t="n">
        <v>10525.51</v>
      </c>
      <c r="F410" s="8" t="inlineStr">
        <is>
          <t>Pendiente visible en hojas Banco no Flexxus</t>
        </is>
      </c>
      <c r="G410" s="8" t="inlineStr"/>
    </row>
    <row r="411">
      <c r="A411" s="8" t="inlineStr">
        <is>
          <t>Banco</t>
        </is>
      </c>
      <c r="B411" s="8" t="inlineStr">
        <is>
          <t>22/04/2026</t>
        </is>
      </c>
      <c r="C411" s="8" t="inlineStr">
        <is>
          <t>29841705</t>
        </is>
      </c>
      <c r="D411" s="8" t="inlineStr">
        <is>
          <t>INGRESOS BRUTOS MENDOZA</t>
        </is>
      </c>
      <c r="E411" s="9" t="n">
        <v>1307.16</v>
      </c>
      <c r="F411" s="8" t="inlineStr">
        <is>
          <t>Pendiente visible en hojas Banco no Flexxus</t>
        </is>
      </c>
      <c r="G411" s="8" t="inlineStr"/>
    </row>
    <row r="412">
      <c r="A412" s="8" t="inlineStr">
        <is>
          <t>Banco</t>
        </is>
      </c>
      <c r="B412" s="8" t="inlineStr">
        <is>
          <t>22/04/2026</t>
        </is>
      </c>
      <c r="C412" s="8" t="inlineStr">
        <is>
          <t>29841705</t>
        </is>
      </c>
      <c r="D412" s="8" t="inlineStr">
        <is>
          <t>GRAVAMEN LEY 25413 S/CRED</t>
        </is>
      </c>
      <c r="E412" s="9" t="n">
        <v>784.29</v>
      </c>
      <c r="F412" s="8" t="inlineStr">
        <is>
          <t>Pendiente visible en hojas Banco no Flexxus</t>
        </is>
      </c>
      <c r="G412" s="8" t="inlineStr"/>
    </row>
    <row r="413">
      <c r="A413" s="8" t="inlineStr">
        <is>
          <t>Banco</t>
        </is>
      </c>
      <c r="B413" s="8" t="inlineStr">
        <is>
          <t>22/04/2026</t>
        </is>
      </c>
      <c r="C413" s="8" t="inlineStr">
        <is>
          <t>29841705</t>
        </is>
      </c>
      <c r="D413" s="8" t="inlineStr">
        <is>
          <t>INGRESOS BRUTOS MENDOZA</t>
        </is>
      </c>
      <c r="E413" s="9" t="n">
        <v>428.46</v>
      </c>
      <c r="F413" s="8" t="inlineStr">
        <is>
          <t>Pendiente visible en hojas Banco no Flexxus</t>
        </is>
      </c>
      <c r="G413" s="8" t="inlineStr"/>
    </row>
    <row r="414">
      <c r="A414" s="8" t="inlineStr">
        <is>
          <t>Banco</t>
        </is>
      </c>
      <c r="B414" s="8" t="inlineStr">
        <is>
          <t>22/04/2026</t>
        </is>
      </c>
      <c r="C414" s="8" t="inlineStr">
        <is>
          <t>29841705</t>
        </is>
      </c>
      <c r="D414" s="8" t="inlineStr">
        <is>
          <t>GRAVAMEN LEY 25413 S/CRED</t>
        </is>
      </c>
      <c r="E414" s="9" t="n">
        <v>257.08</v>
      </c>
      <c r="F414" s="8" t="inlineStr">
        <is>
          <t>Pendiente visible en hojas Banco no Flexxus</t>
        </is>
      </c>
      <c r="G414" s="8" t="inlineStr"/>
    </row>
    <row r="415">
      <c r="A415" s="8" t="inlineStr">
        <is>
          <t>Banco</t>
        </is>
      </c>
      <c r="B415" s="8" t="inlineStr">
        <is>
          <t>22/04/2026</t>
        </is>
      </c>
      <c r="C415" s="8" t="inlineStr">
        <is>
          <t>29841683</t>
        </is>
      </c>
      <c r="D415" s="8" t="inlineStr">
        <is>
          <t>INGRESOS BRUTOS MENDOZA</t>
        </is>
      </c>
      <c r="E415" s="9" t="n">
        <v>1250.65</v>
      </c>
      <c r="F415" s="8" t="inlineStr">
        <is>
          <t>Pendiente visible en hojas Banco no Flexxus</t>
        </is>
      </c>
      <c r="G415" s="8" t="inlineStr"/>
    </row>
    <row r="416">
      <c r="A416" s="8" t="inlineStr">
        <is>
          <t>Banco</t>
        </is>
      </c>
      <c r="B416" s="8" t="inlineStr">
        <is>
          <t>22/04/2026</t>
        </is>
      </c>
      <c r="C416" s="8" t="inlineStr">
        <is>
          <t>29841683</t>
        </is>
      </c>
      <c r="D416" s="8" t="inlineStr">
        <is>
          <t>GRAVAMEN LEY 25413 S/CRED</t>
        </is>
      </c>
      <c r="E416" s="9" t="n">
        <v>750.39</v>
      </c>
      <c r="F416" s="8" t="inlineStr">
        <is>
          <t>Pendiente visible en hojas Banco no Flexxus</t>
        </is>
      </c>
      <c r="G416" s="8" t="inlineStr"/>
    </row>
    <row r="417">
      <c r="A417" s="8" t="inlineStr">
        <is>
          <t>Banco</t>
        </is>
      </c>
      <c r="B417" s="8" t="inlineStr">
        <is>
          <t>22/04/2026</t>
        </is>
      </c>
      <c r="C417" s="8" t="inlineStr">
        <is>
          <t>29841642</t>
        </is>
      </c>
      <c r="D417" s="8" t="inlineStr">
        <is>
          <t>INGRESOS BRUTOS MENDOZA</t>
        </is>
      </c>
      <c r="E417" s="9" t="n">
        <v>666.17</v>
      </c>
      <c r="F417" s="8" t="inlineStr">
        <is>
          <t>Pendiente visible en hojas Banco no Flexxus</t>
        </is>
      </c>
      <c r="G417" s="8" t="inlineStr"/>
    </row>
    <row r="418">
      <c r="A418" s="8" t="inlineStr">
        <is>
          <t>Banco</t>
        </is>
      </c>
      <c r="B418" s="8" t="inlineStr">
        <is>
          <t>22/04/2026</t>
        </is>
      </c>
      <c r="C418" s="8" t="inlineStr">
        <is>
          <t>29841642</t>
        </is>
      </c>
      <c r="D418" s="8" t="inlineStr">
        <is>
          <t>GRAVAMEN LEY 25413 S/CRED</t>
        </is>
      </c>
      <c r="E418" s="9" t="n">
        <v>399.7</v>
      </c>
      <c r="F418" s="8" t="inlineStr">
        <is>
          <t>Pendiente visible en hojas Banco no Flexxus</t>
        </is>
      </c>
      <c r="G418" s="8" t="inlineStr"/>
    </row>
    <row r="419">
      <c r="A419" s="8" t="inlineStr">
        <is>
          <t>Banco</t>
        </is>
      </c>
      <c r="B419" s="8" t="inlineStr">
        <is>
          <t>22/04/2026</t>
        </is>
      </c>
      <c r="C419" s="8" t="inlineStr">
        <is>
          <t>29841627</t>
        </is>
      </c>
      <c r="D419" s="8" t="inlineStr">
        <is>
          <t>INGRESOS BRUTOS MENDOZA</t>
        </is>
      </c>
      <c r="E419" s="9" t="n">
        <v>132.06</v>
      </c>
      <c r="F419" s="8" t="inlineStr">
        <is>
          <t>Pendiente visible en hojas Banco no Flexxus</t>
        </is>
      </c>
      <c r="G419" s="8" t="inlineStr"/>
    </row>
    <row r="420">
      <c r="A420" s="8" t="inlineStr">
        <is>
          <t>Banco</t>
        </is>
      </c>
      <c r="B420" s="8" t="inlineStr">
        <is>
          <t>22/04/2026</t>
        </is>
      </c>
      <c r="C420" s="8" t="inlineStr">
        <is>
          <t>29841627</t>
        </is>
      </c>
      <c r="D420" s="8" t="inlineStr">
        <is>
          <t>GRAVAMEN LEY 25413 S/CRED</t>
        </is>
      </c>
      <c r="E420" s="9" t="n">
        <v>79.23999999999999</v>
      </c>
      <c r="F420" s="8" t="inlineStr">
        <is>
          <t>Pendiente visible en hojas Banco no Flexxus</t>
        </is>
      </c>
      <c r="G420" s="8" t="inlineStr"/>
    </row>
    <row r="421">
      <c r="A421" s="8" t="inlineStr">
        <is>
          <t>Banco</t>
        </is>
      </c>
      <c r="B421" s="8" t="inlineStr">
        <is>
          <t>22/04/2026</t>
        </is>
      </c>
      <c r="C421" s="8" t="inlineStr">
        <is>
          <t>32032899</t>
        </is>
      </c>
      <c r="D421" s="8" t="inlineStr">
        <is>
          <t>INGRESOS BRUTOS MENDOZA</t>
        </is>
      </c>
      <c r="E421" s="9" t="n">
        <v>1960.25</v>
      </c>
      <c r="F421" s="8" t="inlineStr">
        <is>
          <t>Pendiente visible en hojas Banco no Flexxus</t>
        </is>
      </c>
      <c r="G421" s="8" t="inlineStr"/>
    </row>
    <row r="422">
      <c r="A422" s="8" t="inlineStr">
        <is>
          <t>Banco</t>
        </is>
      </c>
      <c r="B422" s="8" t="inlineStr">
        <is>
          <t>22/04/2026</t>
        </is>
      </c>
      <c r="C422" s="8" t="inlineStr">
        <is>
          <t>32032899</t>
        </is>
      </c>
      <c r="D422" s="8" t="inlineStr">
        <is>
          <t>GRAVAMEN LEY 25413 S/CRED</t>
        </is>
      </c>
      <c r="E422" s="9" t="n">
        <v>1176.15</v>
      </c>
      <c r="F422" s="8" t="inlineStr">
        <is>
          <t>Pendiente visible en hojas Banco no Flexxus</t>
        </is>
      </c>
      <c r="G422" s="8" t="inlineStr"/>
    </row>
    <row r="423">
      <c r="A423" s="8" t="inlineStr">
        <is>
          <t>Banco</t>
        </is>
      </c>
      <c r="B423" s="8" t="inlineStr">
        <is>
          <t>22/04/2026</t>
        </is>
      </c>
      <c r="C423" s="8" t="inlineStr">
        <is>
          <t>32032899</t>
        </is>
      </c>
      <c r="D423" s="8" t="inlineStr">
        <is>
          <t>INGRESOS BRUTOS MENDOZA</t>
        </is>
      </c>
      <c r="E423" s="9" t="n">
        <v>1693.34</v>
      </c>
      <c r="F423" s="8" t="inlineStr">
        <is>
          <t>Pendiente visible en hojas Banco no Flexxus</t>
        </is>
      </c>
      <c r="G423" s="8" t="inlineStr"/>
    </row>
    <row r="424">
      <c r="A424" s="8" t="inlineStr">
        <is>
          <t>Banco</t>
        </is>
      </c>
      <c r="B424" s="8" t="inlineStr">
        <is>
          <t>22/04/2026</t>
        </is>
      </c>
      <c r="C424" s="8" t="inlineStr">
        <is>
          <t>32032899</t>
        </is>
      </c>
      <c r="D424" s="8" t="inlineStr">
        <is>
          <t>GRAVAMEN LEY 25413 S/CRED</t>
        </is>
      </c>
      <c r="E424" s="9" t="n">
        <v>1016.01</v>
      </c>
      <c r="F424" s="8" t="inlineStr">
        <is>
          <t>Pendiente visible en hojas Banco no Flexxus</t>
        </is>
      </c>
      <c r="G424" s="8" t="inlineStr"/>
    </row>
    <row r="425">
      <c r="A425" s="8" t="inlineStr">
        <is>
          <t>Banco</t>
        </is>
      </c>
      <c r="B425" s="8" t="inlineStr">
        <is>
          <t>22/04/2026</t>
        </is>
      </c>
      <c r="C425" s="8" t="inlineStr">
        <is>
          <t>31995644</t>
        </is>
      </c>
      <c r="D425" s="8" t="inlineStr">
        <is>
          <t>INGRESOS BRUTOS MENDOZA</t>
        </is>
      </c>
      <c r="E425" s="9" t="n">
        <v>336.51</v>
      </c>
      <c r="F425" s="8" t="inlineStr">
        <is>
          <t>Pendiente visible en hojas Banco no Flexxus</t>
        </is>
      </c>
      <c r="G425" s="8" t="inlineStr"/>
    </row>
    <row r="426">
      <c r="A426" s="8" t="inlineStr">
        <is>
          <t>Banco</t>
        </is>
      </c>
      <c r="B426" s="8" t="inlineStr">
        <is>
          <t>22/04/2026</t>
        </is>
      </c>
      <c r="C426" s="8" t="inlineStr">
        <is>
          <t>31995644</t>
        </is>
      </c>
      <c r="D426" s="8" t="inlineStr">
        <is>
          <t>GRAVAMEN LEY 25413 S/CRED</t>
        </is>
      </c>
      <c r="E426" s="9" t="n">
        <v>201.9</v>
      </c>
      <c r="F426" s="8" t="inlineStr">
        <is>
          <t>Pendiente visible en hojas Banco no Flexxus</t>
        </is>
      </c>
      <c r="G426" s="8" t="inlineStr"/>
    </row>
    <row r="427">
      <c r="A427" s="8" t="inlineStr">
        <is>
          <t>Banco</t>
        </is>
      </c>
      <c r="B427" s="8" t="inlineStr">
        <is>
          <t>22/04/2026</t>
        </is>
      </c>
      <c r="C427" s="8" t="inlineStr">
        <is>
          <t>31995644</t>
        </is>
      </c>
      <c r="D427" s="8" t="inlineStr">
        <is>
          <t>INGRESOS BRUTOS MENDOZA</t>
        </is>
      </c>
      <c r="E427" s="9" t="n">
        <v>6656.53</v>
      </c>
      <c r="F427" s="8" t="inlineStr">
        <is>
          <t>Pendiente visible en hojas Banco no Flexxus</t>
        </is>
      </c>
      <c r="G427" s="8" t="inlineStr"/>
    </row>
    <row r="428">
      <c r="A428" s="8" t="inlineStr">
        <is>
          <t>Banco</t>
        </is>
      </c>
      <c r="B428" s="8" t="inlineStr">
        <is>
          <t>22/04/2026</t>
        </is>
      </c>
      <c r="C428" s="8" t="inlineStr">
        <is>
          <t>31995644</t>
        </is>
      </c>
      <c r="D428" s="8" t="inlineStr">
        <is>
          <t>GRAVAMEN LEY 25413 S/CRED</t>
        </is>
      </c>
      <c r="E428" s="9" t="n">
        <v>3993.92</v>
      </c>
      <c r="F428" s="8" t="inlineStr">
        <is>
          <t>Pendiente visible en hojas Banco no Flexxus</t>
        </is>
      </c>
      <c r="G428" s="8" t="inlineStr"/>
    </row>
    <row r="429">
      <c r="A429" s="8" t="inlineStr">
        <is>
          <t>Banco</t>
        </is>
      </c>
      <c r="B429" s="8" t="inlineStr">
        <is>
          <t>22/04/2026</t>
        </is>
      </c>
      <c r="C429" s="8" t="inlineStr">
        <is>
          <t>29841683</t>
        </is>
      </c>
      <c r="D429" s="8" t="inlineStr">
        <is>
          <t>INGRESOS BRUTOS MENDOZA</t>
        </is>
      </c>
      <c r="E429" s="9" t="n">
        <v>112.5</v>
      </c>
      <c r="F429" s="8" t="inlineStr">
        <is>
          <t>Pendiente visible en hojas Banco no Flexxus</t>
        </is>
      </c>
      <c r="G429" s="8" t="inlineStr"/>
    </row>
    <row r="430">
      <c r="A430" s="8" t="inlineStr">
        <is>
          <t>Banco</t>
        </is>
      </c>
      <c r="B430" s="8" t="inlineStr">
        <is>
          <t>22/04/2026</t>
        </is>
      </c>
      <c r="C430" s="8" t="inlineStr">
        <is>
          <t>29841683</t>
        </is>
      </c>
      <c r="D430" s="8" t="inlineStr">
        <is>
          <t>GRAVAMEN LEY 25413 S/CRED</t>
        </is>
      </c>
      <c r="E430" s="9" t="n">
        <v>67.5</v>
      </c>
      <c r="F430" s="8" t="inlineStr">
        <is>
          <t>Pendiente visible en hojas Banco no Flexxus</t>
        </is>
      </c>
      <c r="G430" s="8" t="inlineStr"/>
    </row>
    <row r="431">
      <c r="A431" s="8" t="inlineStr">
        <is>
          <t>Banco</t>
        </is>
      </c>
      <c r="B431" s="8" t="inlineStr">
        <is>
          <t>22/04/2026</t>
        </is>
      </c>
      <c r="C431" s="8" t="inlineStr">
        <is>
          <t>29841642</t>
        </is>
      </c>
      <c r="D431" s="8" t="inlineStr">
        <is>
          <t>INGRESOS BRUTOS MENDOZA</t>
        </is>
      </c>
      <c r="E431" s="9" t="n">
        <v>112.5</v>
      </c>
      <c r="F431" s="8" t="inlineStr">
        <is>
          <t>Pendiente visible en hojas Banco no Flexxus</t>
        </is>
      </c>
      <c r="G431" s="8" t="inlineStr"/>
    </row>
    <row r="432">
      <c r="A432" s="8" t="inlineStr">
        <is>
          <t>Banco</t>
        </is>
      </c>
      <c r="B432" s="8" t="inlineStr">
        <is>
          <t>22/04/2026</t>
        </is>
      </c>
      <c r="C432" s="8" t="inlineStr">
        <is>
          <t>29841642</t>
        </is>
      </c>
      <c r="D432" s="8" t="inlineStr">
        <is>
          <t>GRAVAMEN LEY 25413 S/CRED</t>
        </is>
      </c>
      <c r="E432" s="9" t="n">
        <v>67.5</v>
      </c>
      <c r="F432" s="8" t="inlineStr">
        <is>
          <t>Pendiente visible en hojas Banco no Flexxus</t>
        </is>
      </c>
      <c r="G432" s="8" t="inlineStr"/>
    </row>
    <row r="433">
      <c r="A433" s="8" t="inlineStr">
        <is>
          <t>Banco</t>
        </is>
      </c>
      <c r="B433" s="8" t="inlineStr">
        <is>
          <t>22/04/2026</t>
        </is>
      </c>
      <c r="C433" s="8" t="inlineStr">
        <is>
          <t>108182</t>
        </is>
      </c>
      <c r="D433" s="8" t="inlineStr">
        <is>
          <t>INGRESOS BRUTOS MENDOZA</t>
        </is>
      </c>
      <c r="E433" s="9" t="n">
        <v>113.89</v>
      </c>
      <c r="F433" s="8" t="inlineStr">
        <is>
          <t>Pendiente visible en hojas Banco no Flexxus</t>
        </is>
      </c>
      <c r="G433" s="8" t="inlineStr"/>
    </row>
    <row r="434">
      <c r="A434" s="8" t="inlineStr">
        <is>
          <t>Banco</t>
        </is>
      </c>
      <c r="B434" s="8" t="inlineStr">
        <is>
          <t>22/04/2026</t>
        </is>
      </c>
      <c r="C434" s="8" t="inlineStr">
        <is>
          <t>108182</t>
        </is>
      </c>
      <c r="D434" s="8" t="inlineStr">
        <is>
          <t>GRAVAMEN LEY 25413 S/CRED</t>
        </is>
      </c>
      <c r="E434" s="9" t="n">
        <v>68.33</v>
      </c>
      <c r="F434" s="8" t="inlineStr">
        <is>
          <t>Pendiente visible en hojas Banco no Flexxus</t>
        </is>
      </c>
      <c r="G434" s="8" t="inlineStr"/>
    </row>
    <row r="435">
      <c r="A435" s="8" t="inlineStr">
        <is>
          <t>Banco</t>
        </is>
      </c>
      <c r="B435" s="8" t="inlineStr">
        <is>
          <t>22/04/2026</t>
        </is>
      </c>
      <c r="C435" s="8" t="inlineStr">
        <is>
          <t>108181</t>
        </is>
      </c>
      <c r="D435" s="8" t="inlineStr">
        <is>
          <t>INGRESOS BRUTOS MENDOZA</t>
        </is>
      </c>
      <c r="E435" s="9" t="n">
        <v>207.97</v>
      </c>
      <c r="F435" s="8" t="inlineStr">
        <is>
          <t>Pendiente visible en hojas Banco no Flexxus</t>
        </is>
      </c>
      <c r="G435" s="8" t="inlineStr"/>
    </row>
    <row r="436">
      <c r="A436" s="8" t="inlineStr">
        <is>
          <t>Banco</t>
        </is>
      </c>
      <c r="B436" s="8" t="inlineStr">
        <is>
          <t>22/04/2026</t>
        </is>
      </c>
      <c r="C436" s="8" t="inlineStr">
        <is>
          <t>108181</t>
        </is>
      </c>
      <c r="D436" s="8" t="inlineStr">
        <is>
          <t>GRAVAMEN LEY 25413 S/CRED</t>
        </is>
      </c>
      <c r="E436" s="9" t="n">
        <v>124.78</v>
      </c>
      <c r="F436" s="8" t="inlineStr">
        <is>
          <t>Pendiente visible en hojas Banco no Flexxus</t>
        </is>
      </c>
      <c r="G436" s="8" t="inlineStr"/>
    </row>
    <row r="437">
      <c r="A437" s="8" t="inlineStr">
        <is>
          <t>Banco</t>
        </is>
      </c>
      <c r="B437" s="8" t="inlineStr">
        <is>
          <t>22/04/2026</t>
        </is>
      </c>
      <c r="C437" s="8" t="inlineStr">
        <is>
          <t>108180</t>
        </is>
      </c>
      <c r="D437" s="8" t="inlineStr">
        <is>
          <t>INGRESOS BRUTOS MENDOZA</t>
        </is>
      </c>
      <c r="E437" s="9" t="n">
        <v>148.55</v>
      </c>
      <c r="F437" s="8" t="inlineStr">
        <is>
          <t>Pendiente visible en hojas Banco no Flexxus</t>
        </is>
      </c>
      <c r="G437" s="8" t="inlineStr"/>
    </row>
    <row r="438">
      <c r="A438" s="8" t="inlineStr">
        <is>
          <t>Banco</t>
        </is>
      </c>
      <c r="B438" s="8" t="inlineStr">
        <is>
          <t>22/04/2026</t>
        </is>
      </c>
      <c r="C438" s="8" t="inlineStr">
        <is>
          <t>108180</t>
        </is>
      </c>
      <c r="D438" s="8" t="inlineStr">
        <is>
          <t>GRAVAMEN LEY 25413 S/CRED</t>
        </is>
      </c>
      <c r="E438" s="9" t="n">
        <v>89.13</v>
      </c>
      <c r="F438" s="8" t="inlineStr">
        <is>
          <t>Pendiente visible en hojas Banco no Flexxus</t>
        </is>
      </c>
      <c r="G438" s="8" t="inlineStr"/>
    </row>
    <row r="439">
      <c r="A439" s="8" t="inlineStr">
        <is>
          <t>Banco</t>
        </is>
      </c>
      <c r="B439" s="8" t="inlineStr">
        <is>
          <t>22/04/2026</t>
        </is>
      </c>
      <c r="C439" s="8" t="inlineStr">
        <is>
          <t>108179</t>
        </is>
      </c>
      <c r="D439" s="8" t="inlineStr">
        <is>
          <t>INGRESOS BRUTOS MENDOZA</t>
        </is>
      </c>
      <c r="E439" s="9" t="n">
        <v>413.95</v>
      </c>
      <c r="F439" s="8" t="inlineStr">
        <is>
          <t>Pendiente visible en hojas Banco no Flexxus</t>
        </is>
      </c>
      <c r="G439" s="8" t="inlineStr"/>
    </row>
    <row r="440">
      <c r="A440" s="8" t="inlineStr">
        <is>
          <t>Banco</t>
        </is>
      </c>
      <c r="B440" s="8" t="inlineStr">
        <is>
          <t>22/04/2026</t>
        </is>
      </c>
      <c r="C440" s="8" t="inlineStr">
        <is>
          <t>108179</t>
        </is>
      </c>
      <c r="D440" s="8" t="inlineStr">
        <is>
          <t>GRAVAMEN LEY 25413 S/CRED</t>
        </is>
      </c>
      <c r="E440" s="9" t="n">
        <v>248.37</v>
      </c>
      <c r="F440" s="8" t="inlineStr">
        <is>
          <t>Pendiente visible en hojas Banco no Flexxus</t>
        </is>
      </c>
      <c r="G440" s="8" t="inlineStr"/>
    </row>
    <row r="441">
      <c r="A441" s="8" t="inlineStr">
        <is>
          <t>Banco</t>
        </is>
      </c>
      <c r="B441" s="8" t="inlineStr">
        <is>
          <t>22/04/2026</t>
        </is>
      </c>
      <c r="C441" s="8" t="inlineStr">
        <is>
          <t>108177</t>
        </is>
      </c>
      <c r="D441" s="8" t="inlineStr">
        <is>
          <t>INGRESOS BRUTOS MENDOZA</t>
        </is>
      </c>
      <c r="E441" s="9" t="n">
        <v>682.33</v>
      </c>
      <c r="F441" s="8" t="inlineStr">
        <is>
          <t>Pendiente visible en hojas Banco no Flexxus</t>
        </is>
      </c>
      <c r="G441" s="8" t="inlineStr"/>
    </row>
    <row r="442">
      <c r="A442" s="8" t="inlineStr">
        <is>
          <t>Banco</t>
        </is>
      </c>
      <c r="B442" s="8" t="inlineStr">
        <is>
          <t>22/04/2026</t>
        </is>
      </c>
      <c r="C442" s="8" t="inlineStr">
        <is>
          <t>108177</t>
        </is>
      </c>
      <c r="D442" s="8" t="inlineStr">
        <is>
          <t>GRAVAMEN LEY 25413 S/CRED</t>
        </is>
      </c>
      <c r="E442" s="9" t="n">
        <v>409.4</v>
      </c>
      <c r="F442" s="8" t="inlineStr">
        <is>
          <t>Pendiente visible en hojas Banco no Flexxus</t>
        </is>
      </c>
      <c r="G442" s="8" t="inlineStr"/>
    </row>
    <row r="443">
      <c r="A443" s="8" t="inlineStr">
        <is>
          <t>Banco</t>
        </is>
      </c>
      <c r="B443" s="8" t="inlineStr">
        <is>
          <t>22/04/2026</t>
        </is>
      </c>
      <c r="C443" s="8" t="inlineStr">
        <is>
          <t>108176</t>
        </is>
      </c>
      <c r="D443" s="8" t="inlineStr">
        <is>
          <t>INGRESOS BRUTOS MENDOZA</t>
        </is>
      </c>
      <c r="E443" s="9" t="n">
        <v>401.08</v>
      </c>
      <c r="F443" s="8" t="inlineStr">
        <is>
          <t>Pendiente visible en hojas Banco no Flexxus</t>
        </is>
      </c>
      <c r="G443" s="8" t="inlineStr"/>
    </row>
    <row r="444">
      <c r="A444" s="8" t="inlineStr">
        <is>
          <t>Banco</t>
        </is>
      </c>
      <c r="B444" s="8" t="inlineStr">
        <is>
          <t>22/04/2026</t>
        </is>
      </c>
      <c r="C444" s="8" t="inlineStr">
        <is>
          <t>108176</t>
        </is>
      </c>
      <c r="D444" s="8" t="inlineStr">
        <is>
          <t>GRAVAMEN LEY 25413 S/CRED</t>
        </is>
      </c>
      <c r="E444" s="9" t="n">
        <v>240.65</v>
      </c>
      <c r="F444" s="8" t="inlineStr">
        <is>
          <t>Pendiente visible en hojas Banco no Flexxus</t>
        </is>
      </c>
      <c r="G444" s="8" t="inlineStr"/>
    </row>
    <row r="445">
      <c r="A445" s="8" t="inlineStr">
        <is>
          <t>Banco</t>
        </is>
      </c>
      <c r="B445" s="8" t="inlineStr">
        <is>
          <t>22/04/2026</t>
        </is>
      </c>
      <c r="C445" s="8" t="inlineStr">
        <is>
          <t>32032899</t>
        </is>
      </c>
      <c r="D445" s="8" t="inlineStr">
        <is>
          <t>DEB LIQ MASTERCARD 24H</t>
        </is>
      </c>
      <c r="E445" s="9" t="n">
        <v>676.01</v>
      </c>
      <c r="F445" s="8" t="inlineStr">
        <is>
          <t>Pendiente visible en hojas Banco no Flexxus</t>
        </is>
      </c>
      <c r="G445" s="8" t="inlineStr"/>
    </row>
    <row r="446">
      <c r="A446" s="8" t="inlineStr">
        <is>
          <t>Banco</t>
        </is>
      </c>
      <c r="B446" s="8" t="inlineStr">
        <is>
          <t>22/04/2026</t>
        </is>
      </c>
      <c r="C446" s="8" t="inlineStr">
        <is>
          <t>29841705</t>
        </is>
      </c>
      <c r="D446" s="8" t="inlineStr">
        <is>
          <t>DEB LIQ MASTERCARD 24H</t>
        </is>
      </c>
      <c r="E446" s="9" t="n">
        <v>229.06</v>
      </c>
      <c r="F446" s="8" t="inlineStr">
        <is>
          <t>Pendiente visible en hojas Banco no Flexxus</t>
        </is>
      </c>
      <c r="G446" s="8" t="inlineStr"/>
    </row>
    <row r="447">
      <c r="A447" s="8" t="inlineStr">
        <is>
          <t>Banco</t>
        </is>
      </c>
      <c r="B447" s="8" t="inlineStr">
        <is>
          <t>22/04/2026</t>
        </is>
      </c>
      <c r="C447" s="8" t="inlineStr">
        <is>
          <t>29841670</t>
        </is>
      </c>
      <c r="D447" s="8" t="inlineStr">
        <is>
          <t>DEB LIQ MASTERCARD 24H</t>
        </is>
      </c>
      <c r="E447" s="9" t="n">
        <v>168.2</v>
      </c>
      <c r="F447" s="8" t="inlineStr">
        <is>
          <t>Pendiente visible en hojas Banco no Flexxus</t>
        </is>
      </c>
      <c r="G447" s="8" t="inlineStr"/>
    </row>
    <row r="448">
      <c r="A448" s="8" t="inlineStr">
        <is>
          <t>Banco</t>
        </is>
      </c>
      <c r="B448" s="8" t="inlineStr">
        <is>
          <t>21/04/2026</t>
        </is>
      </c>
      <c r="C448" s="8" t="inlineStr">
        <is>
          <t>108058</t>
        </is>
      </c>
      <c r="D448" s="8" t="inlineStr">
        <is>
          <t>GRAVAMEN LEY 25413 S/DEB</t>
        </is>
      </c>
      <c r="E448" s="9" t="n">
        <v>0.27</v>
      </c>
      <c r="F448" s="8" t="inlineStr">
        <is>
          <t>Pendiente visible en hojas Banco no Flexxus</t>
        </is>
      </c>
      <c r="G448" s="8" t="inlineStr"/>
    </row>
    <row r="449">
      <c r="A449" s="8" t="inlineStr">
        <is>
          <t>Banco</t>
        </is>
      </c>
      <c r="B449" s="8" t="inlineStr">
        <is>
          <t>21/04/2026</t>
        </is>
      </c>
      <c r="C449" s="8" t="inlineStr">
        <is>
          <t>108057</t>
        </is>
      </c>
      <c r="D449" s="8" t="inlineStr">
        <is>
          <t>GRAVAMEN LEY 25413 S/DEB</t>
        </is>
      </c>
      <c r="E449" s="9" t="n">
        <v>1.4</v>
      </c>
      <c r="F449" s="8" t="inlineStr">
        <is>
          <t>Pendiente visible en hojas Banco no Flexxus</t>
        </is>
      </c>
      <c r="G449" s="8" t="inlineStr"/>
    </row>
    <row r="450">
      <c r="A450" s="8" t="inlineStr">
        <is>
          <t>Banco</t>
        </is>
      </c>
      <c r="B450" s="8" t="inlineStr">
        <is>
          <t>21/04/2026</t>
        </is>
      </c>
      <c r="C450" s="8" t="inlineStr">
        <is>
          <t>108056</t>
        </is>
      </c>
      <c r="D450" s="8" t="inlineStr">
        <is>
          <t>GRAVAMEN LEY 25413 S/DEB</t>
        </is>
      </c>
      <c r="E450" s="9" t="n">
        <v>0.88</v>
      </c>
      <c r="F450" s="8" t="inlineStr">
        <is>
          <t>Pendiente visible en hojas Banco no Flexxus</t>
        </is>
      </c>
      <c r="G450" s="8" t="inlineStr"/>
    </row>
    <row r="451">
      <c r="A451" s="8" t="inlineStr">
        <is>
          <t>Banco</t>
        </is>
      </c>
      <c r="B451" s="8" t="inlineStr">
        <is>
          <t>21/04/2026</t>
        </is>
      </c>
      <c r="C451" s="8" t="inlineStr">
        <is>
          <t>108055</t>
        </is>
      </c>
      <c r="D451" s="8" t="inlineStr">
        <is>
          <t>GRAVAMEN LEY 25413 S/DEB</t>
        </is>
      </c>
      <c r="E451" s="9" t="n">
        <v>3.28</v>
      </c>
      <c r="F451" s="8" t="inlineStr">
        <is>
          <t>Pendiente visible en hojas Banco no Flexxus</t>
        </is>
      </c>
      <c r="G451" s="8" t="inlineStr"/>
    </row>
    <row r="452">
      <c r="A452" s="8" t="inlineStr">
        <is>
          <t>Banco</t>
        </is>
      </c>
      <c r="B452" s="8" t="inlineStr">
        <is>
          <t>21/04/2026</t>
        </is>
      </c>
      <c r="C452" s="8" t="inlineStr">
        <is>
          <t>29841705</t>
        </is>
      </c>
      <c r="D452" s="8" t="inlineStr">
        <is>
          <t>GRAVAMEN LEY 25413 S/DEB</t>
        </is>
      </c>
      <c r="E452" s="9" t="n">
        <v>0.73</v>
      </c>
      <c r="F452" s="8" t="inlineStr">
        <is>
          <t>Pendiente visible en hojas Banco no Flexxus</t>
        </is>
      </c>
      <c r="G452" s="8" t="inlineStr"/>
    </row>
    <row r="453">
      <c r="A453" s="8" t="inlineStr">
        <is>
          <t>Banco</t>
        </is>
      </c>
      <c r="B453" s="8" t="inlineStr">
        <is>
          <t>21/04/2026</t>
        </is>
      </c>
      <c r="C453" s="8" t="inlineStr">
        <is>
          <t>29841642</t>
        </is>
      </c>
      <c r="D453" s="8" t="inlineStr">
        <is>
          <t>GRAVAMEN LEY 25413 S/DEB</t>
        </is>
      </c>
      <c r="E453" s="9" t="n">
        <v>1.93</v>
      </c>
      <c r="F453" s="8" t="inlineStr">
        <is>
          <t>Pendiente visible en hojas Banco no Flexxus</t>
        </is>
      </c>
      <c r="G453" s="8" t="inlineStr"/>
    </row>
    <row r="454">
      <c r="A454" s="8" t="inlineStr">
        <is>
          <t>Banco</t>
        </is>
      </c>
      <c r="B454" s="8" t="inlineStr">
        <is>
          <t>21/04/2026</t>
        </is>
      </c>
      <c r="C454" s="8" t="inlineStr">
        <is>
          <t>32032899</t>
        </is>
      </c>
      <c r="D454" s="8" t="inlineStr">
        <is>
          <t>GRAVAMEN LEY 25413 S/DEB</t>
        </is>
      </c>
      <c r="E454" s="9" t="n">
        <v>115.4</v>
      </c>
      <c r="F454" s="8" t="inlineStr">
        <is>
          <t>Pendiente visible en hojas Banco no Flexxus</t>
        </is>
      </c>
      <c r="G454" s="8" t="inlineStr"/>
    </row>
    <row r="455">
      <c r="A455" s="8" t="inlineStr">
        <is>
          <t>Banco</t>
        </is>
      </c>
      <c r="B455" s="8" t="inlineStr">
        <is>
          <t>21/04/2026</t>
        </is>
      </c>
      <c r="C455" s="8" t="inlineStr">
        <is>
          <t>31995644</t>
        </is>
      </c>
      <c r="D455" s="8" t="inlineStr">
        <is>
          <t>GRAVAMEN LEY 25413 S/DEB</t>
        </is>
      </c>
      <c r="E455" s="9" t="n">
        <v>124.25</v>
      </c>
      <c r="F455" s="8" t="inlineStr">
        <is>
          <t>Pendiente visible en hojas Banco no Flexxus</t>
        </is>
      </c>
      <c r="G455" s="8" t="inlineStr"/>
    </row>
    <row r="456">
      <c r="A456" s="8" t="inlineStr">
        <is>
          <t>Banco</t>
        </is>
      </c>
      <c r="B456" s="8" t="inlineStr">
        <is>
          <t>21/04/2026</t>
        </is>
      </c>
      <c r="C456" s="8" t="inlineStr">
        <is>
          <t>29841705</t>
        </is>
      </c>
      <c r="D456" s="8" t="inlineStr">
        <is>
          <t>GRAVAMEN LEY 25413 S/DEB</t>
        </is>
      </c>
      <c r="E456" s="9" t="n">
        <v>37.09</v>
      </c>
      <c r="F456" s="8" t="inlineStr">
        <is>
          <t>Pendiente visible en hojas Banco no Flexxus</t>
        </is>
      </c>
      <c r="G456" s="8" t="inlineStr"/>
    </row>
    <row r="457">
      <c r="A457" s="8" t="inlineStr">
        <is>
          <t>Banco</t>
        </is>
      </c>
      <c r="B457" s="8" t="inlineStr">
        <is>
          <t>21/04/2026</t>
        </is>
      </c>
      <c r="C457" s="8" t="inlineStr">
        <is>
          <t>29841683</t>
        </is>
      </c>
      <c r="D457" s="8" t="inlineStr">
        <is>
          <t>GRAVAMEN LEY 25413 S/DEB</t>
        </is>
      </c>
      <c r="E457" s="9" t="n">
        <v>12.44</v>
      </c>
      <c r="F457" s="8" t="inlineStr">
        <is>
          <t>Pendiente visible en hojas Banco no Flexxus</t>
        </is>
      </c>
      <c r="G457" s="8" t="inlineStr"/>
    </row>
    <row r="458">
      <c r="A458" s="8" t="inlineStr">
        <is>
          <t>Banco</t>
        </is>
      </c>
      <c r="B458" s="8" t="inlineStr">
        <is>
          <t>21/04/2026</t>
        </is>
      </c>
      <c r="C458" s="8" t="inlineStr">
        <is>
          <t>29841670</t>
        </is>
      </c>
      <c r="D458" s="8" t="inlineStr">
        <is>
          <t>GRAVAMEN LEY 25413 S/DEB</t>
        </is>
      </c>
      <c r="E458" s="9" t="n">
        <v>16.46</v>
      </c>
      <c r="F458" s="8" t="inlineStr">
        <is>
          <t>Pendiente visible en hojas Banco no Flexxus</t>
        </is>
      </c>
      <c r="G458" s="8" t="inlineStr"/>
    </row>
    <row r="459">
      <c r="A459" s="8" t="inlineStr">
        <is>
          <t>Banco</t>
        </is>
      </c>
      <c r="B459" s="8" t="inlineStr">
        <is>
          <t>21/04/2026</t>
        </is>
      </c>
      <c r="C459" s="8" t="inlineStr">
        <is>
          <t>29841642</t>
        </is>
      </c>
      <c r="D459" s="8" t="inlineStr">
        <is>
          <t>GRAVAMEN LEY 25413 S/DEB</t>
        </is>
      </c>
      <c r="E459" s="9" t="n">
        <v>29.31</v>
      </c>
      <c r="F459" s="8" t="inlineStr">
        <is>
          <t>Pendiente visible en hojas Banco no Flexxus</t>
        </is>
      </c>
      <c r="G459" s="8" t="inlineStr"/>
    </row>
    <row r="460">
      <c r="A460" s="8" t="inlineStr">
        <is>
          <t>Banco</t>
        </is>
      </c>
      <c r="B460" s="8" t="inlineStr">
        <is>
          <t>21/04/2026</t>
        </is>
      </c>
      <c r="C460" s="8" t="inlineStr">
        <is>
          <t>29841627</t>
        </is>
      </c>
      <c r="D460" s="8" t="inlineStr">
        <is>
          <t>GRAVAMEN LEY 25413 S/DEB</t>
        </is>
      </c>
      <c r="E460" s="9" t="n">
        <v>8.67</v>
      </c>
      <c r="F460" s="8" t="inlineStr">
        <is>
          <t>Pendiente visible en hojas Banco no Flexxus</t>
        </is>
      </c>
      <c r="G460" s="8" t="inlineStr"/>
    </row>
    <row r="461">
      <c r="A461" s="8" t="inlineStr">
        <is>
          <t>Banco</t>
        </is>
      </c>
      <c r="B461" s="8" t="inlineStr">
        <is>
          <t>21/04/2026</t>
        </is>
      </c>
      <c r="C461" s="8" t="inlineStr">
        <is>
          <t>32032899</t>
        </is>
      </c>
      <c r="D461" s="8" t="inlineStr">
        <is>
          <t>GRAVAMEN LEY 25413 S/DEB</t>
        </is>
      </c>
      <c r="E461" s="9" t="n">
        <v>17.43</v>
      </c>
      <c r="F461" s="8" t="inlineStr">
        <is>
          <t>Pendiente visible en hojas Banco no Flexxus</t>
        </is>
      </c>
      <c r="G461" s="8" t="inlineStr"/>
    </row>
    <row r="462">
      <c r="A462" s="8" t="inlineStr">
        <is>
          <t>Banco</t>
        </is>
      </c>
      <c r="B462" s="8" t="inlineStr">
        <is>
          <t>21/04/2026</t>
        </is>
      </c>
      <c r="C462" s="8" t="inlineStr">
        <is>
          <t>31995644</t>
        </is>
      </c>
      <c r="D462" s="8" t="inlineStr">
        <is>
          <t>GRAVAMEN LEY 25413 S/DEB</t>
        </is>
      </c>
      <c r="E462" s="9" t="n">
        <v>19.44</v>
      </c>
      <c r="F462" s="8" t="inlineStr">
        <is>
          <t>Pendiente visible en hojas Banco no Flexxus</t>
        </is>
      </c>
      <c r="G462" s="8" t="inlineStr"/>
    </row>
    <row r="463">
      <c r="A463" s="8" t="inlineStr">
        <is>
          <t>Banco</t>
        </is>
      </c>
      <c r="B463" s="8" t="inlineStr">
        <is>
          <t>21/04/2026</t>
        </is>
      </c>
      <c r="C463" s="8" t="inlineStr">
        <is>
          <t>29841705</t>
        </is>
      </c>
      <c r="D463" s="8" t="inlineStr">
        <is>
          <t>GRAVAMEN LEY 25413 S/DEB</t>
        </is>
      </c>
      <c r="E463" s="9" t="n">
        <v>9.52</v>
      </c>
      <c r="F463" s="8" t="inlineStr">
        <is>
          <t>Pendiente visible en hojas Banco no Flexxus</t>
        </is>
      </c>
      <c r="G463" s="8" t="inlineStr"/>
    </row>
    <row r="464">
      <c r="A464" s="8" t="inlineStr">
        <is>
          <t>Banco</t>
        </is>
      </c>
      <c r="B464" s="8" t="inlineStr">
        <is>
          <t>21/04/2026</t>
        </is>
      </c>
      <c r="C464" s="8" t="inlineStr">
        <is>
          <t>29841683</t>
        </is>
      </c>
      <c r="D464" s="8" t="inlineStr">
        <is>
          <t>GRAVAMEN LEY 25413 S/DEB</t>
        </is>
      </c>
      <c r="E464" s="9" t="n">
        <v>15.45</v>
      </c>
      <c r="F464" s="8" t="inlineStr">
        <is>
          <t>Pendiente visible en hojas Banco no Flexxus</t>
        </is>
      </c>
      <c r="G464" s="8" t="inlineStr"/>
    </row>
    <row r="465">
      <c r="A465" s="8" t="inlineStr">
        <is>
          <t>Banco</t>
        </is>
      </c>
      <c r="B465" s="8" t="inlineStr">
        <is>
          <t>21/04/2026</t>
        </is>
      </c>
      <c r="C465" s="8" t="inlineStr">
        <is>
          <t>29841670</t>
        </is>
      </c>
      <c r="D465" s="8" t="inlineStr">
        <is>
          <t>GRAVAMEN LEY 25413 S/DEB</t>
        </is>
      </c>
      <c r="E465" s="9" t="n">
        <v>5.38</v>
      </c>
      <c r="F465" s="8" t="inlineStr">
        <is>
          <t>Pendiente visible en hojas Banco no Flexxus</t>
        </is>
      </c>
      <c r="G465" s="8" t="inlineStr"/>
    </row>
    <row r="466">
      <c r="A466" s="8" t="inlineStr">
        <is>
          <t>Banco</t>
        </is>
      </c>
      <c r="B466" s="8" t="inlineStr">
        <is>
          <t>21/04/2026</t>
        </is>
      </c>
      <c r="C466" s="8" t="inlineStr">
        <is>
          <t>29841642</t>
        </is>
      </c>
      <c r="D466" s="8" t="inlineStr">
        <is>
          <t>GRAVAMEN LEY 25413 S/DEB</t>
        </is>
      </c>
      <c r="E466" s="9" t="n">
        <v>10.46</v>
      </c>
      <c r="F466" s="8" t="inlineStr">
        <is>
          <t>Pendiente visible en hojas Banco no Flexxus</t>
        </is>
      </c>
      <c r="G466" s="8" t="inlineStr"/>
    </row>
    <row r="467">
      <c r="A467" s="8" t="inlineStr">
        <is>
          <t>Banco</t>
        </is>
      </c>
      <c r="B467" s="8" t="inlineStr">
        <is>
          <t>21/04/2026</t>
        </is>
      </c>
      <c r="C467" s="8" t="inlineStr">
        <is>
          <t>29841627</t>
        </is>
      </c>
      <c r="D467" s="8" t="inlineStr">
        <is>
          <t>GRAVAMEN LEY 25413 S/DEB</t>
        </is>
      </c>
      <c r="E467" s="9" t="n">
        <v>6.27</v>
      </c>
      <c r="F467" s="8" t="inlineStr">
        <is>
          <t>Pendiente visible en hojas Banco no Flexxus</t>
        </is>
      </c>
      <c r="G467" s="8" t="inlineStr"/>
    </row>
    <row r="468">
      <c r="A468" s="8" t="inlineStr">
        <is>
          <t>Banco</t>
        </is>
      </c>
      <c r="B468" s="8" t="inlineStr">
        <is>
          <t>21/04/2026</t>
        </is>
      </c>
      <c r="C468" s="8" t="inlineStr">
        <is>
          <t>31995644</t>
        </is>
      </c>
      <c r="D468" s="8" t="inlineStr">
        <is>
          <t>GRAVAMEN LEY 25413 S/DEB</t>
        </is>
      </c>
      <c r="E468" s="9" t="n">
        <v>37.59</v>
      </c>
      <c r="F468" s="8" t="inlineStr">
        <is>
          <t>Pendiente visible en hojas Banco no Flexxus</t>
        </is>
      </c>
      <c r="G468" s="8" t="inlineStr"/>
    </row>
    <row r="469">
      <c r="A469" s="8" t="inlineStr">
        <is>
          <t>Banco</t>
        </is>
      </c>
      <c r="B469" s="8" t="inlineStr">
        <is>
          <t>21/04/2026</t>
        </is>
      </c>
      <c r="C469" s="8" t="inlineStr">
        <is>
          <t>32032899</t>
        </is>
      </c>
      <c r="D469" s="8" t="inlineStr">
        <is>
          <t>GRAVAMEN LEY 25413 S/DEB</t>
        </is>
      </c>
      <c r="E469" s="9" t="n">
        <v>27.24</v>
      </c>
      <c r="F469" s="8" t="inlineStr">
        <is>
          <t>Pendiente visible en hojas Banco no Flexxus</t>
        </is>
      </c>
      <c r="G469" s="8" t="inlineStr"/>
    </row>
    <row r="470">
      <c r="A470" s="8" t="inlineStr">
        <is>
          <t>Banco</t>
        </is>
      </c>
      <c r="B470" s="8" t="inlineStr">
        <is>
          <t>21/04/2026</t>
        </is>
      </c>
      <c r="C470" s="8" t="inlineStr">
        <is>
          <t>32032899</t>
        </is>
      </c>
      <c r="D470" s="8" t="inlineStr">
        <is>
          <t>GRAVAMEN LEY 25413 S/DEB</t>
        </is>
      </c>
      <c r="E470" s="9" t="n">
        <v>13.19</v>
      </c>
      <c r="F470" s="8" t="inlineStr">
        <is>
          <t>Pendiente visible en hojas Banco no Flexxus</t>
        </is>
      </c>
      <c r="G470" s="8" t="inlineStr"/>
    </row>
    <row r="471">
      <c r="A471" s="8" t="inlineStr">
        <is>
          <t>Banco</t>
        </is>
      </c>
      <c r="B471" s="8" t="inlineStr">
        <is>
          <t>21/04/2026</t>
        </is>
      </c>
      <c r="C471" s="8" t="inlineStr">
        <is>
          <t>31995644</t>
        </is>
      </c>
      <c r="D471" s="8" t="inlineStr">
        <is>
          <t>GRAVAMEN LEY 25413 S/DEB</t>
        </is>
      </c>
      <c r="E471" s="9" t="n">
        <v>16.47</v>
      </c>
      <c r="F471" s="8" t="inlineStr">
        <is>
          <t>Pendiente visible en hojas Banco no Flexxus</t>
        </is>
      </c>
      <c r="G471" s="8" t="inlineStr"/>
    </row>
    <row r="472">
      <c r="A472" s="8" t="inlineStr">
        <is>
          <t>Banco</t>
        </is>
      </c>
      <c r="B472" s="8" t="inlineStr">
        <is>
          <t>21/04/2026</t>
        </is>
      </c>
      <c r="C472" s="8" t="inlineStr">
        <is>
          <t>31995644</t>
        </is>
      </c>
      <c r="D472" s="8" t="inlineStr">
        <is>
          <t>GRAVAMEN LEY 25413 S/DEB</t>
        </is>
      </c>
      <c r="E472" s="9" t="n">
        <v>5.53</v>
      </c>
      <c r="F472" s="8" t="inlineStr">
        <is>
          <t>Pendiente visible en hojas Banco no Flexxus</t>
        </is>
      </c>
      <c r="G472" s="8" t="inlineStr"/>
    </row>
    <row r="473">
      <c r="A473" s="8" t="inlineStr">
        <is>
          <t>Banco</t>
        </is>
      </c>
      <c r="B473" s="8" t="inlineStr">
        <is>
          <t>21/04/2026</t>
        </is>
      </c>
      <c r="C473" s="8" t="inlineStr">
        <is>
          <t>29841705</t>
        </is>
      </c>
      <c r="D473" s="8" t="inlineStr">
        <is>
          <t>GRAVAMEN LEY 25413 S/DEB</t>
        </is>
      </c>
      <c r="E473" s="9" t="n">
        <v>1.6</v>
      </c>
      <c r="F473" s="8" t="inlineStr">
        <is>
          <t>Pendiente visible en hojas Banco no Flexxus</t>
        </is>
      </c>
      <c r="G473" s="8" t="inlineStr"/>
    </row>
    <row r="474">
      <c r="A474" s="8" t="inlineStr">
        <is>
          <t>Banco</t>
        </is>
      </c>
      <c r="B474" s="8" t="inlineStr">
        <is>
          <t>21/04/2026</t>
        </is>
      </c>
      <c r="C474" s="8" t="inlineStr">
        <is>
          <t>29841683</t>
        </is>
      </c>
      <c r="D474" s="8" t="inlineStr">
        <is>
          <t>GRAVAMEN LEY 25413 S/DEB</t>
        </is>
      </c>
      <c r="E474" s="9" t="n">
        <v>2.99</v>
      </c>
      <c r="F474" s="8" t="inlineStr">
        <is>
          <t>Pendiente visible en hojas Banco no Flexxus</t>
        </is>
      </c>
      <c r="G474" s="8" t="inlineStr"/>
    </row>
    <row r="475">
      <c r="A475" s="8" t="inlineStr">
        <is>
          <t>Banco</t>
        </is>
      </c>
      <c r="B475" s="8" t="inlineStr">
        <is>
          <t>21/04/2026</t>
        </is>
      </c>
      <c r="C475" s="8" t="inlineStr">
        <is>
          <t>29841670</t>
        </is>
      </c>
      <c r="D475" s="8" t="inlineStr">
        <is>
          <t>GRAVAMEN LEY 25413 S/DEB</t>
        </is>
      </c>
      <c r="E475" s="9" t="n">
        <v>4.14</v>
      </c>
      <c r="F475" s="8" t="inlineStr">
        <is>
          <t>Pendiente visible en hojas Banco no Flexxus</t>
        </is>
      </c>
      <c r="G475" s="8" t="inlineStr"/>
    </row>
    <row r="476">
      <c r="A476" s="8" t="inlineStr">
        <is>
          <t>Banco</t>
        </is>
      </c>
      <c r="B476" s="8" t="inlineStr">
        <is>
          <t>21/04/2026</t>
        </is>
      </c>
      <c r="C476" s="8" t="inlineStr">
        <is>
          <t>29841627</t>
        </is>
      </c>
      <c r="D476" s="8" t="inlineStr">
        <is>
          <t>GRAVAMEN LEY 25413 S/DEB</t>
        </is>
      </c>
      <c r="E476" s="9" t="n">
        <v>3.93</v>
      </c>
      <c r="F476" s="8" t="inlineStr">
        <is>
          <t>Pendiente visible en hojas Banco no Flexxus</t>
        </is>
      </c>
      <c r="G476" s="8" t="inlineStr"/>
    </row>
    <row r="477">
      <c r="A477" s="8" t="inlineStr">
        <is>
          <t>Banco</t>
        </is>
      </c>
      <c r="B477" s="8" t="inlineStr">
        <is>
          <t>21/04/2026</t>
        </is>
      </c>
      <c r="C477" s="8" t="inlineStr">
        <is>
          <t>32032899</t>
        </is>
      </c>
      <c r="D477" s="8" t="inlineStr">
        <is>
          <t>GRAVAMEN LEY 25413 S/DEB</t>
        </is>
      </c>
      <c r="E477" s="9" t="n">
        <v>12.87</v>
      </c>
      <c r="F477" s="8" t="inlineStr">
        <is>
          <t>Pendiente visible en hojas Banco no Flexxus</t>
        </is>
      </c>
      <c r="G477" s="8" t="inlineStr"/>
    </row>
    <row r="478">
      <c r="A478" s="8" t="inlineStr">
        <is>
          <t>Banco</t>
        </is>
      </c>
      <c r="B478" s="8" t="inlineStr">
        <is>
          <t>21/04/2026</t>
        </is>
      </c>
      <c r="C478" s="8" t="inlineStr">
        <is>
          <t>31995644</t>
        </is>
      </c>
      <c r="D478" s="8" t="inlineStr">
        <is>
          <t>GRAVAMEN LEY 25413 S/DEB</t>
        </is>
      </c>
      <c r="E478" s="9" t="n">
        <v>12.72</v>
      </c>
      <c r="F478" s="8" t="inlineStr">
        <is>
          <t>Pendiente visible en hojas Banco no Flexxus</t>
        </is>
      </c>
      <c r="G478" s="8" t="inlineStr"/>
    </row>
    <row r="479">
      <c r="A479" s="8" t="inlineStr">
        <is>
          <t>Banco</t>
        </is>
      </c>
      <c r="B479" s="8" t="inlineStr">
        <is>
          <t>21/04/2026</t>
        </is>
      </c>
      <c r="C479" s="8" t="inlineStr">
        <is>
          <t>29841705</t>
        </is>
      </c>
      <c r="D479" s="8" t="inlineStr">
        <is>
          <t>GRAVAMEN LEY 25413 S/DEB</t>
        </is>
      </c>
      <c r="E479" s="9" t="n">
        <v>2.08</v>
      </c>
      <c r="F479" s="8" t="inlineStr">
        <is>
          <t>Pendiente visible en hojas Banco no Flexxus</t>
        </is>
      </c>
      <c r="G479" s="8" t="inlineStr"/>
    </row>
    <row r="480">
      <c r="A480" s="8" t="inlineStr">
        <is>
          <t>Banco</t>
        </is>
      </c>
      <c r="B480" s="8" t="inlineStr">
        <is>
          <t>21/04/2026</t>
        </is>
      </c>
      <c r="C480" s="8" t="inlineStr">
        <is>
          <t>29841670</t>
        </is>
      </c>
      <c r="D480" s="8" t="inlineStr">
        <is>
          <t>GRAVAMEN LEY 25413 S/DEB</t>
        </is>
      </c>
      <c r="E480" s="9" t="n">
        <v>1.84</v>
      </c>
      <c r="F480" s="8" t="inlineStr">
        <is>
          <t>Pendiente visible en hojas Banco no Flexxus</t>
        </is>
      </c>
      <c r="G480" s="8" t="inlineStr"/>
    </row>
    <row r="481">
      <c r="A481" s="8" t="inlineStr">
        <is>
          <t>Banco</t>
        </is>
      </c>
      <c r="B481" s="8" t="inlineStr">
        <is>
          <t>21/04/2026</t>
        </is>
      </c>
      <c r="C481" s="8" t="inlineStr">
        <is>
          <t>108024</t>
        </is>
      </c>
      <c r="D481" s="8" t="inlineStr">
        <is>
          <t>GRAVAMEN LEY 25413 S/DEB</t>
        </is>
      </c>
      <c r="E481" s="9" t="n">
        <v>0.72</v>
      </c>
      <c r="F481" s="8" t="inlineStr">
        <is>
          <t>Pendiente visible en hojas Banco no Flexxus</t>
        </is>
      </c>
      <c r="G481" s="8" t="inlineStr"/>
    </row>
    <row r="482">
      <c r="A482" s="8" t="inlineStr">
        <is>
          <t>Banco</t>
        </is>
      </c>
      <c r="B482" s="8" t="inlineStr">
        <is>
          <t>21/04/2026</t>
        </is>
      </c>
      <c r="C482" s="8" t="inlineStr">
        <is>
          <t>108023</t>
        </is>
      </c>
      <c r="D482" s="8" t="inlineStr">
        <is>
          <t>GRAVAMEN LEY 25413 S/DEB</t>
        </is>
      </c>
      <c r="E482" s="9" t="n">
        <v>3.85</v>
      </c>
      <c r="F482" s="8" t="inlineStr">
        <is>
          <t>Pendiente visible en hojas Banco no Flexxus</t>
        </is>
      </c>
      <c r="G482" s="8" t="inlineStr"/>
    </row>
    <row r="483">
      <c r="A483" s="8" t="inlineStr">
        <is>
          <t>Banco</t>
        </is>
      </c>
      <c r="B483" s="8" t="inlineStr">
        <is>
          <t>21/04/2026</t>
        </is>
      </c>
      <c r="C483" s="8" t="inlineStr">
        <is>
          <t>108022</t>
        </is>
      </c>
      <c r="D483" s="8" t="inlineStr">
        <is>
          <t>GRAVAMEN LEY 25413 S/DEB</t>
        </is>
      </c>
      <c r="E483" s="9" t="n">
        <v>0.5</v>
      </c>
      <c r="F483" s="8" t="inlineStr">
        <is>
          <t>Pendiente visible en hojas Banco no Flexxus</t>
        </is>
      </c>
      <c r="G483" s="8" t="inlineStr"/>
    </row>
    <row r="484">
      <c r="A484" s="8" t="inlineStr">
        <is>
          <t>Banco</t>
        </is>
      </c>
      <c r="B484" s="8" t="inlineStr">
        <is>
          <t>21/04/2026</t>
        </is>
      </c>
      <c r="C484" s="8" t="inlineStr">
        <is>
          <t>108021</t>
        </is>
      </c>
      <c r="D484" s="8" t="inlineStr">
        <is>
          <t>GRAVAMEN LEY 25413 S/DEB</t>
        </is>
      </c>
      <c r="E484" s="9" t="n">
        <v>1.01</v>
      </c>
      <c r="F484" s="8" t="inlineStr">
        <is>
          <t>Pendiente visible en hojas Banco no Flexxus</t>
        </is>
      </c>
      <c r="G484" s="8" t="inlineStr"/>
    </row>
    <row r="485">
      <c r="A485" s="8" t="inlineStr">
        <is>
          <t>Banco</t>
        </is>
      </c>
      <c r="B485" s="8" t="inlineStr">
        <is>
          <t>21/04/2026</t>
        </is>
      </c>
      <c r="C485" s="8" t="inlineStr">
        <is>
          <t>108020</t>
        </is>
      </c>
      <c r="D485" s="8" t="inlineStr">
        <is>
          <t>GRAVAMEN LEY 25413 S/DEB</t>
        </is>
      </c>
      <c r="E485" s="9" t="n">
        <v>1.33</v>
      </c>
      <c r="F485" s="8" t="inlineStr">
        <is>
          <t>Pendiente visible en hojas Banco no Flexxus</t>
        </is>
      </c>
      <c r="G485" s="8" t="inlineStr"/>
    </row>
    <row r="486">
      <c r="A486" s="8" t="inlineStr">
        <is>
          <t>Banco</t>
        </is>
      </c>
      <c r="B486" s="8" t="inlineStr">
        <is>
          <t>21/04/2026</t>
        </is>
      </c>
      <c r="C486" s="8" t="inlineStr">
        <is>
          <t>108019</t>
        </is>
      </c>
      <c r="D486" s="8" t="inlineStr">
        <is>
          <t>GRAVAMEN LEY 25413 S/DEB</t>
        </is>
      </c>
      <c r="E486" s="9" t="n">
        <v>0.91</v>
      </c>
      <c r="F486" s="8" t="inlineStr">
        <is>
          <t>Pendiente visible en hojas Banco no Flexxus</t>
        </is>
      </c>
      <c r="G486" s="8" t="inlineStr"/>
    </row>
    <row r="487">
      <c r="A487" s="8" t="inlineStr">
        <is>
          <t>Banco</t>
        </is>
      </c>
      <c r="B487" s="8" t="inlineStr">
        <is>
          <t>21/04/2026</t>
        </is>
      </c>
      <c r="C487" s="8" t="inlineStr">
        <is>
          <t>108058</t>
        </is>
      </c>
      <c r="D487" s="8" t="inlineStr">
        <is>
          <t>INGRESOS BRUTOS MENDOZA</t>
        </is>
      </c>
      <c r="E487" s="9" t="n">
        <v>44.56</v>
      </c>
      <c r="F487" s="8" t="inlineStr">
        <is>
          <t>Pendiente visible en hojas Banco no Flexxus</t>
        </is>
      </c>
      <c r="G487" s="8" t="inlineStr"/>
    </row>
    <row r="488">
      <c r="A488" s="8" t="inlineStr">
        <is>
          <t>Banco</t>
        </is>
      </c>
      <c r="B488" s="8" t="inlineStr">
        <is>
          <t>21/04/2026</t>
        </is>
      </c>
      <c r="C488" s="8" t="inlineStr">
        <is>
          <t>108058</t>
        </is>
      </c>
      <c r="D488" s="8" t="inlineStr">
        <is>
          <t>GRAVAMEN LEY 25413 S/CRED</t>
        </is>
      </c>
      <c r="E488" s="9" t="n">
        <v>26.74</v>
      </c>
      <c r="F488" s="8" t="inlineStr">
        <is>
          <t>Pendiente visible en hojas Banco no Flexxus</t>
        </is>
      </c>
      <c r="G488" s="8" t="inlineStr"/>
    </row>
    <row r="489">
      <c r="A489" s="8" t="inlineStr">
        <is>
          <t>Banco</t>
        </is>
      </c>
      <c r="B489" s="8" t="inlineStr">
        <is>
          <t>21/04/2026</t>
        </is>
      </c>
      <c r="C489" s="8" t="inlineStr">
        <is>
          <t>108057</t>
        </is>
      </c>
      <c r="D489" s="8" t="inlineStr">
        <is>
          <t>INGRESOS BRUTOS MENDOZA</t>
        </is>
      </c>
      <c r="E489" s="9" t="n">
        <v>232.73</v>
      </c>
      <c r="F489" s="8" t="inlineStr">
        <is>
          <t>Pendiente visible en hojas Banco no Flexxus</t>
        </is>
      </c>
      <c r="G489" s="8" t="inlineStr"/>
    </row>
    <row r="490">
      <c r="A490" s="8" t="inlineStr">
        <is>
          <t>Banco</t>
        </is>
      </c>
      <c r="B490" s="8" t="inlineStr">
        <is>
          <t>21/04/2026</t>
        </is>
      </c>
      <c r="C490" s="8" t="inlineStr">
        <is>
          <t>108057</t>
        </is>
      </c>
      <c r="D490" s="8" t="inlineStr">
        <is>
          <t>GRAVAMEN LEY 25413 S/CRED</t>
        </is>
      </c>
      <c r="E490" s="9" t="n">
        <v>139.64</v>
      </c>
      <c r="F490" s="8" t="inlineStr">
        <is>
          <t>Pendiente visible en hojas Banco no Flexxus</t>
        </is>
      </c>
      <c r="G490" s="8" t="inlineStr"/>
    </row>
    <row r="491">
      <c r="A491" s="8" t="inlineStr">
        <is>
          <t>Banco</t>
        </is>
      </c>
      <c r="B491" s="8" t="inlineStr">
        <is>
          <t>21/04/2026</t>
        </is>
      </c>
      <c r="C491" s="8" t="inlineStr">
        <is>
          <t>108056</t>
        </is>
      </c>
      <c r="D491" s="8" t="inlineStr">
        <is>
          <t>INGRESOS BRUTOS MENDOZA</t>
        </is>
      </c>
      <c r="E491" s="9" t="n">
        <v>146.57</v>
      </c>
      <c r="F491" s="8" t="inlineStr">
        <is>
          <t>Pendiente visible en hojas Banco no Flexxus</t>
        </is>
      </c>
      <c r="G491" s="8" t="inlineStr"/>
    </row>
    <row r="492">
      <c r="A492" s="8" t="inlineStr">
        <is>
          <t>Banco</t>
        </is>
      </c>
      <c r="B492" s="8" t="inlineStr">
        <is>
          <t>21/04/2026</t>
        </is>
      </c>
      <c r="C492" s="8" t="inlineStr">
        <is>
          <t>108056</t>
        </is>
      </c>
      <c r="D492" s="8" t="inlineStr">
        <is>
          <t>GRAVAMEN LEY 25413 S/CRED</t>
        </is>
      </c>
      <c r="E492" s="9" t="n">
        <v>87.94</v>
      </c>
      <c r="F492" s="8" t="inlineStr">
        <is>
          <t>Pendiente visible en hojas Banco no Flexxus</t>
        </is>
      </c>
      <c r="G492" s="8" t="inlineStr"/>
    </row>
    <row r="493">
      <c r="A493" s="8" t="inlineStr">
        <is>
          <t>Banco</t>
        </is>
      </c>
      <c r="B493" s="8" t="inlineStr">
        <is>
          <t>21/04/2026</t>
        </is>
      </c>
      <c r="C493" s="8" t="inlineStr">
        <is>
          <t>108055</t>
        </is>
      </c>
      <c r="D493" s="8" t="inlineStr">
        <is>
          <t>INGRESOS BRUTOS MENDOZA</t>
        </is>
      </c>
      <c r="E493" s="9" t="n">
        <v>546.66</v>
      </c>
      <c r="F493" s="8" t="inlineStr">
        <is>
          <t>Pendiente visible en hojas Banco no Flexxus</t>
        </is>
      </c>
      <c r="G493" s="8" t="inlineStr"/>
    </row>
    <row r="494">
      <c r="A494" s="8" t="inlineStr">
        <is>
          <t>Banco</t>
        </is>
      </c>
      <c r="B494" s="8" t="inlineStr">
        <is>
          <t>21/04/2026</t>
        </is>
      </c>
      <c r="C494" s="8" t="inlineStr">
        <is>
          <t>108055</t>
        </is>
      </c>
      <c r="D494" s="8" t="inlineStr">
        <is>
          <t>GRAVAMEN LEY 25413 S/CRED</t>
        </is>
      </c>
      <c r="E494" s="9" t="n">
        <v>327.99</v>
      </c>
      <c r="F494" s="8" t="inlineStr">
        <is>
          <t>Pendiente visible en hojas Banco no Flexxus</t>
        </is>
      </c>
      <c r="G494" s="8" t="inlineStr"/>
    </row>
    <row r="495">
      <c r="A495" s="8" t="inlineStr">
        <is>
          <t>Banco</t>
        </is>
      </c>
      <c r="B495" s="8" t="inlineStr">
        <is>
          <t>21/04/2026</t>
        </is>
      </c>
      <c r="C495" s="8" t="inlineStr">
        <is>
          <t>29841705</t>
        </is>
      </c>
      <c r="D495" s="8" t="inlineStr">
        <is>
          <t>INGRESOS BRUTOS MENDOZA</t>
        </is>
      </c>
      <c r="E495" s="9" t="n">
        <v>122.28</v>
      </c>
      <c r="F495" s="8" t="inlineStr">
        <is>
          <t>Pendiente visible en hojas Banco no Flexxus</t>
        </is>
      </c>
      <c r="G495" s="8" t="inlineStr"/>
    </row>
    <row r="496">
      <c r="A496" s="8" t="inlineStr">
        <is>
          <t>Banco</t>
        </is>
      </c>
      <c r="B496" s="8" t="inlineStr">
        <is>
          <t>21/04/2026</t>
        </is>
      </c>
      <c r="C496" s="8" t="inlineStr">
        <is>
          <t>29841705</t>
        </is>
      </c>
      <c r="D496" s="8" t="inlineStr">
        <is>
          <t>GRAVAMEN LEY 25413 S/CRED</t>
        </is>
      </c>
      <c r="E496" s="9" t="n">
        <v>73.37</v>
      </c>
      <c r="F496" s="8" t="inlineStr">
        <is>
          <t>Pendiente visible en hojas Banco no Flexxus</t>
        </is>
      </c>
      <c r="G496" s="8" t="inlineStr"/>
    </row>
    <row r="497">
      <c r="A497" s="8" t="inlineStr">
        <is>
          <t>Banco</t>
        </is>
      </c>
      <c r="B497" s="8" t="inlineStr">
        <is>
          <t>21/04/2026</t>
        </is>
      </c>
      <c r="C497" s="8" t="inlineStr">
        <is>
          <t>29841642</t>
        </is>
      </c>
      <c r="D497" s="8" t="inlineStr">
        <is>
          <t>INGRESOS BRUTOS MENDOZA</t>
        </is>
      </c>
      <c r="E497" s="9" t="n">
        <v>321.83</v>
      </c>
      <c r="F497" s="8" t="inlineStr">
        <is>
          <t>Pendiente visible en hojas Banco no Flexxus</t>
        </is>
      </c>
      <c r="G497" s="8" t="inlineStr"/>
    </row>
    <row r="498">
      <c r="A498" s="8" t="inlineStr">
        <is>
          <t>Banco</t>
        </is>
      </c>
      <c r="B498" s="8" t="inlineStr">
        <is>
          <t>21/04/2026</t>
        </is>
      </c>
      <c r="C498" s="8" t="inlineStr">
        <is>
          <t>29841642</t>
        </is>
      </c>
      <c r="D498" s="8" t="inlineStr">
        <is>
          <t>GRAVAMEN LEY 25413 S/CRED</t>
        </is>
      </c>
      <c r="E498" s="9" t="n">
        <v>193.1</v>
      </c>
      <c r="F498" s="8" t="inlineStr">
        <is>
          <t>Pendiente visible en hojas Banco no Flexxus</t>
        </is>
      </c>
      <c r="G498" s="8" t="inlineStr"/>
    </row>
    <row r="499">
      <c r="A499" s="8" t="inlineStr">
        <is>
          <t>Banco</t>
        </is>
      </c>
      <c r="B499" s="8" t="inlineStr">
        <is>
          <t>21/04/2026</t>
        </is>
      </c>
      <c r="C499" s="8" t="inlineStr">
        <is>
          <t>32032899</t>
        </is>
      </c>
      <c r="D499" s="8" t="inlineStr">
        <is>
          <t>INGRESOS BRUTOS MENDOZA</t>
        </is>
      </c>
      <c r="E499" s="9" t="n">
        <v>19234</v>
      </c>
      <c r="F499" s="8" t="inlineStr">
        <is>
          <t>Pendiente visible en hojas Banco no Flexxus</t>
        </is>
      </c>
      <c r="G499" s="8" t="inlineStr"/>
    </row>
    <row r="500">
      <c r="A500" s="8" t="inlineStr">
        <is>
          <t>Banco</t>
        </is>
      </c>
      <c r="B500" s="8" t="inlineStr">
        <is>
          <t>21/04/2026</t>
        </is>
      </c>
      <c r="C500" s="8" t="inlineStr">
        <is>
          <t>32032899</t>
        </is>
      </c>
      <c r="D500" s="8" t="inlineStr">
        <is>
          <t>GRAVAMEN LEY 25413 S/CRED</t>
        </is>
      </c>
      <c r="E500" s="9" t="n">
        <v>11540.4</v>
      </c>
      <c r="F500" s="8" t="inlineStr">
        <is>
          <t>Pendiente visible en hojas Banco no Flexxus</t>
        </is>
      </c>
      <c r="G500" s="8" t="inlineStr"/>
    </row>
    <row r="501">
      <c r="A501" s="8" t="inlineStr">
        <is>
          <t>Banco</t>
        </is>
      </c>
      <c r="B501" s="8" t="inlineStr">
        <is>
          <t>21/04/2026</t>
        </is>
      </c>
      <c r="C501" s="8" t="inlineStr">
        <is>
          <t>31995644</t>
        </is>
      </c>
      <c r="D501" s="8" t="inlineStr">
        <is>
          <t>INGRESOS BRUTOS MENDOZA</t>
        </is>
      </c>
      <c r="E501" s="9" t="n">
        <v>20708.98</v>
      </c>
      <c r="F501" s="8" t="inlineStr">
        <is>
          <t>Pendiente visible en hojas Banco no Flexxus</t>
        </is>
      </c>
      <c r="G501" s="8" t="inlineStr"/>
    </row>
    <row r="502">
      <c r="A502" s="8" t="inlineStr">
        <is>
          <t>Banco</t>
        </is>
      </c>
      <c r="B502" s="8" t="inlineStr">
        <is>
          <t>21/04/2026</t>
        </is>
      </c>
      <c r="C502" s="8" t="inlineStr">
        <is>
          <t>31995644</t>
        </is>
      </c>
      <c r="D502" s="8" t="inlineStr">
        <is>
          <t>GRAVAMEN LEY 25413 S/CRED</t>
        </is>
      </c>
      <c r="E502" s="9" t="n">
        <v>12425.39</v>
      </c>
      <c r="F502" s="8" t="inlineStr">
        <is>
          <t>Pendiente visible en hojas Banco no Flexxus</t>
        </is>
      </c>
      <c r="G502" s="8" t="inlineStr"/>
    </row>
    <row r="503">
      <c r="A503" s="8" t="inlineStr">
        <is>
          <t>Banco</t>
        </is>
      </c>
      <c r="B503" s="8" t="inlineStr">
        <is>
          <t>21/04/2026</t>
        </is>
      </c>
      <c r="C503" s="8" t="inlineStr">
        <is>
          <t>29841705</t>
        </is>
      </c>
      <c r="D503" s="8" t="inlineStr">
        <is>
          <t>INGRESOS BRUTOS MENDOZA</t>
        </is>
      </c>
      <c r="E503" s="9" t="n">
        <v>6181.29</v>
      </c>
      <c r="F503" s="8" t="inlineStr">
        <is>
          <t>Pendiente visible en hojas Banco no Flexxus</t>
        </is>
      </c>
      <c r="G503" s="8" t="inlineStr"/>
    </row>
    <row r="504">
      <c r="A504" s="8" t="inlineStr">
        <is>
          <t>Banco</t>
        </is>
      </c>
      <c r="B504" s="8" t="inlineStr">
        <is>
          <t>21/04/2026</t>
        </is>
      </c>
      <c r="C504" s="8" t="inlineStr">
        <is>
          <t>29841705</t>
        </is>
      </c>
      <c r="D504" s="8" t="inlineStr">
        <is>
          <t>GRAVAMEN LEY 25413 S/CRED</t>
        </is>
      </c>
      <c r="E504" s="9" t="n">
        <v>3708.77</v>
      </c>
      <c r="F504" s="8" t="inlineStr">
        <is>
          <t>Pendiente visible en hojas Banco no Flexxus</t>
        </is>
      </c>
      <c r="G504" s="8" t="inlineStr"/>
    </row>
    <row r="505">
      <c r="A505" s="8" t="inlineStr">
        <is>
          <t>Banco</t>
        </is>
      </c>
      <c r="B505" s="8" t="inlineStr">
        <is>
          <t>21/04/2026</t>
        </is>
      </c>
      <c r="C505" s="8" t="inlineStr">
        <is>
          <t>29841683</t>
        </is>
      </c>
      <c r="D505" s="8" t="inlineStr">
        <is>
          <t>INGRESOS BRUTOS MENDOZA</t>
        </is>
      </c>
      <c r="E505" s="9" t="n">
        <v>2074.16</v>
      </c>
      <c r="F505" s="8" t="inlineStr">
        <is>
          <t>Pendiente visible en hojas Banco no Flexxus</t>
        </is>
      </c>
      <c r="G505" s="8" t="inlineStr"/>
    </row>
    <row r="506">
      <c r="A506" s="8" t="inlineStr">
        <is>
          <t>Banco</t>
        </is>
      </c>
      <c r="B506" s="8" t="inlineStr">
        <is>
          <t>21/04/2026</t>
        </is>
      </c>
      <c r="C506" s="8" t="inlineStr">
        <is>
          <t>29841683</t>
        </is>
      </c>
      <c r="D506" s="8" t="inlineStr">
        <is>
          <t>GRAVAMEN LEY 25413 S/CRED</t>
        </is>
      </c>
      <c r="E506" s="9" t="n">
        <v>1244.49</v>
      </c>
      <c r="F506" s="8" t="inlineStr">
        <is>
          <t>Pendiente visible en hojas Banco no Flexxus</t>
        </is>
      </c>
      <c r="G506" s="8" t="inlineStr"/>
    </row>
    <row r="507">
      <c r="A507" s="8" t="inlineStr">
        <is>
          <t>Banco</t>
        </is>
      </c>
      <c r="B507" s="8" t="inlineStr">
        <is>
          <t>21/04/2026</t>
        </is>
      </c>
      <c r="C507" s="8" t="inlineStr">
        <is>
          <t>29841670</t>
        </is>
      </c>
      <c r="D507" s="8" t="inlineStr">
        <is>
          <t>INGRESOS BRUTOS MENDOZA</t>
        </is>
      </c>
      <c r="E507" s="9" t="n">
        <v>2743.55</v>
      </c>
      <c r="F507" s="8" t="inlineStr">
        <is>
          <t>Pendiente visible en hojas Banco no Flexxus</t>
        </is>
      </c>
      <c r="G507" s="8" t="inlineStr"/>
    </row>
    <row r="508">
      <c r="A508" s="8" t="inlineStr">
        <is>
          <t>Banco</t>
        </is>
      </c>
      <c r="B508" s="8" t="inlineStr">
        <is>
          <t>21/04/2026</t>
        </is>
      </c>
      <c r="C508" s="8" t="inlineStr">
        <is>
          <t>29841670</t>
        </is>
      </c>
      <c r="D508" s="8" t="inlineStr">
        <is>
          <t>GRAVAMEN LEY 25413 S/CRED</t>
        </is>
      </c>
      <c r="E508" s="9" t="n">
        <v>1646.13</v>
      </c>
      <c r="F508" s="8" t="inlineStr">
        <is>
          <t>Pendiente visible en hojas Banco no Flexxus</t>
        </is>
      </c>
      <c r="G508" s="8" t="inlineStr"/>
    </row>
    <row r="509">
      <c r="A509" s="8" t="inlineStr">
        <is>
          <t>Banco</t>
        </is>
      </c>
      <c r="B509" s="8" t="inlineStr">
        <is>
          <t>21/04/2026</t>
        </is>
      </c>
      <c r="C509" s="8" t="inlineStr">
        <is>
          <t>29841642</t>
        </is>
      </c>
      <c r="D509" s="8" t="inlineStr">
        <is>
          <t>INGRESOS BRUTOS MENDOZA</t>
        </is>
      </c>
      <c r="E509" s="9" t="n">
        <v>4884.67</v>
      </c>
      <c r="F509" s="8" t="inlineStr">
        <is>
          <t>Pendiente visible en hojas Banco no Flexxus</t>
        </is>
      </c>
      <c r="G509" s="8" t="inlineStr"/>
    </row>
    <row r="510">
      <c r="A510" s="8" t="inlineStr">
        <is>
          <t>Banco</t>
        </is>
      </c>
      <c r="B510" s="8" t="inlineStr">
        <is>
          <t>21/04/2026</t>
        </is>
      </c>
      <c r="C510" s="8" t="inlineStr">
        <is>
          <t>29841642</t>
        </is>
      </c>
      <c r="D510" s="8" t="inlineStr">
        <is>
          <t>GRAVAMEN LEY 25413 S/CRED</t>
        </is>
      </c>
      <c r="E510" s="9" t="n">
        <v>2930.8</v>
      </c>
      <c r="F510" s="8" t="inlineStr">
        <is>
          <t>Pendiente visible en hojas Banco no Flexxus</t>
        </is>
      </c>
      <c r="G510" s="8" t="inlineStr"/>
    </row>
    <row r="511">
      <c r="A511" s="8" t="inlineStr">
        <is>
          <t>Banco</t>
        </is>
      </c>
      <c r="B511" s="8" t="inlineStr">
        <is>
          <t>21/04/2026</t>
        </is>
      </c>
      <c r="C511" s="8" t="inlineStr">
        <is>
          <t>29841627</t>
        </is>
      </c>
      <c r="D511" s="8" t="inlineStr">
        <is>
          <t>INGRESOS BRUTOS MENDOZA</t>
        </is>
      </c>
      <c r="E511" s="9" t="n">
        <v>1444.31</v>
      </c>
      <c r="F511" s="8" t="inlineStr">
        <is>
          <t>Pendiente visible en hojas Banco no Flexxus</t>
        </is>
      </c>
      <c r="G511" s="8" t="inlineStr"/>
    </row>
    <row r="512">
      <c r="A512" s="8" t="inlineStr">
        <is>
          <t>Banco</t>
        </is>
      </c>
      <c r="B512" s="8" t="inlineStr">
        <is>
          <t>21/04/2026</t>
        </is>
      </c>
      <c r="C512" s="8" t="inlineStr">
        <is>
          <t>29841627</t>
        </is>
      </c>
      <c r="D512" s="8" t="inlineStr">
        <is>
          <t>GRAVAMEN LEY 25413 S/CRED</t>
        </is>
      </c>
      <c r="E512" s="9" t="n">
        <v>866.59</v>
      </c>
      <c r="F512" s="8" t="inlineStr">
        <is>
          <t>Pendiente visible en hojas Banco no Flexxus</t>
        </is>
      </c>
      <c r="G512" s="8" t="inlineStr"/>
    </row>
    <row r="513">
      <c r="A513" s="8" t="inlineStr">
        <is>
          <t>Banco</t>
        </is>
      </c>
      <c r="B513" s="8" t="inlineStr">
        <is>
          <t>21/04/2026</t>
        </is>
      </c>
      <c r="C513" s="8" t="inlineStr">
        <is>
          <t>32032899</t>
        </is>
      </c>
      <c r="D513" s="8" t="inlineStr">
        <is>
          <t>INGRESOS BRUTOS MENDOZA</t>
        </is>
      </c>
      <c r="E513" s="9" t="n">
        <v>2904.53</v>
      </c>
      <c r="F513" s="8" t="inlineStr">
        <is>
          <t>Pendiente visible en hojas Banco no Flexxus</t>
        </is>
      </c>
      <c r="G513" s="8" t="inlineStr"/>
    </row>
    <row r="514">
      <c r="A514" s="8" t="inlineStr">
        <is>
          <t>Banco</t>
        </is>
      </c>
      <c r="B514" s="8" t="inlineStr">
        <is>
          <t>21/04/2026</t>
        </is>
      </c>
      <c r="C514" s="8" t="inlineStr">
        <is>
          <t>32032899</t>
        </is>
      </c>
      <c r="D514" s="8" t="inlineStr">
        <is>
          <t>GRAVAMEN LEY 25413 S/CRED</t>
        </is>
      </c>
      <c r="E514" s="9" t="n">
        <v>1742.72</v>
      </c>
      <c r="F514" s="8" t="inlineStr">
        <is>
          <t>Pendiente visible en hojas Banco no Flexxus</t>
        </is>
      </c>
      <c r="G514" s="8" t="inlineStr"/>
    </row>
    <row r="515">
      <c r="A515" s="8" t="inlineStr">
        <is>
          <t>Banco</t>
        </is>
      </c>
      <c r="B515" s="8" t="inlineStr">
        <is>
          <t>21/04/2026</t>
        </is>
      </c>
      <c r="C515" s="8" t="inlineStr">
        <is>
          <t>31995644</t>
        </is>
      </c>
      <c r="D515" s="8" t="inlineStr">
        <is>
          <t>INGRESOS BRUTOS MENDOZA</t>
        </is>
      </c>
      <c r="E515" s="9" t="n">
        <v>3239.82</v>
      </c>
      <c r="F515" s="8" t="inlineStr">
        <is>
          <t>Pendiente visible en hojas Banco no Flexxus</t>
        </is>
      </c>
      <c r="G515" s="8" t="inlineStr"/>
    </row>
    <row r="516">
      <c r="A516" s="8" t="inlineStr">
        <is>
          <t>Banco</t>
        </is>
      </c>
      <c r="B516" s="8" t="inlineStr">
        <is>
          <t>21/04/2026</t>
        </is>
      </c>
      <c r="C516" s="8" t="inlineStr">
        <is>
          <t>31995644</t>
        </is>
      </c>
      <c r="D516" s="8" t="inlineStr">
        <is>
          <t>GRAVAMEN LEY 25413 S/CRED</t>
        </is>
      </c>
      <c r="E516" s="9" t="n">
        <v>1943.89</v>
      </c>
      <c r="F516" s="8" t="inlineStr">
        <is>
          <t>Pendiente visible en hojas Banco no Flexxus</t>
        </is>
      </c>
      <c r="G516" s="8" t="inlineStr"/>
    </row>
    <row r="517">
      <c r="A517" s="8" t="inlineStr">
        <is>
          <t>Banco</t>
        </is>
      </c>
      <c r="B517" s="8" t="inlineStr">
        <is>
          <t>21/04/2026</t>
        </is>
      </c>
      <c r="C517" s="8" t="inlineStr">
        <is>
          <t>29841705</t>
        </is>
      </c>
      <c r="D517" s="8" t="inlineStr">
        <is>
          <t>INGRESOS BRUTOS MENDOZA</t>
        </is>
      </c>
      <c r="E517" s="9" t="n">
        <v>1586.57</v>
      </c>
      <c r="F517" s="8" t="inlineStr">
        <is>
          <t>Pendiente visible en hojas Banco no Flexxus</t>
        </is>
      </c>
      <c r="G517" s="8" t="inlineStr"/>
    </row>
    <row r="518">
      <c r="A518" s="8" t="inlineStr">
        <is>
          <t>Banco</t>
        </is>
      </c>
      <c r="B518" s="8" t="inlineStr">
        <is>
          <t>21/04/2026</t>
        </is>
      </c>
      <c r="C518" s="8" t="inlineStr">
        <is>
          <t>29841705</t>
        </is>
      </c>
      <c r="D518" s="8" t="inlineStr">
        <is>
          <t>GRAVAMEN LEY 25413 S/CRED</t>
        </is>
      </c>
      <c r="E518" s="9" t="n">
        <v>951.9400000000001</v>
      </c>
      <c r="F518" s="8" t="inlineStr">
        <is>
          <t>Pendiente visible en hojas Banco no Flexxus</t>
        </is>
      </c>
      <c r="G518" s="8" t="inlineStr"/>
    </row>
    <row r="519">
      <c r="A519" s="8" t="inlineStr">
        <is>
          <t>Banco</t>
        </is>
      </c>
      <c r="B519" s="8" t="inlineStr">
        <is>
          <t>21/04/2026</t>
        </is>
      </c>
      <c r="C519" s="8" t="inlineStr">
        <is>
          <t>29841683</t>
        </is>
      </c>
      <c r="D519" s="8" t="inlineStr">
        <is>
          <t>INGRESOS BRUTOS MENDOZA</t>
        </is>
      </c>
      <c r="E519" s="9" t="n">
        <v>2575.66</v>
      </c>
      <c r="F519" s="8" t="inlineStr">
        <is>
          <t>Pendiente visible en hojas Banco no Flexxus</t>
        </is>
      </c>
      <c r="G519" s="8" t="inlineStr"/>
    </row>
    <row r="520">
      <c r="A520" s="8" t="inlineStr">
        <is>
          <t>Banco</t>
        </is>
      </c>
      <c r="B520" s="8" t="inlineStr">
        <is>
          <t>21/04/2026</t>
        </is>
      </c>
      <c r="C520" s="8" t="inlineStr">
        <is>
          <t>29841683</t>
        </is>
      </c>
      <c r="D520" s="8" t="inlineStr">
        <is>
          <t>GRAVAMEN LEY 25413 S/CRED</t>
        </is>
      </c>
      <c r="E520" s="9" t="n">
        <v>1545.4</v>
      </c>
      <c r="F520" s="8" t="inlineStr">
        <is>
          <t>Pendiente visible en hojas Banco no Flexxus</t>
        </is>
      </c>
      <c r="G520" s="8" t="inlineStr"/>
    </row>
    <row r="521">
      <c r="A521" s="8" t="inlineStr">
        <is>
          <t>Banco</t>
        </is>
      </c>
      <c r="B521" s="8" t="inlineStr">
        <is>
          <t>21/04/2026</t>
        </is>
      </c>
      <c r="C521" s="8" t="inlineStr">
        <is>
          <t>29841670</t>
        </is>
      </c>
      <c r="D521" s="8" t="inlineStr">
        <is>
          <t>INGRESOS BRUTOS MENDOZA</t>
        </is>
      </c>
      <c r="E521" s="9" t="n">
        <v>896.03</v>
      </c>
      <c r="F521" s="8" t="inlineStr">
        <is>
          <t>Pendiente visible en hojas Banco no Flexxus</t>
        </is>
      </c>
      <c r="G521" s="8" t="inlineStr"/>
    </row>
    <row r="522">
      <c r="A522" s="8" t="inlineStr">
        <is>
          <t>Banco</t>
        </is>
      </c>
      <c r="B522" s="8" t="inlineStr">
        <is>
          <t>21/04/2026</t>
        </is>
      </c>
      <c r="C522" s="8" t="inlineStr">
        <is>
          <t>29841670</t>
        </is>
      </c>
      <c r="D522" s="8" t="inlineStr">
        <is>
          <t>GRAVAMEN LEY 25413 S/CRED</t>
        </is>
      </c>
      <c r="E522" s="9" t="n">
        <v>537.62</v>
      </c>
      <c r="F522" s="8" t="inlineStr">
        <is>
          <t>Pendiente visible en hojas Banco no Flexxus</t>
        </is>
      </c>
      <c r="G522" s="8" t="inlineStr"/>
    </row>
    <row r="523">
      <c r="A523" s="8" t="inlineStr">
        <is>
          <t>Banco</t>
        </is>
      </c>
      <c r="B523" s="8" t="inlineStr">
        <is>
          <t>21/04/2026</t>
        </is>
      </c>
      <c r="C523" s="8" t="inlineStr">
        <is>
          <t>29841642</t>
        </is>
      </c>
      <c r="D523" s="8" t="inlineStr">
        <is>
          <t>INGRESOS BRUTOS MENDOZA</t>
        </is>
      </c>
      <c r="E523" s="9" t="n">
        <v>1743.64</v>
      </c>
      <c r="F523" s="8" t="inlineStr">
        <is>
          <t>Pendiente visible en hojas Banco no Flexxus</t>
        </is>
      </c>
      <c r="G523" s="8" t="inlineStr"/>
    </row>
    <row r="524">
      <c r="A524" s="8" t="inlineStr">
        <is>
          <t>Banco</t>
        </is>
      </c>
      <c r="B524" s="8" t="inlineStr">
        <is>
          <t>21/04/2026</t>
        </is>
      </c>
      <c r="C524" s="8" t="inlineStr">
        <is>
          <t>29841642</t>
        </is>
      </c>
      <c r="D524" s="8" t="inlineStr">
        <is>
          <t>GRAVAMEN LEY 25413 S/CRED</t>
        </is>
      </c>
      <c r="E524" s="9" t="n">
        <v>1046.19</v>
      </c>
      <c r="F524" s="8" t="inlineStr">
        <is>
          <t>Pendiente visible en hojas Banco no Flexxus</t>
        </is>
      </c>
      <c r="G524" s="8" t="inlineStr"/>
    </row>
    <row r="525">
      <c r="A525" s="8" t="inlineStr">
        <is>
          <t>Banco</t>
        </is>
      </c>
      <c r="B525" s="8" t="inlineStr">
        <is>
          <t>21/04/2026</t>
        </is>
      </c>
      <c r="C525" s="8" t="inlineStr">
        <is>
          <t>29841627</t>
        </is>
      </c>
      <c r="D525" s="8" t="inlineStr">
        <is>
          <t>INGRESOS BRUTOS MENDOZA</t>
        </is>
      </c>
      <c r="E525" s="9" t="n">
        <v>1045.2</v>
      </c>
      <c r="F525" s="8" t="inlineStr">
        <is>
          <t>Pendiente visible en hojas Banco no Flexxus</t>
        </is>
      </c>
      <c r="G525" s="8" t="inlineStr"/>
    </row>
    <row r="526">
      <c r="A526" s="8" t="inlineStr">
        <is>
          <t>Banco</t>
        </is>
      </c>
      <c r="B526" s="8" t="inlineStr">
        <is>
          <t>21/04/2026</t>
        </is>
      </c>
      <c r="C526" s="8" t="inlineStr">
        <is>
          <t>29841627</t>
        </is>
      </c>
      <c r="D526" s="8" t="inlineStr">
        <is>
          <t>GRAVAMEN LEY 25413 S/CRED</t>
        </is>
      </c>
      <c r="E526" s="9" t="n">
        <v>627.12</v>
      </c>
      <c r="F526" s="8" t="inlineStr">
        <is>
          <t>Pendiente visible en hojas Banco no Flexxus</t>
        </is>
      </c>
      <c r="G526" s="8" t="inlineStr"/>
    </row>
    <row r="527">
      <c r="A527" s="8" t="inlineStr">
        <is>
          <t>Banco</t>
        </is>
      </c>
      <c r="B527" s="8" t="inlineStr">
        <is>
          <t>21/04/2026</t>
        </is>
      </c>
      <c r="C527" s="8" t="inlineStr">
        <is>
          <t>31995644</t>
        </is>
      </c>
      <c r="D527" s="8" t="inlineStr">
        <is>
          <t>INGRESOS BRUTOS MENDOZA</t>
        </is>
      </c>
      <c r="E527" s="9" t="n">
        <v>6265.56</v>
      </c>
      <c r="F527" s="8" t="inlineStr">
        <is>
          <t>Pendiente visible en hojas Banco no Flexxus</t>
        </is>
      </c>
      <c r="G527" s="8" t="inlineStr"/>
    </row>
    <row r="528">
      <c r="A528" s="8" t="inlineStr">
        <is>
          <t>Banco</t>
        </is>
      </c>
      <c r="B528" s="8" t="inlineStr">
        <is>
          <t>21/04/2026</t>
        </is>
      </c>
      <c r="C528" s="8" t="inlineStr">
        <is>
          <t>31995644</t>
        </is>
      </c>
      <c r="D528" s="8" t="inlineStr">
        <is>
          <t>GRAVAMEN LEY 25413 S/CRED</t>
        </is>
      </c>
      <c r="E528" s="9" t="n">
        <v>3759.33</v>
      </c>
      <c r="F528" s="8" t="inlineStr">
        <is>
          <t>Pendiente visible en hojas Banco no Flexxus</t>
        </is>
      </c>
      <c r="G528" s="8" t="inlineStr"/>
    </row>
    <row r="529">
      <c r="A529" s="8" t="inlineStr">
        <is>
          <t>Banco</t>
        </is>
      </c>
      <c r="B529" s="8" t="inlineStr">
        <is>
          <t>21/04/2026</t>
        </is>
      </c>
      <c r="C529" s="8" t="inlineStr">
        <is>
          <t>32032899</t>
        </is>
      </c>
      <c r="D529" s="8" t="inlineStr">
        <is>
          <t>INGRESOS BRUTOS MENDOZA</t>
        </is>
      </c>
      <c r="E529" s="9" t="n">
        <v>4540.83</v>
      </c>
      <c r="F529" s="8" t="inlineStr">
        <is>
          <t>Pendiente visible en hojas Banco no Flexxus</t>
        </is>
      </c>
      <c r="G529" s="8" t="inlineStr"/>
    </row>
    <row r="530">
      <c r="A530" s="8" t="inlineStr">
        <is>
          <t>Banco</t>
        </is>
      </c>
      <c r="B530" s="8" t="inlineStr">
        <is>
          <t>21/04/2026</t>
        </is>
      </c>
      <c r="C530" s="8" t="inlineStr">
        <is>
          <t>32032899</t>
        </is>
      </c>
      <c r="D530" s="8" t="inlineStr">
        <is>
          <t>GRAVAMEN LEY 25413 S/CRED</t>
        </is>
      </c>
      <c r="E530" s="9" t="n">
        <v>2724.5</v>
      </c>
      <c r="F530" s="8" t="inlineStr">
        <is>
          <t>Pendiente visible en hojas Banco no Flexxus</t>
        </is>
      </c>
      <c r="G530" s="8" t="inlineStr"/>
    </row>
    <row r="531">
      <c r="A531" s="8" t="inlineStr">
        <is>
          <t>Banco</t>
        </is>
      </c>
      <c r="B531" s="8" t="inlineStr">
        <is>
          <t>21/04/2026</t>
        </is>
      </c>
      <c r="C531" s="8" t="inlineStr">
        <is>
          <t>32032899</t>
        </is>
      </c>
      <c r="D531" s="8" t="inlineStr">
        <is>
          <t>INGRESOS BRUTOS MENDOZA</t>
        </is>
      </c>
      <c r="E531" s="9" t="n">
        <v>2197.82</v>
      </c>
      <c r="F531" s="8" t="inlineStr">
        <is>
          <t>Pendiente visible en hojas Banco no Flexxus</t>
        </is>
      </c>
      <c r="G531" s="8" t="inlineStr"/>
    </row>
    <row r="532">
      <c r="A532" s="8" t="inlineStr">
        <is>
          <t>Banco</t>
        </is>
      </c>
      <c r="B532" s="8" t="inlineStr">
        <is>
          <t>21/04/2026</t>
        </is>
      </c>
      <c r="C532" s="8" t="inlineStr">
        <is>
          <t>32032899</t>
        </is>
      </c>
      <c r="D532" s="8" t="inlineStr">
        <is>
          <t>GRAVAMEN LEY 25413 S/CRED</t>
        </is>
      </c>
      <c r="E532" s="9" t="n">
        <v>1318.69</v>
      </c>
      <c r="F532" s="8" t="inlineStr">
        <is>
          <t>Pendiente visible en hojas Banco no Flexxus</t>
        </is>
      </c>
      <c r="G532" s="8" t="inlineStr"/>
    </row>
    <row r="533">
      <c r="A533" s="8" t="inlineStr">
        <is>
          <t>Banco</t>
        </is>
      </c>
      <c r="B533" s="8" t="inlineStr">
        <is>
          <t>21/04/2026</t>
        </is>
      </c>
      <c r="C533" s="8" t="inlineStr">
        <is>
          <t>31995644</t>
        </is>
      </c>
      <c r="D533" s="8" t="inlineStr">
        <is>
          <t>INGRESOS BRUTOS MENDOZA</t>
        </is>
      </c>
      <c r="E533" s="9" t="n">
        <v>2745.33</v>
      </c>
      <c r="F533" s="8" t="inlineStr">
        <is>
          <t>Pendiente visible en hojas Banco no Flexxus</t>
        </is>
      </c>
      <c r="G533" s="8" t="inlineStr"/>
    </row>
    <row r="534">
      <c r="A534" s="8" t="inlineStr">
        <is>
          <t>Banco</t>
        </is>
      </c>
      <c r="B534" s="8" t="inlineStr">
        <is>
          <t>21/04/2026</t>
        </is>
      </c>
      <c r="C534" s="8" t="inlineStr">
        <is>
          <t>31995644</t>
        </is>
      </c>
      <c r="D534" s="8" t="inlineStr">
        <is>
          <t>GRAVAMEN LEY 25413 S/CRED</t>
        </is>
      </c>
      <c r="E534" s="9" t="n">
        <v>1647.2</v>
      </c>
      <c r="F534" s="8" t="inlineStr">
        <is>
          <t>Pendiente visible en hojas Banco no Flexxus</t>
        </is>
      </c>
      <c r="G534" s="8" t="inlineStr"/>
    </row>
    <row r="535">
      <c r="A535" s="8" t="inlineStr">
        <is>
          <t>Banco</t>
        </is>
      </c>
      <c r="B535" s="8" t="inlineStr">
        <is>
          <t>21/04/2026</t>
        </is>
      </c>
      <c r="C535" s="8" t="inlineStr">
        <is>
          <t>31995644</t>
        </is>
      </c>
      <c r="D535" s="8" t="inlineStr">
        <is>
          <t>INGRESOS BRUTOS MENDOZA</t>
        </is>
      </c>
      <c r="E535" s="9" t="n">
        <v>922.46</v>
      </c>
      <c r="F535" s="8" t="inlineStr">
        <is>
          <t>Pendiente visible en hojas Banco no Flexxus</t>
        </is>
      </c>
      <c r="G535" s="8" t="inlineStr"/>
    </row>
    <row r="536">
      <c r="A536" s="8" t="inlineStr">
        <is>
          <t>Banco</t>
        </is>
      </c>
      <c r="B536" s="8" t="inlineStr">
        <is>
          <t>21/04/2026</t>
        </is>
      </c>
      <c r="C536" s="8" t="inlineStr">
        <is>
          <t>31995644</t>
        </is>
      </c>
      <c r="D536" s="8" t="inlineStr">
        <is>
          <t>GRAVAMEN LEY 25413 S/CRED</t>
        </is>
      </c>
      <c r="E536" s="9" t="n">
        <v>553.48</v>
      </c>
      <c r="F536" s="8" t="inlineStr">
        <is>
          <t>Pendiente visible en hojas Banco no Flexxus</t>
        </is>
      </c>
      <c r="G536" s="8" t="inlineStr"/>
    </row>
    <row r="537">
      <c r="A537" s="8" t="inlineStr">
        <is>
          <t>Banco</t>
        </is>
      </c>
      <c r="B537" s="8" t="inlineStr">
        <is>
          <t>21/04/2026</t>
        </is>
      </c>
      <c r="C537" s="8" t="inlineStr">
        <is>
          <t>29841705</t>
        </is>
      </c>
      <c r="D537" s="8" t="inlineStr">
        <is>
          <t>INGRESOS BRUTOS MENDOZA</t>
        </is>
      </c>
      <c r="E537" s="9" t="n">
        <v>266.08</v>
      </c>
      <c r="F537" s="8" t="inlineStr">
        <is>
          <t>Pendiente visible en hojas Banco no Flexxus</t>
        </is>
      </c>
      <c r="G537" s="8" t="inlineStr"/>
    </row>
    <row r="538">
      <c r="A538" s="8" t="inlineStr">
        <is>
          <t>Banco</t>
        </is>
      </c>
      <c r="B538" s="8" t="inlineStr">
        <is>
          <t>21/04/2026</t>
        </is>
      </c>
      <c r="C538" s="8" t="inlineStr">
        <is>
          <t>29841705</t>
        </is>
      </c>
      <c r="D538" s="8" t="inlineStr">
        <is>
          <t>GRAVAMEN LEY 25413 S/CRED</t>
        </is>
      </c>
      <c r="E538" s="9" t="n">
        <v>159.65</v>
      </c>
      <c r="F538" s="8" t="inlineStr">
        <is>
          <t>Pendiente visible en hojas Banco no Flexxus</t>
        </is>
      </c>
      <c r="G538" s="8" t="inlineStr"/>
    </row>
    <row r="539">
      <c r="A539" s="8" t="inlineStr">
        <is>
          <t>Banco</t>
        </is>
      </c>
      <c r="B539" s="8" t="inlineStr">
        <is>
          <t>21/04/2026</t>
        </is>
      </c>
      <c r="C539" s="8" t="inlineStr">
        <is>
          <t>29841683</t>
        </is>
      </c>
      <c r="D539" s="8" t="inlineStr">
        <is>
          <t>INGRESOS BRUTOS MENDOZA</t>
        </is>
      </c>
      <c r="E539" s="9" t="n">
        <v>498.89</v>
      </c>
      <c r="F539" s="8" t="inlineStr">
        <is>
          <t>Pendiente visible en hojas Banco no Flexxus</t>
        </is>
      </c>
      <c r="G539" s="8" t="inlineStr"/>
    </row>
    <row r="540">
      <c r="A540" s="8" t="inlineStr">
        <is>
          <t>Banco</t>
        </is>
      </c>
      <c r="B540" s="8" t="inlineStr">
        <is>
          <t>21/04/2026</t>
        </is>
      </c>
      <c r="C540" s="8" t="inlineStr">
        <is>
          <t>29841683</t>
        </is>
      </c>
      <c r="D540" s="8" t="inlineStr">
        <is>
          <t>GRAVAMEN LEY 25413 S/CRED</t>
        </is>
      </c>
      <c r="E540" s="9" t="n">
        <v>299.34</v>
      </c>
      <c r="F540" s="8" t="inlineStr">
        <is>
          <t>Pendiente visible en hojas Banco no Flexxus</t>
        </is>
      </c>
      <c r="G540" s="8" t="inlineStr"/>
    </row>
    <row r="541">
      <c r="A541" s="8" t="inlineStr">
        <is>
          <t>Banco</t>
        </is>
      </c>
      <c r="B541" s="8" t="inlineStr">
        <is>
          <t>21/04/2026</t>
        </is>
      </c>
      <c r="C541" s="8" t="inlineStr">
        <is>
          <t>29841670</t>
        </is>
      </c>
      <c r="D541" s="8" t="inlineStr">
        <is>
          <t>INGRESOS BRUTOS MENDOZA</t>
        </is>
      </c>
      <c r="E541" s="9" t="n">
        <v>690.62</v>
      </c>
      <c r="F541" s="8" t="inlineStr">
        <is>
          <t>Pendiente visible en hojas Banco no Flexxus</t>
        </is>
      </c>
      <c r="G541" s="8" t="inlineStr"/>
    </row>
    <row r="542">
      <c r="A542" s="8" t="inlineStr">
        <is>
          <t>Banco</t>
        </is>
      </c>
      <c r="B542" s="8" t="inlineStr">
        <is>
          <t>21/04/2026</t>
        </is>
      </c>
      <c r="C542" s="8" t="inlineStr">
        <is>
          <t>29841670</t>
        </is>
      </c>
      <c r="D542" s="8" t="inlineStr">
        <is>
          <t>GRAVAMEN LEY 25413 S/CRED</t>
        </is>
      </c>
      <c r="E542" s="9" t="n">
        <v>414.37</v>
      </c>
      <c r="F542" s="8" t="inlineStr">
        <is>
          <t>Pendiente visible en hojas Banco no Flexxus</t>
        </is>
      </c>
      <c r="G542" s="8" t="inlineStr"/>
    </row>
    <row r="543">
      <c r="A543" s="8" t="inlineStr">
        <is>
          <t>Banco</t>
        </is>
      </c>
      <c r="B543" s="8" t="inlineStr">
        <is>
          <t>21/04/2026</t>
        </is>
      </c>
      <c r="C543" s="8" t="inlineStr">
        <is>
          <t>29841627</t>
        </is>
      </c>
      <c r="D543" s="8" t="inlineStr">
        <is>
          <t>INGRESOS BRUTOS MENDOZA</t>
        </is>
      </c>
      <c r="E543" s="9" t="n">
        <v>655.41</v>
      </c>
      <c r="F543" s="8" t="inlineStr">
        <is>
          <t>Pendiente visible en hojas Banco no Flexxus</t>
        </is>
      </c>
      <c r="G543" s="8" t="inlineStr"/>
    </row>
    <row r="544">
      <c r="A544" s="8" t="inlineStr">
        <is>
          <t>Banco</t>
        </is>
      </c>
      <c r="B544" s="8" t="inlineStr">
        <is>
          <t>21/04/2026</t>
        </is>
      </c>
      <c r="C544" s="8" t="inlineStr">
        <is>
          <t>29841627</t>
        </is>
      </c>
      <c r="D544" s="8" t="inlineStr">
        <is>
          <t>GRAVAMEN LEY 25413 S/CRED</t>
        </is>
      </c>
      <c r="E544" s="9" t="n">
        <v>393.24</v>
      </c>
      <c r="F544" s="8" t="inlineStr">
        <is>
          <t>Pendiente visible en hojas Banco no Flexxus</t>
        </is>
      </c>
      <c r="G544" s="8" t="inlineStr"/>
    </row>
    <row r="545">
      <c r="A545" s="8" t="inlineStr">
        <is>
          <t>Banco</t>
        </is>
      </c>
      <c r="B545" s="8" t="inlineStr">
        <is>
          <t>21/04/2026</t>
        </is>
      </c>
      <c r="C545" s="8" t="inlineStr">
        <is>
          <t>32032899</t>
        </is>
      </c>
      <c r="D545" s="8" t="inlineStr">
        <is>
          <t>INGRESOS BRUTOS MENDOZA</t>
        </is>
      </c>
      <c r="E545" s="9" t="n">
        <v>2145.03</v>
      </c>
      <c r="F545" s="8" t="inlineStr">
        <is>
          <t>Pendiente visible en hojas Banco no Flexxus</t>
        </is>
      </c>
      <c r="G545" s="8" t="inlineStr"/>
    </row>
    <row r="546">
      <c r="A546" s="8" t="inlineStr">
        <is>
          <t>Banco</t>
        </is>
      </c>
      <c r="B546" s="8" t="inlineStr">
        <is>
          <t>21/04/2026</t>
        </is>
      </c>
      <c r="C546" s="8" t="inlineStr">
        <is>
          <t>32032899</t>
        </is>
      </c>
      <c r="D546" s="8" t="inlineStr">
        <is>
          <t>GRAVAMEN LEY 25413 S/CRED</t>
        </is>
      </c>
      <c r="E546" s="9" t="n">
        <v>1287.02</v>
      </c>
      <c r="F546" s="8" t="inlineStr">
        <is>
          <t>Pendiente visible en hojas Banco no Flexxus</t>
        </is>
      </c>
      <c r="G546" s="8" t="inlineStr"/>
    </row>
    <row r="547">
      <c r="A547" s="8" t="inlineStr">
        <is>
          <t>Banco</t>
        </is>
      </c>
      <c r="B547" s="8" t="inlineStr">
        <is>
          <t>21/04/2026</t>
        </is>
      </c>
      <c r="C547" s="8" t="inlineStr">
        <is>
          <t>31995644</t>
        </is>
      </c>
      <c r="D547" s="8" t="inlineStr">
        <is>
          <t>INGRESOS BRUTOS MENDOZA</t>
        </is>
      </c>
      <c r="E547" s="9" t="n">
        <v>2119.61</v>
      </c>
      <c r="F547" s="8" t="inlineStr">
        <is>
          <t>Pendiente visible en hojas Banco no Flexxus</t>
        </is>
      </c>
      <c r="G547" s="8" t="inlineStr"/>
    </row>
    <row r="548">
      <c r="A548" s="8" t="inlineStr">
        <is>
          <t>Banco</t>
        </is>
      </c>
      <c r="B548" s="8" t="inlineStr">
        <is>
          <t>21/04/2026</t>
        </is>
      </c>
      <c r="C548" s="8" t="inlineStr">
        <is>
          <t>31995644</t>
        </is>
      </c>
      <c r="D548" s="8" t="inlineStr">
        <is>
          <t>GRAVAMEN LEY 25413 S/CRED</t>
        </is>
      </c>
      <c r="E548" s="9" t="n">
        <v>1271.77</v>
      </c>
      <c r="F548" s="8" t="inlineStr">
        <is>
          <t>Pendiente visible en hojas Banco no Flexxus</t>
        </is>
      </c>
      <c r="G548" s="8" t="inlineStr"/>
    </row>
    <row r="549">
      <c r="A549" s="8" t="inlineStr">
        <is>
          <t>Banco</t>
        </is>
      </c>
      <c r="B549" s="8" t="inlineStr">
        <is>
          <t>21/04/2026</t>
        </is>
      </c>
      <c r="C549" s="8" t="inlineStr">
        <is>
          <t>29841705</t>
        </is>
      </c>
      <c r="D549" s="8" t="inlineStr">
        <is>
          <t>INGRESOS BRUTOS MENDOZA</t>
        </is>
      </c>
      <c r="E549" s="9" t="n">
        <v>347.27</v>
      </c>
      <c r="F549" s="8" t="inlineStr">
        <is>
          <t>Pendiente visible en hojas Banco no Flexxus</t>
        </is>
      </c>
      <c r="G549" s="8" t="inlineStr"/>
    </row>
    <row r="550">
      <c r="A550" s="8" t="inlineStr">
        <is>
          <t>Banco</t>
        </is>
      </c>
      <c r="B550" s="8" t="inlineStr">
        <is>
          <t>21/04/2026</t>
        </is>
      </c>
      <c r="C550" s="8" t="inlineStr">
        <is>
          <t>29841705</t>
        </is>
      </c>
      <c r="D550" s="8" t="inlineStr">
        <is>
          <t>GRAVAMEN LEY 25413 S/CRED</t>
        </is>
      </c>
      <c r="E550" s="9" t="n">
        <v>208.36</v>
      </c>
      <c r="F550" s="8" t="inlineStr">
        <is>
          <t>Pendiente visible en hojas Banco no Flexxus</t>
        </is>
      </c>
      <c r="G550" s="8" t="inlineStr"/>
    </row>
    <row r="551">
      <c r="A551" s="8" t="inlineStr">
        <is>
          <t>Banco</t>
        </is>
      </c>
      <c r="B551" s="8" t="inlineStr">
        <is>
          <t>21/04/2026</t>
        </is>
      </c>
      <c r="C551" s="8" t="inlineStr">
        <is>
          <t>29841670</t>
        </is>
      </c>
      <c r="D551" s="8" t="inlineStr">
        <is>
          <t>INGRESOS BRUTOS MENDOZA</t>
        </is>
      </c>
      <c r="E551" s="9" t="n">
        <v>307.16</v>
      </c>
      <c r="F551" s="8" t="inlineStr">
        <is>
          <t>Pendiente visible en hojas Banco no Flexxus</t>
        </is>
      </c>
      <c r="G551" s="8" t="inlineStr"/>
    </row>
    <row r="552">
      <c r="A552" s="8" t="inlineStr">
        <is>
          <t>Banco</t>
        </is>
      </c>
      <c r="B552" s="8" t="inlineStr">
        <is>
          <t>21/04/2026</t>
        </is>
      </c>
      <c r="C552" s="8" t="inlineStr">
        <is>
          <t>29841670</t>
        </is>
      </c>
      <c r="D552" s="8" t="inlineStr">
        <is>
          <t>GRAVAMEN LEY 25413 S/CRED</t>
        </is>
      </c>
      <c r="E552" s="9" t="n">
        <v>184.3</v>
      </c>
      <c r="F552" s="8" t="inlineStr">
        <is>
          <t>Pendiente visible en hojas Banco no Flexxus</t>
        </is>
      </c>
      <c r="G552" s="8" t="inlineStr"/>
    </row>
    <row r="553">
      <c r="A553" s="8" t="inlineStr">
        <is>
          <t>Banco</t>
        </is>
      </c>
      <c r="B553" s="8" t="inlineStr">
        <is>
          <t>21/04/2026</t>
        </is>
      </c>
      <c r="C553" s="8" t="inlineStr">
        <is>
          <t>108024</t>
        </is>
      </c>
      <c r="D553" s="8" t="inlineStr">
        <is>
          <t>INGRESOS BRUTOS MENDOZA</t>
        </is>
      </c>
      <c r="E553" s="9" t="n">
        <v>119.83</v>
      </c>
      <c r="F553" s="8" t="inlineStr">
        <is>
          <t>Pendiente visible en hojas Banco no Flexxus</t>
        </is>
      </c>
      <c r="G553" s="8" t="inlineStr"/>
    </row>
    <row r="554">
      <c r="A554" s="8" t="inlineStr">
        <is>
          <t>Banco</t>
        </is>
      </c>
      <c r="B554" s="8" t="inlineStr">
        <is>
          <t>21/04/2026</t>
        </is>
      </c>
      <c r="C554" s="8" t="inlineStr">
        <is>
          <t>108024</t>
        </is>
      </c>
      <c r="D554" s="8" t="inlineStr">
        <is>
          <t>GRAVAMEN LEY 25413 S/CRED</t>
        </is>
      </c>
      <c r="E554" s="9" t="n">
        <v>71.90000000000001</v>
      </c>
      <c r="F554" s="8" t="inlineStr">
        <is>
          <t>Pendiente visible en hojas Banco no Flexxus</t>
        </is>
      </c>
      <c r="G554" s="8" t="inlineStr"/>
    </row>
    <row r="555">
      <c r="A555" s="8" t="inlineStr">
        <is>
          <t>Banco</t>
        </is>
      </c>
      <c r="B555" s="8" t="inlineStr">
        <is>
          <t>21/04/2026</t>
        </is>
      </c>
      <c r="C555" s="8" t="inlineStr">
        <is>
          <t>108023</t>
        </is>
      </c>
      <c r="D555" s="8" t="inlineStr">
        <is>
          <t>INGRESOS BRUTOS MENDOZA</t>
        </is>
      </c>
      <c r="E555" s="9" t="n">
        <v>641.73</v>
      </c>
      <c r="F555" s="8" t="inlineStr">
        <is>
          <t>Pendiente visible en hojas Banco no Flexxus</t>
        </is>
      </c>
      <c r="G555" s="8" t="inlineStr"/>
    </row>
    <row r="556">
      <c r="A556" s="8" t="inlineStr">
        <is>
          <t>Banco</t>
        </is>
      </c>
      <c r="B556" s="8" t="inlineStr">
        <is>
          <t>21/04/2026</t>
        </is>
      </c>
      <c r="C556" s="8" t="inlineStr">
        <is>
          <t>108023</t>
        </is>
      </c>
      <c r="D556" s="8" t="inlineStr">
        <is>
          <t>GRAVAMEN LEY 25413 S/CRED</t>
        </is>
      </c>
      <c r="E556" s="9" t="n">
        <v>385.04</v>
      </c>
      <c r="F556" s="8" t="inlineStr">
        <is>
          <t>Pendiente visible en hojas Banco no Flexxus</t>
        </is>
      </c>
      <c r="G556" s="8" t="inlineStr"/>
    </row>
    <row r="557">
      <c r="A557" s="8" t="inlineStr">
        <is>
          <t>Banco</t>
        </is>
      </c>
      <c r="B557" s="8" t="inlineStr">
        <is>
          <t>21/04/2026</t>
        </is>
      </c>
      <c r="C557" s="8" t="inlineStr">
        <is>
          <t>108022</t>
        </is>
      </c>
      <c r="D557" s="8" t="inlineStr">
        <is>
          <t>INGRESOS BRUTOS MENDOZA</t>
        </is>
      </c>
      <c r="E557" s="9" t="n">
        <v>83.19</v>
      </c>
      <c r="F557" s="8" t="inlineStr">
        <is>
          <t>Pendiente visible en hojas Banco no Flexxus</t>
        </is>
      </c>
      <c r="G557" s="8" t="inlineStr"/>
    </row>
    <row r="558">
      <c r="A558" s="8" t="inlineStr">
        <is>
          <t>Banco</t>
        </is>
      </c>
      <c r="B558" s="8" t="inlineStr">
        <is>
          <t>21/04/2026</t>
        </is>
      </c>
      <c r="C558" s="8" t="inlineStr">
        <is>
          <t>108022</t>
        </is>
      </c>
      <c r="D558" s="8" t="inlineStr">
        <is>
          <t>GRAVAMEN LEY 25413 S/CRED</t>
        </is>
      </c>
      <c r="E558" s="9" t="n">
        <v>49.91</v>
      </c>
      <c r="F558" s="8" t="inlineStr">
        <is>
          <t>Pendiente visible en hojas Banco no Flexxus</t>
        </is>
      </c>
      <c r="G558" s="8" t="inlineStr"/>
    </row>
    <row r="559">
      <c r="A559" s="8" t="inlineStr">
        <is>
          <t>Banco</t>
        </is>
      </c>
      <c r="B559" s="8" t="inlineStr">
        <is>
          <t>21/04/2026</t>
        </is>
      </c>
      <c r="C559" s="8" t="inlineStr">
        <is>
          <t>108021</t>
        </is>
      </c>
      <c r="D559" s="8" t="inlineStr">
        <is>
          <t>INGRESOS BRUTOS MENDOZA</t>
        </is>
      </c>
      <c r="E559" s="9" t="n">
        <v>168.35</v>
      </c>
      <c r="F559" s="8" t="inlineStr">
        <is>
          <t>Pendiente visible en hojas Banco no Flexxus</t>
        </is>
      </c>
      <c r="G559" s="8" t="inlineStr"/>
    </row>
    <row r="560">
      <c r="A560" s="8" t="inlineStr">
        <is>
          <t>Banco</t>
        </is>
      </c>
      <c r="B560" s="8" t="inlineStr">
        <is>
          <t>21/04/2026</t>
        </is>
      </c>
      <c r="C560" s="8" t="inlineStr">
        <is>
          <t>108021</t>
        </is>
      </c>
      <c r="D560" s="8" t="inlineStr">
        <is>
          <t>GRAVAMEN LEY 25413 S/CRED</t>
        </is>
      </c>
      <c r="E560" s="9" t="n">
        <v>101.01</v>
      </c>
      <c r="F560" s="8" t="inlineStr">
        <is>
          <t>Pendiente visible en hojas Banco no Flexxus</t>
        </is>
      </c>
      <c r="G560" s="8" t="inlineStr"/>
    </row>
    <row r="561">
      <c r="A561" s="8" t="inlineStr">
        <is>
          <t>Banco</t>
        </is>
      </c>
      <c r="B561" s="8" t="inlineStr">
        <is>
          <t>21/04/2026</t>
        </is>
      </c>
      <c r="C561" s="8" t="inlineStr">
        <is>
          <t>108020</t>
        </is>
      </c>
      <c r="D561" s="8" t="inlineStr">
        <is>
          <t>INGRESOS BRUTOS MENDOZA</t>
        </is>
      </c>
      <c r="E561" s="9" t="n">
        <v>220.84</v>
      </c>
      <c r="F561" s="8" t="inlineStr">
        <is>
          <t>Pendiente visible en hojas Banco no Flexxus</t>
        </is>
      </c>
      <c r="G561" s="8" t="inlineStr"/>
    </row>
    <row r="562">
      <c r="A562" s="8" t="inlineStr">
        <is>
          <t>Banco</t>
        </is>
      </c>
      <c r="B562" s="8" t="inlineStr">
        <is>
          <t>21/04/2026</t>
        </is>
      </c>
      <c r="C562" s="8" t="inlineStr">
        <is>
          <t>108020</t>
        </is>
      </c>
      <c r="D562" s="8" t="inlineStr">
        <is>
          <t>GRAVAMEN LEY 25413 S/CRED</t>
        </is>
      </c>
      <c r="E562" s="9" t="n">
        <v>132.5</v>
      </c>
      <c r="F562" s="8" t="inlineStr">
        <is>
          <t>Pendiente visible en hojas Banco no Flexxus</t>
        </is>
      </c>
      <c r="G562" s="8" t="inlineStr"/>
    </row>
    <row r="563">
      <c r="A563" s="8" t="inlineStr">
        <is>
          <t>Banco</t>
        </is>
      </c>
      <c r="B563" s="8" t="inlineStr">
        <is>
          <t>21/04/2026</t>
        </is>
      </c>
      <c r="C563" s="8" t="inlineStr">
        <is>
          <t>108019</t>
        </is>
      </c>
      <c r="D563" s="8" t="inlineStr">
        <is>
          <t>INGRESOS BRUTOS MENDOZA</t>
        </is>
      </c>
      <c r="E563" s="9" t="n">
        <v>151.52</v>
      </c>
      <c r="F563" s="8" t="inlineStr">
        <is>
          <t>Pendiente visible en hojas Banco no Flexxus</t>
        </is>
      </c>
      <c r="G563" s="8" t="inlineStr"/>
    </row>
    <row r="564">
      <c r="A564" s="8" t="inlineStr">
        <is>
          <t>Banco</t>
        </is>
      </c>
      <c r="B564" s="8" t="inlineStr">
        <is>
          <t>21/04/2026</t>
        </is>
      </c>
      <c r="C564" s="8" t="inlineStr">
        <is>
          <t>108019</t>
        </is>
      </c>
      <c r="D564" s="8" t="inlineStr">
        <is>
          <t>GRAVAMEN LEY 25413 S/CRED</t>
        </is>
      </c>
      <c r="E564" s="9" t="n">
        <v>90.91</v>
      </c>
      <c r="F564" s="8" t="inlineStr">
        <is>
          <t>Pendiente visible en hojas Banco no Flexxus</t>
        </is>
      </c>
      <c r="G564" s="8" t="inlineStr"/>
    </row>
    <row r="565">
      <c r="A565" s="8" t="inlineStr">
        <is>
          <t>Banco</t>
        </is>
      </c>
      <c r="B565" s="8" t="inlineStr">
        <is>
          <t>21/04/2026</t>
        </is>
      </c>
      <c r="C565" s="8" t="inlineStr">
        <is>
          <t>32032899</t>
        </is>
      </c>
      <c r="D565" s="8" t="inlineStr">
        <is>
          <t>DEB LIQ MASTERCARD 24H</t>
        </is>
      </c>
      <c r="E565" s="9" t="n">
        <v>107.94</v>
      </c>
      <c r="F565" s="8" t="inlineStr">
        <is>
          <t>Pendiente visible en hojas Banco no Flexxus</t>
        </is>
      </c>
      <c r="G565" s="8" t="inlineStr"/>
    </row>
    <row r="566">
      <c r="A566" s="8" t="inlineStr">
        <is>
          <t>Banco</t>
        </is>
      </c>
      <c r="B566" s="8" t="inlineStr">
        <is>
          <t>20/04/2026</t>
        </is>
      </c>
      <c r="C566" s="8" t="inlineStr">
        <is>
          <t>107504</t>
        </is>
      </c>
      <c r="D566" s="8" t="inlineStr">
        <is>
          <t>GRAVAMEN LEY 25413 S/DEB</t>
        </is>
      </c>
      <c r="E566" s="9" t="n">
        <v>0.68</v>
      </c>
      <c r="F566" s="8" t="inlineStr">
        <is>
          <t>Pendiente visible en hojas Banco no Flexxus</t>
        </is>
      </c>
      <c r="G566" s="8" t="inlineStr"/>
    </row>
    <row r="567">
      <c r="A567" s="8" t="inlineStr">
        <is>
          <t>Banco</t>
        </is>
      </c>
      <c r="B567" s="8" t="inlineStr">
        <is>
          <t>20/04/2026</t>
        </is>
      </c>
      <c r="C567" s="8" t="inlineStr">
        <is>
          <t>107503</t>
        </is>
      </c>
      <c r="D567" s="8" t="inlineStr">
        <is>
          <t>GRAVAMEN LEY 25413 S/DEB</t>
        </is>
      </c>
      <c r="E567" s="9" t="n">
        <v>2.17</v>
      </c>
      <c r="F567" s="8" t="inlineStr">
        <is>
          <t>Pendiente visible en hojas Banco no Flexxus</t>
        </is>
      </c>
      <c r="G567" s="8" t="inlineStr"/>
    </row>
    <row r="568">
      <c r="A568" s="8" t="inlineStr">
        <is>
          <t>Banco</t>
        </is>
      </c>
      <c r="B568" s="8" t="inlineStr">
        <is>
          <t>20/04/2026</t>
        </is>
      </c>
      <c r="C568" s="8" t="inlineStr">
        <is>
          <t>107502</t>
        </is>
      </c>
      <c r="D568" s="8" t="inlineStr">
        <is>
          <t>GRAVAMEN LEY 25413 S/DEB</t>
        </is>
      </c>
      <c r="E568" s="9" t="n">
        <v>1.27</v>
      </c>
      <c r="F568" s="8" t="inlineStr">
        <is>
          <t>Pendiente visible en hojas Banco no Flexxus</t>
        </is>
      </c>
      <c r="G568" s="8" t="inlineStr"/>
    </row>
    <row r="569">
      <c r="A569" s="8" t="inlineStr">
        <is>
          <t>Banco</t>
        </is>
      </c>
      <c r="B569" s="8" t="inlineStr">
        <is>
          <t>20/04/2026</t>
        </is>
      </c>
      <c r="C569" s="8" t="inlineStr">
        <is>
          <t>32032899</t>
        </is>
      </c>
      <c r="D569" s="8" t="inlineStr">
        <is>
          <t>GRAVAMEN LEY 25413 S/DEB</t>
        </is>
      </c>
      <c r="E569" s="9" t="n">
        <v>9.32</v>
      </c>
      <c r="F569" s="8" t="inlineStr">
        <is>
          <t>Pendiente visible en hojas Banco no Flexxus</t>
        </is>
      </c>
      <c r="G569" s="8" t="inlineStr"/>
    </row>
    <row r="570">
      <c r="A570" s="8" t="inlineStr">
        <is>
          <t>Banco</t>
        </is>
      </c>
      <c r="B570" s="8" t="inlineStr">
        <is>
          <t>20/04/2026</t>
        </is>
      </c>
      <c r="C570" s="8" t="inlineStr">
        <is>
          <t>31995644</t>
        </is>
      </c>
      <c r="D570" s="8" t="inlineStr">
        <is>
          <t>GRAVAMEN LEY 25413 S/DEB</t>
        </is>
      </c>
      <c r="E570" s="9" t="n">
        <v>35.61</v>
      </c>
      <c r="F570" s="8" t="inlineStr">
        <is>
          <t>Pendiente visible en hojas Banco no Flexxus</t>
        </is>
      </c>
      <c r="G570" s="8" t="inlineStr"/>
    </row>
    <row r="571">
      <c r="A571" s="8" t="inlineStr">
        <is>
          <t>Banco</t>
        </is>
      </c>
      <c r="B571" s="8" t="inlineStr">
        <is>
          <t>20/04/2026</t>
        </is>
      </c>
      <c r="C571" s="8" t="inlineStr">
        <is>
          <t>29841705</t>
        </is>
      </c>
      <c r="D571" s="8" t="inlineStr">
        <is>
          <t>GRAVAMEN LEY 25413 S/DEB</t>
        </is>
      </c>
      <c r="E571" s="9" t="n">
        <v>6.22</v>
      </c>
      <c r="F571" s="8" t="inlineStr">
        <is>
          <t>Pendiente visible en hojas Banco no Flexxus</t>
        </is>
      </c>
      <c r="G571" s="8" t="inlineStr"/>
    </row>
    <row r="572">
      <c r="A572" s="8" t="inlineStr">
        <is>
          <t>Banco</t>
        </is>
      </c>
      <c r="B572" s="8" t="inlineStr">
        <is>
          <t>20/04/2026</t>
        </is>
      </c>
      <c r="C572" s="8" t="inlineStr">
        <is>
          <t>29841683</t>
        </is>
      </c>
      <c r="D572" s="8" t="inlineStr">
        <is>
          <t>GRAVAMEN LEY 25413 S/DEB</t>
        </is>
      </c>
      <c r="E572" s="9" t="n">
        <v>18.07</v>
      </c>
      <c r="F572" s="8" t="inlineStr">
        <is>
          <t>Pendiente visible en hojas Banco no Flexxus</t>
        </is>
      </c>
      <c r="G572" s="8" t="inlineStr"/>
    </row>
    <row r="573">
      <c r="A573" s="8" t="inlineStr">
        <is>
          <t>Banco</t>
        </is>
      </c>
      <c r="B573" s="8" t="inlineStr">
        <is>
          <t>20/04/2026</t>
        </is>
      </c>
      <c r="C573" s="8" t="inlineStr">
        <is>
          <t>29841670</t>
        </is>
      </c>
      <c r="D573" s="8" t="inlineStr">
        <is>
          <t>GRAVAMEN LEY 25413 S/DEB</t>
        </is>
      </c>
      <c r="E573" s="9" t="n">
        <v>5.93</v>
      </c>
      <c r="F573" s="8" t="inlineStr">
        <is>
          <t>Pendiente visible en hojas Banco no Flexxus</t>
        </is>
      </c>
      <c r="G573" s="8" t="inlineStr"/>
    </row>
    <row r="574">
      <c r="A574" s="8" t="inlineStr">
        <is>
          <t>Banco</t>
        </is>
      </c>
      <c r="B574" s="8" t="inlineStr">
        <is>
          <t>20/04/2026</t>
        </is>
      </c>
      <c r="C574" s="8" t="inlineStr">
        <is>
          <t>29841642</t>
        </is>
      </c>
      <c r="D574" s="8" t="inlineStr">
        <is>
          <t>GRAVAMEN LEY 25413 S/DEB</t>
        </is>
      </c>
      <c r="E574" s="9" t="n">
        <v>2.98</v>
      </c>
      <c r="F574" s="8" t="inlineStr">
        <is>
          <t>Pendiente visible en hojas Banco no Flexxus</t>
        </is>
      </c>
      <c r="G574" s="8" t="inlineStr"/>
    </row>
    <row r="575">
      <c r="A575" s="8" t="inlineStr">
        <is>
          <t>Banco</t>
        </is>
      </c>
      <c r="B575" s="8" t="inlineStr">
        <is>
          <t>20/04/2026</t>
        </is>
      </c>
      <c r="C575" s="8" t="inlineStr">
        <is>
          <t>29841627</t>
        </is>
      </c>
      <c r="D575" s="8" t="inlineStr">
        <is>
          <t>GRAVAMEN LEY 25413 S/DEB</t>
        </is>
      </c>
      <c r="E575" s="9" t="n">
        <v>0.68</v>
      </c>
      <c r="F575" s="8" t="inlineStr">
        <is>
          <t>Pendiente visible en hojas Banco no Flexxus</t>
        </is>
      </c>
      <c r="G575" s="8" t="inlineStr"/>
    </row>
    <row r="576">
      <c r="A576" s="8" t="inlineStr">
        <is>
          <t>Banco</t>
        </is>
      </c>
      <c r="B576" s="8" t="inlineStr">
        <is>
          <t>20/04/2026</t>
        </is>
      </c>
      <c r="C576" s="8" t="inlineStr">
        <is>
          <t>32032899</t>
        </is>
      </c>
      <c r="D576" s="8" t="inlineStr">
        <is>
          <t>GRAVAMEN LEY 25413 S/DEB</t>
        </is>
      </c>
      <c r="E576" s="9" t="n">
        <v>2.05</v>
      </c>
      <c r="F576" s="8" t="inlineStr">
        <is>
          <t>Pendiente visible en hojas Banco no Flexxus</t>
        </is>
      </c>
      <c r="G576" s="8" t="inlineStr"/>
    </row>
    <row r="577">
      <c r="A577" s="8" t="inlineStr">
        <is>
          <t>Banco</t>
        </is>
      </c>
      <c r="B577" s="8" t="inlineStr">
        <is>
          <t>20/04/2026</t>
        </is>
      </c>
      <c r="C577" s="8" t="inlineStr">
        <is>
          <t>31995644</t>
        </is>
      </c>
      <c r="D577" s="8" t="inlineStr">
        <is>
          <t>GRAVAMEN LEY 25413 S/DEB</t>
        </is>
      </c>
      <c r="E577" s="9" t="n">
        <v>24.31</v>
      </c>
      <c r="F577" s="8" t="inlineStr">
        <is>
          <t>Pendiente visible en hojas Banco no Flexxus</t>
        </is>
      </c>
      <c r="G577" s="8" t="inlineStr"/>
    </row>
    <row r="578">
      <c r="A578" s="8" t="inlineStr">
        <is>
          <t>Banco</t>
        </is>
      </c>
      <c r="B578" s="8" t="inlineStr">
        <is>
          <t>20/04/2026</t>
        </is>
      </c>
      <c r="C578" s="8" t="inlineStr">
        <is>
          <t>29841627</t>
        </is>
      </c>
      <c r="D578" s="8" t="inlineStr">
        <is>
          <t>GRAVAMEN LEY 25413 S/DEB</t>
        </is>
      </c>
      <c r="E578" s="9" t="n">
        <v>0.74</v>
      </c>
      <c r="F578" s="8" t="inlineStr">
        <is>
          <t>Pendiente visible en hojas Banco no Flexxus</t>
        </is>
      </c>
      <c r="G578" s="8" t="inlineStr"/>
    </row>
    <row r="579">
      <c r="A579" s="8" t="inlineStr">
        <is>
          <t>Banco</t>
        </is>
      </c>
      <c r="B579" s="8" t="inlineStr">
        <is>
          <t>20/04/2026</t>
        </is>
      </c>
      <c r="C579" s="8" t="inlineStr">
        <is>
          <t>32032899</t>
        </is>
      </c>
      <c r="D579" s="8" t="inlineStr">
        <is>
          <t>GRAVAMEN LEY 25413 S/DEB</t>
        </is>
      </c>
      <c r="E579" s="9" t="n">
        <v>2.15</v>
      </c>
      <c r="F579" s="8" t="inlineStr">
        <is>
          <t>Pendiente visible en hojas Banco no Flexxus</t>
        </is>
      </c>
      <c r="G579" s="8" t="inlineStr"/>
    </row>
    <row r="580">
      <c r="A580" s="8" t="inlineStr">
        <is>
          <t>Banco</t>
        </is>
      </c>
      <c r="B580" s="8" t="inlineStr">
        <is>
          <t>20/04/2026</t>
        </is>
      </c>
      <c r="C580" s="8" t="inlineStr">
        <is>
          <t>107488</t>
        </is>
      </c>
      <c r="D580" s="8" t="inlineStr">
        <is>
          <t>GRAVAMEN LEY 25413 S/DEB</t>
        </is>
      </c>
      <c r="E580" s="9" t="n">
        <v>1.49</v>
      </c>
      <c r="F580" s="8" t="inlineStr">
        <is>
          <t>Pendiente visible en hojas Banco no Flexxus</t>
        </is>
      </c>
      <c r="G580" s="8" t="inlineStr"/>
    </row>
    <row r="581">
      <c r="A581" s="8" t="inlineStr">
        <is>
          <t>Banco</t>
        </is>
      </c>
      <c r="B581" s="8" t="inlineStr">
        <is>
          <t>20/04/2026</t>
        </is>
      </c>
      <c r="C581" s="8" t="inlineStr">
        <is>
          <t>31995644</t>
        </is>
      </c>
      <c r="D581" s="8" t="inlineStr">
        <is>
          <t>GRAVAMEN LEY 25413 S/DEB</t>
        </is>
      </c>
      <c r="E581" s="9" t="n">
        <v>37.83</v>
      </c>
      <c r="F581" s="8" t="inlineStr">
        <is>
          <t>Pendiente visible en hojas Banco no Flexxus</t>
        </is>
      </c>
      <c r="G581" s="8" t="inlineStr"/>
    </row>
    <row r="582">
      <c r="A582" s="8" t="inlineStr">
        <is>
          <t>Banco</t>
        </is>
      </c>
      <c r="B582" s="8" t="inlineStr">
        <is>
          <t>20/04/2026</t>
        </is>
      </c>
      <c r="C582" s="8" t="inlineStr">
        <is>
          <t>32032899</t>
        </is>
      </c>
      <c r="D582" s="8" t="inlineStr">
        <is>
          <t>GRAVAMEN LEY 25413 S/DEB</t>
        </is>
      </c>
      <c r="E582" s="9" t="n">
        <v>7.32</v>
      </c>
      <c r="F582" s="8" t="inlineStr">
        <is>
          <t>Pendiente visible en hojas Banco no Flexxus</t>
        </is>
      </c>
      <c r="G582" s="8" t="inlineStr"/>
    </row>
    <row r="583">
      <c r="A583" s="8" t="inlineStr">
        <is>
          <t>Banco</t>
        </is>
      </c>
      <c r="B583" s="8" t="inlineStr">
        <is>
          <t>20/04/2026</t>
        </is>
      </c>
      <c r="C583" s="8" t="inlineStr">
        <is>
          <t>32032899</t>
        </is>
      </c>
      <c r="D583" s="8" t="inlineStr">
        <is>
          <t>GRAVAMEN LEY 25413 S/DEB</t>
        </is>
      </c>
      <c r="E583" s="9" t="n">
        <v>1.88</v>
      </c>
      <c r="F583" s="8" t="inlineStr">
        <is>
          <t>Pendiente visible en hojas Banco no Flexxus</t>
        </is>
      </c>
      <c r="G583" s="8" t="inlineStr"/>
    </row>
    <row r="584">
      <c r="A584" s="8" t="inlineStr">
        <is>
          <t>Banco</t>
        </is>
      </c>
      <c r="B584" s="8" t="inlineStr">
        <is>
          <t>20/04/2026</t>
        </is>
      </c>
      <c r="C584" s="8" t="inlineStr">
        <is>
          <t>31995644</t>
        </is>
      </c>
      <c r="D584" s="8" t="inlineStr">
        <is>
          <t>GRAVAMEN LEY 25413 S/DEB</t>
        </is>
      </c>
      <c r="E584" s="9" t="n">
        <v>3.13</v>
      </c>
      <c r="F584" s="8" t="inlineStr">
        <is>
          <t>Pendiente visible en hojas Banco no Flexxus</t>
        </is>
      </c>
      <c r="G584" s="8" t="inlineStr"/>
    </row>
    <row r="585">
      <c r="A585" s="8" t="inlineStr">
        <is>
          <t>Banco</t>
        </is>
      </c>
      <c r="B585" s="8" t="inlineStr">
        <is>
          <t>20/04/2026</t>
        </is>
      </c>
      <c r="C585" s="8" t="inlineStr">
        <is>
          <t>31995644</t>
        </is>
      </c>
      <c r="D585" s="8" t="inlineStr">
        <is>
          <t>GRAVAMEN LEY 25413 S/DEB</t>
        </is>
      </c>
      <c r="E585" s="9" t="n">
        <v>5.5</v>
      </c>
      <c r="F585" s="8" t="inlineStr">
        <is>
          <t>Pendiente visible en hojas Banco no Flexxus</t>
        </is>
      </c>
      <c r="G585" s="8" t="inlineStr"/>
    </row>
    <row r="586">
      <c r="A586" s="8" t="inlineStr">
        <is>
          <t>Banco</t>
        </is>
      </c>
      <c r="B586" s="8" t="inlineStr">
        <is>
          <t>20/04/2026</t>
        </is>
      </c>
      <c r="C586" s="8" t="inlineStr">
        <is>
          <t>4018025</t>
        </is>
      </c>
      <c r="D586" s="8" t="inlineStr">
        <is>
          <t>GRAVAMEN LEY 25413 S/DEB</t>
        </is>
      </c>
      <c r="E586" s="9" t="n">
        <v>135.19</v>
      </c>
      <c r="F586" s="8" t="inlineStr">
        <is>
          <t>Pendiente visible en hojas Banco no Flexxus</t>
        </is>
      </c>
      <c r="G586" s="8" t="inlineStr"/>
    </row>
    <row r="587">
      <c r="A587" s="8" t="inlineStr">
        <is>
          <t>Banco</t>
        </is>
      </c>
      <c r="B587" s="8" t="inlineStr">
        <is>
          <t>20/04/2026</t>
        </is>
      </c>
      <c r="C587" s="8" t="inlineStr">
        <is>
          <t>29841683</t>
        </is>
      </c>
      <c r="D587" s="8" t="inlineStr">
        <is>
          <t>GRAVAMEN LEY 25413 S/DEB</t>
        </is>
      </c>
      <c r="E587" s="9" t="n">
        <v>1.9</v>
      </c>
      <c r="F587" s="8" t="inlineStr">
        <is>
          <t>Pendiente visible en hojas Banco no Flexxus</t>
        </is>
      </c>
      <c r="G587" s="8" t="inlineStr"/>
    </row>
    <row r="588">
      <c r="A588" s="8" t="inlineStr">
        <is>
          <t>Banco</t>
        </is>
      </c>
      <c r="B588" s="8" t="inlineStr">
        <is>
          <t>20/04/2026</t>
        </is>
      </c>
      <c r="C588" s="8" t="inlineStr">
        <is>
          <t>29841670</t>
        </is>
      </c>
      <c r="D588" s="8" t="inlineStr">
        <is>
          <t>GRAVAMEN LEY 25413 S/DEB</t>
        </is>
      </c>
      <c r="E588" s="9" t="n">
        <v>0.49</v>
      </c>
      <c r="F588" s="8" t="inlineStr">
        <is>
          <t>Pendiente visible en hojas Banco no Flexxus</t>
        </is>
      </c>
      <c r="G588" s="8" t="inlineStr"/>
    </row>
    <row r="589">
      <c r="A589" s="8" t="inlineStr">
        <is>
          <t>Banco</t>
        </is>
      </c>
      <c r="B589" s="8" t="inlineStr">
        <is>
          <t>20/04/2026</t>
        </is>
      </c>
      <c r="C589" s="8" t="inlineStr">
        <is>
          <t>29841642</t>
        </is>
      </c>
      <c r="D589" s="8" t="inlineStr">
        <is>
          <t>GRAVAMEN LEY 25413 S/DEB</t>
        </is>
      </c>
      <c r="E589" s="9" t="n">
        <v>0.85</v>
      </c>
      <c r="F589" s="8" t="inlineStr">
        <is>
          <t>Pendiente visible en hojas Banco no Flexxus</t>
        </is>
      </c>
      <c r="G589" s="8" t="inlineStr"/>
    </row>
    <row r="590">
      <c r="A590" s="8" t="inlineStr">
        <is>
          <t>Banco</t>
        </is>
      </c>
      <c r="B590" s="8" t="inlineStr">
        <is>
          <t>20/04/2026</t>
        </is>
      </c>
      <c r="C590" s="8" t="inlineStr">
        <is>
          <t>32032899</t>
        </is>
      </c>
      <c r="D590" s="8" t="inlineStr">
        <is>
          <t>GRAVAMEN LEY 25413 S/DEB</t>
        </is>
      </c>
      <c r="E590" s="9" t="n">
        <v>5.73</v>
      </c>
      <c r="F590" s="8" t="inlineStr">
        <is>
          <t>Pendiente visible en hojas Banco no Flexxus</t>
        </is>
      </c>
      <c r="G590" s="8" t="inlineStr"/>
    </row>
    <row r="591">
      <c r="A591" s="8" t="inlineStr">
        <is>
          <t>Banco</t>
        </is>
      </c>
      <c r="B591" s="8" t="inlineStr">
        <is>
          <t>20/04/2026</t>
        </is>
      </c>
      <c r="C591" s="8" t="inlineStr">
        <is>
          <t>31995644</t>
        </is>
      </c>
      <c r="D591" s="8" t="inlineStr">
        <is>
          <t>GRAVAMEN LEY 25413 S/DEB</t>
        </is>
      </c>
      <c r="E591" s="9" t="n">
        <v>3.13</v>
      </c>
      <c r="F591" s="8" t="inlineStr">
        <is>
          <t>Pendiente visible en hojas Banco no Flexxus</t>
        </is>
      </c>
      <c r="G591" s="8" t="inlineStr"/>
    </row>
    <row r="592">
      <c r="A592" s="8" t="inlineStr">
        <is>
          <t>Banco</t>
        </is>
      </c>
      <c r="B592" s="8" t="inlineStr">
        <is>
          <t>20/04/2026</t>
        </is>
      </c>
      <c r="C592" s="8" t="inlineStr">
        <is>
          <t>31995644</t>
        </is>
      </c>
      <c r="D592" s="8" t="inlineStr">
        <is>
          <t>GRAVAMEN LEY 25413 S/DEB</t>
        </is>
      </c>
      <c r="E592" s="9" t="n">
        <v>18.97</v>
      </c>
      <c r="F592" s="8" t="inlineStr">
        <is>
          <t>Pendiente visible en hojas Banco no Flexxus</t>
        </is>
      </c>
      <c r="G592" s="8" t="inlineStr"/>
    </row>
    <row r="593">
      <c r="A593" s="8" t="inlineStr">
        <is>
          <t>Banco</t>
        </is>
      </c>
      <c r="B593" s="8" t="inlineStr">
        <is>
          <t>20/04/2026</t>
        </is>
      </c>
      <c r="C593" s="8" t="inlineStr">
        <is>
          <t>29841705</t>
        </is>
      </c>
      <c r="D593" s="8" t="inlineStr">
        <is>
          <t>GRAVAMEN LEY 25413 S/DEB</t>
        </is>
      </c>
      <c r="E593" s="9" t="n">
        <v>2.11</v>
      </c>
      <c r="F593" s="8" t="inlineStr">
        <is>
          <t>Pendiente visible en hojas Banco no Flexxus</t>
        </is>
      </c>
      <c r="G593" s="8" t="inlineStr"/>
    </row>
    <row r="594">
      <c r="A594" s="8" t="inlineStr">
        <is>
          <t>Banco</t>
        </is>
      </c>
      <c r="B594" s="8" t="inlineStr">
        <is>
          <t>20/04/2026</t>
        </is>
      </c>
      <c r="C594" s="8" t="inlineStr">
        <is>
          <t>29841683</t>
        </is>
      </c>
      <c r="D594" s="8" t="inlineStr">
        <is>
          <t>GRAVAMEN LEY 25413 S/DEB</t>
        </is>
      </c>
      <c r="E594" s="9" t="n">
        <v>1.97</v>
      </c>
      <c r="F594" s="8" t="inlineStr">
        <is>
          <t>Pendiente visible en hojas Banco no Flexxus</t>
        </is>
      </c>
      <c r="G594" s="8" t="inlineStr"/>
    </row>
    <row r="595">
      <c r="A595" s="8" t="inlineStr">
        <is>
          <t>Banco</t>
        </is>
      </c>
      <c r="B595" s="8" t="inlineStr">
        <is>
          <t>20/04/2026</t>
        </is>
      </c>
      <c r="C595" s="8" t="inlineStr">
        <is>
          <t>107473</t>
        </is>
      </c>
      <c r="D595" s="8" t="inlineStr">
        <is>
          <t>GRAVAMEN LEY 25413 S/DEB</t>
        </is>
      </c>
      <c r="E595" s="9" t="n">
        <v>1.5</v>
      </c>
      <c r="F595" s="8" t="inlineStr">
        <is>
          <t>Pendiente visible en hojas Banco no Flexxus</t>
        </is>
      </c>
      <c r="G595" s="8" t="inlineStr"/>
    </row>
    <row r="596">
      <c r="A596" s="8" t="inlineStr">
        <is>
          <t>Banco</t>
        </is>
      </c>
      <c r="B596" s="8" t="inlineStr">
        <is>
          <t>20/04/2026</t>
        </is>
      </c>
      <c r="C596" s="8" t="inlineStr">
        <is>
          <t>107472</t>
        </is>
      </c>
      <c r="D596" s="8" t="inlineStr">
        <is>
          <t>GRAVAMEN LEY 25413 S/DEB</t>
        </is>
      </c>
      <c r="E596" s="9" t="n">
        <v>1.59</v>
      </c>
      <c r="F596" s="8" t="inlineStr">
        <is>
          <t>Pendiente visible en hojas Banco no Flexxus</t>
        </is>
      </c>
      <c r="G596" s="8" t="inlineStr"/>
    </row>
    <row r="597">
      <c r="A597" s="8" t="inlineStr">
        <is>
          <t>Banco</t>
        </is>
      </c>
      <c r="B597" s="8" t="inlineStr">
        <is>
          <t>20/04/2026</t>
        </is>
      </c>
      <c r="C597" s="8" t="inlineStr">
        <is>
          <t>107471</t>
        </is>
      </c>
      <c r="D597" s="8" t="inlineStr">
        <is>
          <t>GRAVAMEN LEY 25413 S/DEB</t>
        </is>
      </c>
      <c r="E597" s="9" t="n">
        <v>1.37</v>
      </c>
      <c r="F597" s="8" t="inlineStr">
        <is>
          <t>Pendiente visible en hojas Banco no Flexxus</t>
        </is>
      </c>
      <c r="G597" s="8" t="inlineStr"/>
    </row>
    <row r="598">
      <c r="A598" s="8" t="inlineStr">
        <is>
          <t>Banco</t>
        </is>
      </c>
      <c r="B598" s="8" t="inlineStr">
        <is>
          <t>20/04/2026</t>
        </is>
      </c>
      <c r="C598" s="8" t="inlineStr">
        <is>
          <t>107470</t>
        </is>
      </c>
      <c r="D598" s="8" t="inlineStr">
        <is>
          <t>GRAVAMEN LEY 25413 S/DEB</t>
        </is>
      </c>
      <c r="E598" s="9" t="n">
        <v>0.68</v>
      </c>
      <c r="F598" s="8" t="inlineStr">
        <is>
          <t>Pendiente visible en hojas Banco no Flexxus</t>
        </is>
      </c>
      <c r="G598" s="8" t="inlineStr"/>
    </row>
    <row r="599">
      <c r="A599" s="8" t="inlineStr">
        <is>
          <t>Banco</t>
        </is>
      </c>
      <c r="B599" s="8" t="inlineStr">
        <is>
          <t>20/04/2026</t>
        </is>
      </c>
      <c r="C599" s="8" t="inlineStr">
        <is>
          <t>107469</t>
        </is>
      </c>
      <c r="D599" s="8" t="inlineStr">
        <is>
          <t>GRAVAMEN LEY 25413 S/DEB</t>
        </is>
      </c>
      <c r="E599" s="9" t="n">
        <v>1.08</v>
      </c>
      <c r="F599" s="8" t="inlineStr">
        <is>
          <t>Pendiente visible en hojas Banco no Flexxus</t>
        </is>
      </c>
      <c r="G599" s="8" t="inlineStr"/>
    </row>
    <row r="600">
      <c r="A600" s="8" t="inlineStr">
        <is>
          <t>Banco</t>
        </is>
      </c>
      <c r="B600" s="8" t="inlineStr">
        <is>
          <t>20/04/2026</t>
        </is>
      </c>
      <c r="C600" s="8" t="inlineStr">
        <is>
          <t>107468</t>
        </is>
      </c>
      <c r="D600" s="8" t="inlineStr">
        <is>
          <t>GRAVAMEN LEY 25413 S/DEB</t>
        </is>
      </c>
      <c r="E600" s="9" t="n">
        <v>1.01</v>
      </c>
      <c r="F600" s="8" t="inlineStr">
        <is>
          <t>Pendiente visible en hojas Banco no Flexxus</t>
        </is>
      </c>
      <c r="G600" s="8" t="inlineStr"/>
    </row>
    <row r="601">
      <c r="A601" s="8" t="inlineStr">
        <is>
          <t>Banco</t>
        </is>
      </c>
      <c r="B601" s="8" t="inlineStr">
        <is>
          <t>20/04/2026</t>
        </is>
      </c>
      <c r="C601" s="8" t="inlineStr">
        <is>
          <t>107464</t>
        </is>
      </c>
      <c r="D601" s="8" t="inlineStr">
        <is>
          <t>GRAVAMEN LEY 25413 S/DEB</t>
        </is>
      </c>
      <c r="E601" s="9" t="n">
        <v>1.38</v>
      </c>
      <c r="F601" s="8" t="inlineStr">
        <is>
          <t>Pendiente visible en hojas Banco no Flexxus</t>
        </is>
      </c>
      <c r="G601" s="8" t="inlineStr"/>
    </row>
    <row r="602">
      <c r="A602" s="8" t="inlineStr">
        <is>
          <t>Banco</t>
        </is>
      </c>
      <c r="B602" s="8" t="inlineStr">
        <is>
          <t>20/04/2026</t>
        </is>
      </c>
      <c r="C602" s="8" t="inlineStr">
        <is>
          <t>107463</t>
        </is>
      </c>
      <c r="D602" s="8" t="inlineStr">
        <is>
          <t>GRAVAMEN LEY 25413 S/DEB</t>
        </is>
      </c>
      <c r="E602" s="9" t="n">
        <v>3.16</v>
      </c>
      <c r="F602" s="8" t="inlineStr">
        <is>
          <t>Pendiente visible en hojas Banco no Flexxus</t>
        </is>
      </c>
      <c r="G602" s="8" t="inlineStr"/>
    </row>
    <row r="603">
      <c r="A603" s="8" t="inlineStr">
        <is>
          <t>Banco</t>
        </is>
      </c>
      <c r="B603" s="8" t="inlineStr">
        <is>
          <t>20/04/2026</t>
        </is>
      </c>
      <c r="C603" s="8" t="inlineStr">
        <is>
          <t>107462</t>
        </is>
      </c>
      <c r="D603" s="8" t="inlineStr">
        <is>
          <t>GRAVAMEN LEY 25413 S/DEB</t>
        </is>
      </c>
      <c r="E603" s="9" t="n">
        <v>3.16</v>
      </c>
      <c r="F603" s="8" t="inlineStr">
        <is>
          <t>Pendiente visible en hojas Banco no Flexxus</t>
        </is>
      </c>
      <c r="G603" s="8" t="inlineStr"/>
    </row>
    <row r="604">
      <c r="A604" s="8" t="inlineStr">
        <is>
          <t>Banco</t>
        </is>
      </c>
      <c r="B604" s="8" t="inlineStr">
        <is>
          <t>20/04/2026</t>
        </is>
      </c>
      <c r="C604" s="8" t="inlineStr">
        <is>
          <t>107461</t>
        </is>
      </c>
      <c r="D604" s="8" t="inlineStr">
        <is>
          <t>GRAVAMEN LEY 25413 S/DEB</t>
        </is>
      </c>
      <c r="E604" s="9" t="n">
        <v>1.4</v>
      </c>
      <c r="F604" s="8" t="inlineStr">
        <is>
          <t>Pendiente visible en hojas Banco no Flexxus</t>
        </is>
      </c>
      <c r="G604" s="8" t="inlineStr"/>
    </row>
    <row r="605">
      <c r="A605" s="8" t="inlineStr">
        <is>
          <t>Banco</t>
        </is>
      </c>
      <c r="B605" s="8" t="inlineStr">
        <is>
          <t>20/04/2026</t>
        </is>
      </c>
      <c r="C605" s="8" t="inlineStr">
        <is>
          <t>107460</t>
        </is>
      </c>
      <c r="D605" s="8" t="inlineStr">
        <is>
          <t>GRAVAMEN LEY 25413 S/DEB</t>
        </is>
      </c>
      <c r="E605" s="9" t="n">
        <v>17.84</v>
      </c>
      <c r="F605" s="8" t="inlineStr">
        <is>
          <t>Pendiente visible en hojas Banco no Flexxus</t>
        </is>
      </c>
      <c r="G605" s="8" t="inlineStr"/>
    </row>
    <row r="606">
      <c r="A606" s="8" t="inlineStr">
        <is>
          <t>Banco</t>
        </is>
      </c>
      <c r="B606" s="8" t="inlineStr">
        <is>
          <t>20/04/2026</t>
        </is>
      </c>
      <c r="C606" s="8" t="inlineStr">
        <is>
          <t>107459</t>
        </is>
      </c>
      <c r="D606" s="8" t="inlineStr">
        <is>
          <t>GRAVAMEN LEY 25413 S/DEB</t>
        </is>
      </c>
      <c r="E606" s="9" t="n">
        <v>9.550000000000001</v>
      </c>
      <c r="F606" s="8" t="inlineStr">
        <is>
          <t>Pendiente visible en hojas Banco no Flexxus</t>
        </is>
      </c>
      <c r="G606" s="8" t="inlineStr"/>
    </row>
    <row r="607">
      <c r="A607" s="8" t="inlineStr">
        <is>
          <t>Banco</t>
        </is>
      </c>
      <c r="B607" s="8" t="inlineStr">
        <is>
          <t>20/04/2026</t>
        </is>
      </c>
      <c r="C607" s="8" t="inlineStr">
        <is>
          <t>107458</t>
        </is>
      </c>
      <c r="D607" s="8" t="inlineStr">
        <is>
          <t>GRAVAMEN LEY 25413 S/DEB</t>
        </is>
      </c>
      <c r="E607" s="9" t="n">
        <v>8.66</v>
      </c>
      <c r="F607" s="8" t="inlineStr">
        <is>
          <t>Pendiente visible en hojas Banco no Flexxus</t>
        </is>
      </c>
      <c r="G607" s="8" t="inlineStr"/>
    </row>
    <row r="608">
      <c r="A608" s="8" t="inlineStr">
        <is>
          <t>Banco</t>
        </is>
      </c>
      <c r="B608" s="8" t="inlineStr">
        <is>
          <t>20/04/2026</t>
        </is>
      </c>
      <c r="C608" s="8" t="inlineStr">
        <is>
          <t>107457</t>
        </is>
      </c>
      <c r="D608" s="8" t="inlineStr">
        <is>
          <t>GRAVAMEN LEY 25413 S/DEB</t>
        </is>
      </c>
      <c r="E608" s="9" t="n">
        <v>2.06</v>
      </c>
      <c r="F608" s="8" t="inlineStr">
        <is>
          <t>Pendiente visible en hojas Banco no Flexxus</t>
        </is>
      </c>
      <c r="G608" s="8" t="inlineStr"/>
    </row>
    <row r="609">
      <c r="A609" s="8" t="inlineStr">
        <is>
          <t>Banco</t>
        </is>
      </c>
      <c r="B609" s="8" t="inlineStr">
        <is>
          <t>20/04/2026</t>
        </is>
      </c>
      <c r="C609" s="8" t="inlineStr">
        <is>
          <t>107456</t>
        </is>
      </c>
      <c r="D609" s="8" t="inlineStr">
        <is>
          <t>GRAVAMEN LEY 25413 S/DEB</t>
        </is>
      </c>
      <c r="E609" s="9" t="n">
        <v>2.1</v>
      </c>
      <c r="F609" s="8" t="inlineStr">
        <is>
          <t>Pendiente visible en hojas Banco no Flexxus</t>
        </is>
      </c>
      <c r="G609" s="8" t="inlineStr"/>
    </row>
    <row r="610">
      <c r="A610" s="8" t="inlineStr">
        <is>
          <t>Banco</t>
        </is>
      </c>
      <c r="B610" s="8" t="inlineStr">
        <is>
          <t>20/04/2026</t>
        </is>
      </c>
      <c r="C610" s="8" t="inlineStr">
        <is>
          <t>107455</t>
        </is>
      </c>
      <c r="D610" s="8" t="inlineStr">
        <is>
          <t>GRAVAMEN LEY 25413 S/DEB</t>
        </is>
      </c>
      <c r="E610" s="9" t="n">
        <v>2.44</v>
      </c>
      <c r="F610" s="8" t="inlineStr">
        <is>
          <t>Pendiente visible en hojas Banco no Flexxus</t>
        </is>
      </c>
      <c r="G610" s="8" t="inlineStr"/>
    </row>
    <row r="611">
      <c r="A611" s="8" t="inlineStr">
        <is>
          <t>Banco</t>
        </is>
      </c>
      <c r="B611" s="8" t="inlineStr">
        <is>
          <t>20/04/2026</t>
        </is>
      </c>
      <c r="C611" s="8" t="inlineStr">
        <is>
          <t>107454</t>
        </is>
      </c>
      <c r="D611" s="8" t="inlineStr">
        <is>
          <t>GRAVAMEN LEY 25413 S/DEB</t>
        </is>
      </c>
      <c r="E611" s="9" t="n">
        <v>1.89</v>
      </c>
      <c r="F611" s="8" t="inlineStr">
        <is>
          <t>Pendiente visible en hojas Banco no Flexxus</t>
        </is>
      </c>
      <c r="G611" s="8" t="inlineStr"/>
    </row>
    <row r="612">
      <c r="A612" s="8" t="inlineStr">
        <is>
          <t>Banco</t>
        </is>
      </c>
      <c r="B612" s="8" t="inlineStr">
        <is>
          <t>20/04/2026</t>
        </is>
      </c>
      <c r="C612" s="8" t="inlineStr">
        <is>
          <t>107453</t>
        </is>
      </c>
      <c r="D612" s="8" t="inlineStr">
        <is>
          <t>GRAVAMEN LEY 25413 S/DEB</t>
        </is>
      </c>
      <c r="E612" s="9" t="n">
        <v>2.26</v>
      </c>
      <c r="F612" s="8" t="inlineStr">
        <is>
          <t>Pendiente visible en hojas Banco no Flexxus</t>
        </is>
      </c>
      <c r="G612" s="8" t="inlineStr"/>
    </row>
    <row r="613">
      <c r="A613" s="8" t="inlineStr">
        <is>
          <t>Banco</t>
        </is>
      </c>
      <c r="B613" s="8" t="inlineStr">
        <is>
          <t>20/04/2026</t>
        </is>
      </c>
      <c r="C613" s="8" t="inlineStr">
        <is>
          <t>107452</t>
        </is>
      </c>
      <c r="D613" s="8" t="inlineStr">
        <is>
          <t>GRAVAMEN LEY 25413 S/DEB</t>
        </is>
      </c>
      <c r="E613" s="9" t="n">
        <v>0.2</v>
      </c>
      <c r="F613" s="8" t="inlineStr">
        <is>
          <t>Pendiente visible en hojas Banco no Flexxus</t>
        </is>
      </c>
      <c r="G613" s="8" t="inlineStr"/>
    </row>
    <row r="614">
      <c r="A614" s="8" t="inlineStr">
        <is>
          <t>Banco</t>
        </is>
      </c>
      <c r="B614" s="8" t="inlineStr">
        <is>
          <t>20/04/2026</t>
        </is>
      </c>
      <c r="C614" s="8" t="inlineStr">
        <is>
          <t>107451</t>
        </is>
      </c>
      <c r="D614" s="8" t="inlineStr">
        <is>
          <t>GRAVAMEN LEY 25413 S/DEB</t>
        </is>
      </c>
      <c r="E614" s="9" t="n">
        <v>1.66</v>
      </c>
      <c r="F614" s="8" t="inlineStr">
        <is>
          <t>Pendiente visible en hojas Banco no Flexxus</t>
        </is>
      </c>
      <c r="G614" s="8" t="inlineStr"/>
    </row>
    <row r="615">
      <c r="A615" s="8" t="inlineStr">
        <is>
          <t>Banco</t>
        </is>
      </c>
      <c r="B615" s="8" t="inlineStr">
        <is>
          <t>20/04/2026</t>
        </is>
      </c>
      <c r="C615" s="8" t="inlineStr">
        <is>
          <t>107450</t>
        </is>
      </c>
      <c r="D615" s="8" t="inlineStr">
        <is>
          <t>GRAVAMEN LEY 25413 S/DEB</t>
        </is>
      </c>
      <c r="E615" s="9" t="n">
        <v>0.8</v>
      </c>
      <c r="F615" s="8" t="inlineStr">
        <is>
          <t>Pendiente visible en hojas Banco no Flexxus</t>
        </is>
      </c>
      <c r="G615" s="8" t="inlineStr"/>
    </row>
    <row r="616">
      <c r="A616" s="8" t="inlineStr">
        <is>
          <t>Banco</t>
        </is>
      </c>
      <c r="B616" s="8" t="inlineStr">
        <is>
          <t>20/04/2026</t>
        </is>
      </c>
      <c r="C616" s="8" t="inlineStr">
        <is>
          <t>107449</t>
        </is>
      </c>
      <c r="D616" s="8" t="inlineStr">
        <is>
          <t>GRAVAMEN LEY 25413 S/DEB</t>
        </is>
      </c>
      <c r="E616" s="9" t="n">
        <v>2.62</v>
      </c>
      <c r="F616" s="8" t="inlineStr">
        <is>
          <t>Pendiente visible en hojas Banco no Flexxus</t>
        </is>
      </c>
      <c r="G616" s="8" t="inlineStr"/>
    </row>
    <row r="617">
      <c r="A617" s="8" t="inlineStr">
        <is>
          <t>Banco</t>
        </is>
      </c>
      <c r="B617" s="8" t="inlineStr">
        <is>
          <t>20/04/2026</t>
        </is>
      </c>
      <c r="C617" s="8" t="inlineStr">
        <is>
          <t>107448</t>
        </is>
      </c>
      <c r="D617" s="8" t="inlineStr">
        <is>
          <t>GRAVAMEN LEY 25413 S/DEB</t>
        </is>
      </c>
      <c r="E617" s="9" t="n">
        <v>2.73</v>
      </c>
      <c r="F617" s="8" t="inlineStr">
        <is>
          <t>Pendiente visible en hojas Banco no Flexxus</t>
        </is>
      </c>
      <c r="G617" s="8" t="inlineStr"/>
    </row>
    <row r="618">
      <c r="A618" s="8" t="inlineStr">
        <is>
          <t>Banco</t>
        </is>
      </c>
      <c r="B618" s="8" t="inlineStr">
        <is>
          <t>20/04/2026</t>
        </is>
      </c>
      <c r="C618" s="8" t="inlineStr">
        <is>
          <t>107447</t>
        </is>
      </c>
      <c r="D618" s="8" t="inlineStr">
        <is>
          <t>GRAVAMEN LEY 25413 S/DEB</t>
        </is>
      </c>
      <c r="E618" s="9" t="n">
        <v>1.11</v>
      </c>
      <c r="F618" s="8" t="inlineStr">
        <is>
          <t>Pendiente visible en hojas Banco no Flexxus</t>
        </is>
      </c>
      <c r="G618" s="8" t="inlineStr"/>
    </row>
    <row r="619">
      <c r="A619" s="8" t="inlineStr">
        <is>
          <t>Banco</t>
        </is>
      </c>
      <c r="B619" s="8" t="inlineStr">
        <is>
          <t>20/04/2026</t>
        </is>
      </c>
      <c r="C619" s="8" t="inlineStr">
        <is>
          <t>107446</t>
        </is>
      </c>
      <c r="D619" s="8" t="inlineStr">
        <is>
          <t>GRAVAMEN LEY 25413 S/DEB</t>
        </is>
      </c>
      <c r="E619" s="9" t="n">
        <v>1.59</v>
      </c>
      <c r="F619" s="8" t="inlineStr">
        <is>
          <t>Pendiente visible en hojas Banco no Flexxus</t>
        </is>
      </c>
      <c r="G619" s="8" t="inlineStr"/>
    </row>
    <row r="620">
      <c r="A620" s="8" t="inlineStr">
        <is>
          <t>Banco</t>
        </is>
      </c>
      <c r="B620" s="8" t="inlineStr">
        <is>
          <t>20/04/2026</t>
        </is>
      </c>
      <c r="C620" s="8" t="inlineStr">
        <is>
          <t>107445</t>
        </is>
      </c>
      <c r="D620" s="8" t="inlineStr">
        <is>
          <t>GRAVAMEN LEY 25413 S/DEB</t>
        </is>
      </c>
      <c r="E620" s="9" t="n">
        <v>0.92</v>
      </c>
      <c r="F620" s="8" t="inlineStr">
        <is>
          <t>Pendiente visible en hojas Banco no Flexxus</t>
        </is>
      </c>
      <c r="G620" s="8" t="inlineStr"/>
    </row>
    <row r="621">
      <c r="A621" s="8" t="inlineStr">
        <is>
          <t>Banco</t>
        </is>
      </c>
      <c r="B621" s="8" t="inlineStr">
        <is>
          <t>20/04/2026</t>
        </is>
      </c>
      <c r="C621" s="8" t="inlineStr">
        <is>
          <t>107444</t>
        </is>
      </c>
      <c r="D621" s="8" t="inlineStr">
        <is>
          <t>GRAVAMEN LEY 25413 S/DEB</t>
        </is>
      </c>
      <c r="E621" s="9" t="n">
        <v>1.49</v>
      </c>
      <c r="F621" s="8" t="inlineStr">
        <is>
          <t>Pendiente visible en hojas Banco no Flexxus</t>
        </is>
      </c>
      <c r="G621" s="8" t="inlineStr"/>
    </row>
    <row r="622">
      <c r="A622" s="8" t="inlineStr">
        <is>
          <t>Banco</t>
        </is>
      </c>
      <c r="B622" s="8" t="inlineStr">
        <is>
          <t>20/04/2026</t>
        </is>
      </c>
      <c r="C622" s="8" t="inlineStr">
        <is>
          <t>107443</t>
        </is>
      </c>
      <c r="D622" s="8" t="inlineStr">
        <is>
          <t>GRAVAMEN LEY 25413 S/DEB</t>
        </is>
      </c>
      <c r="E622" s="9" t="n">
        <v>1.02</v>
      </c>
      <c r="F622" s="8" t="inlineStr">
        <is>
          <t>Pendiente visible en hojas Banco no Flexxus</t>
        </is>
      </c>
      <c r="G622" s="8" t="inlineStr"/>
    </row>
    <row r="623">
      <c r="A623" s="8" t="inlineStr">
        <is>
          <t>Banco</t>
        </is>
      </c>
      <c r="B623" s="8" t="inlineStr">
        <is>
          <t>20/04/2026</t>
        </is>
      </c>
      <c r="C623" s="8" t="inlineStr">
        <is>
          <t>107442</t>
        </is>
      </c>
      <c r="D623" s="8" t="inlineStr">
        <is>
          <t>GRAVAMEN LEY 25413 S/DEB</t>
        </is>
      </c>
      <c r="E623" s="9" t="n">
        <v>1.08</v>
      </c>
      <c r="F623" s="8" t="inlineStr">
        <is>
          <t>Pendiente visible en hojas Banco no Flexxus</t>
        </is>
      </c>
      <c r="G623" s="8" t="inlineStr"/>
    </row>
    <row r="624">
      <c r="A624" s="8" t="inlineStr">
        <is>
          <t>Banco</t>
        </is>
      </c>
      <c r="B624" s="8" t="inlineStr">
        <is>
          <t>20/04/2026</t>
        </is>
      </c>
      <c r="C624" s="8" t="inlineStr">
        <is>
          <t>107441</t>
        </is>
      </c>
      <c r="D624" s="8" t="inlineStr">
        <is>
          <t>GRAVAMEN LEY 25413 S/DEB</t>
        </is>
      </c>
      <c r="E624" s="9" t="n">
        <v>0.33</v>
      </c>
      <c r="F624" s="8" t="inlineStr">
        <is>
          <t>Pendiente visible en hojas Banco no Flexxus</t>
        </is>
      </c>
      <c r="G624" s="8" t="inlineStr"/>
    </row>
    <row r="625">
      <c r="A625" s="8" t="inlineStr">
        <is>
          <t>Banco</t>
        </is>
      </c>
      <c r="B625" s="8" t="inlineStr">
        <is>
          <t>20/04/2026</t>
        </is>
      </c>
      <c r="C625" s="8" t="inlineStr">
        <is>
          <t>107440</t>
        </is>
      </c>
      <c r="D625" s="8" t="inlineStr">
        <is>
          <t>GRAVAMEN LEY 25413 S/DEB</t>
        </is>
      </c>
      <c r="E625" s="9" t="n">
        <v>1.15</v>
      </c>
      <c r="F625" s="8" t="inlineStr">
        <is>
          <t>Pendiente visible en hojas Banco no Flexxus</t>
        </is>
      </c>
      <c r="G625" s="8" t="inlineStr"/>
    </row>
    <row r="626">
      <c r="A626" s="8" t="inlineStr">
        <is>
          <t>Banco</t>
        </is>
      </c>
      <c r="B626" s="8" t="inlineStr">
        <is>
          <t>20/04/2026</t>
        </is>
      </c>
      <c r="C626" s="8" t="inlineStr">
        <is>
          <t>107439</t>
        </is>
      </c>
      <c r="D626" s="8" t="inlineStr">
        <is>
          <t>GRAVAMEN LEY 25413 S/DEB</t>
        </is>
      </c>
      <c r="E626" s="9" t="n">
        <v>2.29</v>
      </c>
      <c r="F626" s="8" t="inlineStr">
        <is>
          <t>Pendiente visible en hojas Banco no Flexxus</t>
        </is>
      </c>
      <c r="G626" s="8" t="inlineStr"/>
    </row>
    <row r="627">
      <c r="A627" s="8" t="inlineStr">
        <is>
          <t>Banco</t>
        </is>
      </c>
      <c r="B627" s="8" t="inlineStr">
        <is>
          <t>20/04/2026</t>
        </is>
      </c>
      <c r="C627" s="8" t="inlineStr">
        <is>
          <t>107438</t>
        </is>
      </c>
      <c r="D627" s="8" t="inlineStr">
        <is>
          <t>GRAVAMEN LEY 25413 S/DEB</t>
        </is>
      </c>
      <c r="E627" s="9" t="n">
        <v>1.37</v>
      </c>
      <c r="F627" s="8" t="inlineStr">
        <is>
          <t>Pendiente visible en hojas Banco no Flexxus</t>
        </is>
      </c>
      <c r="G627" s="8" t="inlineStr"/>
    </row>
    <row r="628">
      <c r="A628" s="8" t="inlineStr">
        <is>
          <t>Banco</t>
        </is>
      </c>
      <c r="B628" s="8" t="inlineStr">
        <is>
          <t>20/04/2026</t>
        </is>
      </c>
      <c r="C628" s="8" t="inlineStr">
        <is>
          <t>107437</t>
        </is>
      </c>
      <c r="D628" s="8" t="inlineStr">
        <is>
          <t>GRAVAMEN LEY 25413 S/DEB</t>
        </is>
      </c>
      <c r="E628" s="9" t="n">
        <v>0.53</v>
      </c>
      <c r="F628" s="8" t="inlineStr">
        <is>
          <t>Pendiente visible en hojas Banco no Flexxus</t>
        </is>
      </c>
      <c r="G628" s="8" t="inlineStr"/>
    </row>
    <row r="629">
      <c r="A629" s="8" t="inlineStr">
        <is>
          <t>Banco</t>
        </is>
      </c>
      <c r="B629" s="8" t="inlineStr">
        <is>
          <t>20/04/2026</t>
        </is>
      </c>
      <c r="C629" s="8" t="inlineStr">
        <is>
          <t>107436</t>
        </is>
      </c>
      <c r="D629" s="8" t="inlineStr">
        <is>
          <t>GRAVAMEN LEY 25413 S/DEB</t>
        </is>
      </c>
      <c r="E629" s="9" t="n">
        <v>2.51</v>
      </c>
      <c r="F629" s="8" t="inlineStr">
        <is>
          <t>Pendiente visible en hojas Banco no Flexxus</t>
        </is>
      </c>
      <c r="G629" s="8" t="inlineStr"/>
    </row>
    <row r="630">
      <c r="A630" s="8" t="inlineStr">
        <is>
          <t>Banco</t>
        </is>
      </c>
      <c r="B630" s="8" t="inlineStr">
        <is>
          <t>20/04/2026</t>
        </is>
      </c>
      <c r="C630" s="8" t="inlineStr">
        <is>
          <t>107435</t>
        </is>
      </c>
      <c r="D630" s="8" t="inlineStr">
        <is>
          <t>GRAVAMEN LEY 25413 S/DEB</t>
        </is>
      </c>
      <c r="E630" s="9" t="n">
        <v>2.34</v>
      </c>
      <c r="F630" s="8" t="inlineStr">
        <is>
          <t>Pendiente visible en hojas Banco no Flexxus</t>
        </is>
      </c>
      <c r="G630" s="8" t="inlineStr"/>
    </row>
    <row r="631">
      <c r="A631" s="8" t="inlineStr">
        <is>
          <t>Banco</t>
        </is>
      </c>
      <c r="B631" s="8" t="inlineStr">
        <is>
          <t>20/04/2026</t>
        </is>
      </c>
      <c r="C631" s="8" t="inlineStr">
        <is>
          <t>107434</t>
        </is>
      </c>
      <c r="D631" s="8" t="inlineStr">
        <is>
          <t>GRAVAMEN LEY 25413 S/DEB</t>
        </is>
      </c>
      <c r="E631" s="9" t="n">
        <v>3.27</v>
      </c>
      <c r="F631" s="8" t="inlineStr">
        <is>
          <t>Pendiente visible en hojas Banco no Flexxus</t>
        </is>
      </c>
      <c r="G631" s="8" t="inlineStr"/>
    </row>
    <row r="632">
      <c r="A632" s="8" t="inlineStr">
        <is>
          <t>Banco</t>
        </is>
      </c>
      <c r="B632" s="8" t="inlineStr">
        <is>
          <t>20/04/2026</t>
        </is>
      </c>
      <c r="C632" s="8" t="inlineStr">
        <is>
          <t>107433</t>
        </is>
      </c>
      <c r="D632" s="8" t="inlineStr">
        <is>
          <t>GRAVAMEN LEY 25413 S/DEB</t>
        </is>
      </c>
      <c r="E632" s="9" t="n">
        <v>6</v>
      </c>
      <c r="F632" s="8" t="inlineStr">
        <is>
          <t>Pendiente visible en hojas Banco no Flexxus</t>
        </is>
      </c>
      <c r="G632" s="8" t="inlineStr"/>
    </row>
    <row r="633">
      <c r="A633" s="8" t="inlineStr">
        <is>
          <t>Banco</t>
        </is>
      </c>
      <c r="B633" s="8" t="inlineStr">
        <is>
          <t>20/04/2026</t>
        </is>
      </c>
      <c r="C633" s="8" t="inlineStr">
        <is>
          <t>107432</t>
        </is>
      </c>
      <c r="D633" s="8" t="inlineStr">
        <is>
          <t>GRAVAMEN LEY 25413 S/DEB</t>
        </is>
      </c>
      <c r="E633" s="9" t="n">
        <v>1.69</v>
      </c>
      <c r="F633" s="8" t="inlineStr">
        <is>
          <t>Pendiente visible en hojas Banco no Flexxus</t>
        </is>
      </c>
      <c r="G633" s="8" t="inlineStr"/>
    </row>
    <row r="634">
      <c r="A634" s="8" t="inlineStr">
        <is>
          <t>Banco</t>
        </is>
      </c>
      <c r="B634" s="8" t="inlineStr">
        <is>
          <t>20/04/2026</t>
        </is>
      </c>
      <c r="C634" s="8" t="inlineStr">
        <is>
          <t>107431</t>
        </is>
      </c>
      <c r="D634" s="8" t="inlineStr">
        <is>
          <t>GRAVAMEN LEY 25413 S/DEB</t>
        </is>
      </c>
      <c r="E634" s="9" t="n">
        <v>0.68</v>
      </c>
      <c r="F634" s="8" t="inlineStr">
        <is>
          <t>Pendiente visible en hojas Banco no Flexxus</t>
        </is>
      </c>
      <c r="G634" s="8" t="inlineStr"/>
    </row>
    <row r="635">
      <c r="A635" s="8" t="inlineStr">
        <is>
          <t>Banco</t>
        </is>
      </c>
      <c r="B635" s="8" t="inlineStr">
        <is>
          <t>20/04/2026</t>
        </is>
      </c>
      <c r="C635" s="8" t="inlineStr">
        <is>
          <t>107430</t>
        </is>
      </c>
      <c r="D635" s="8" t="inlineStr">
        <is>
          <t>GRAVAMEN LEY 25413 S/DEB</t>
        </is>
      </c>
      <c r="E635" s="9" t="n">
        <v>3.18</v>
      </c>
      <c r="F635" s="8" t="inlineStr">
        <is>
          <t>Pendiente visible en hojas Banco no Flexxus</t>
        </is>
      </c>
      <c r="G635" s="8" t="inlineStr"/>
    </row>
    <row r="636">
      <c r="A636" s="8" t="inlineStr">
        <is>
          <t>Banco</t>
        </is>
      </c>
      <c r="B636" s="8" t="inlineStr">
        <is>
          <t>20/04/2026</t>
        </is>
      </c>
      <c r="C636" s="8" t="inlineStr">
        <is>
          <t>107429</t>
        </is>
      </c>
      <c r="D636" s="8" t="inlineStr">
        <is>
          <t>GRAVAMEN LEY 25413 S/DEB</t>
        </is>
      </c>
      <c r="E636" s="9" t="n">
        <v>2.85</v>
      </c>
      <c r="F636" s="8" t="inlineStr">
        <is>
          <t>Pendiente visible en hojas Banco no Flexxus</t>
        </is>
      </c>
      <c r="G636" s="8" t="inlineStr"/>
    </row>
    <row r="637">
      <c r="A637" s="8" t="inlineStr">
        <is>
          <t>Banco</t>
        </is>
      </c>
      <c r="B637" s="8" t="inlineStr">
        <is>
          <t>20/04/2026</t>
        </is>
      </c>
      <c r="C637" s="8" t="inlineStr">
        <is>
          <t>107428</t>
        </is>
      </c>
      <c r="D637" s="8" t="inlineStr">
        <is>
          <t>GRAVAMEN LEY 25413 S/DEB</t>
        </is>
      </c>
      <c r="E637" s="9" t="n">
        <v>2.83</v>
      </c>
      <c r="F637" s="8" t="inlineStr">
        <is>
          <t>Pendiente visible en hojas Banco no Flexxus</t>
        </is>
      </c>
      <c r="G637" s="8" t="inlineStr"/>
    </row>
    <row r="638">
      <c r="A638" s="8" t="inlineStr">
        <is>
          <t>Banco</t>
        </is>
      </c>
      <c r="B638" s="8" t="inlineStr">
        <is>
          <t>20/04/2026</t>
        </is>
      </c>
      <c r="C638" s="8" t="inlineStr">
        <is>
          <t>107427</t>
        </is>
      </c>
      <c r="D638" s="8" t="inlineStr">
        <is>
          <t>GRAVAMEN LEY 25413 S/DEB</t>
        </is>
      </c>
      <c r="E638" s="9" t="n">
        <v>1.99</v>
      </c>
      <c r="F638" s="8" t="inlineStr">
        <is>
          <t>Pendiente visible en hojas Banco no Flexxus</t>
        </is>
      </c>
      <c r="G638" s="8" t="inlineStr"/>
    </row>
    <row r="639">
      <c r="A639" s="8" t="inlineStr">
        <is>
          <t>Banco</t>
        </is>
      </c>
      <c r="B639" s="8" t="inlineStr">
        <is>
          <t>20/04/2026</t>
        </is>
      </c>
      <c r="C639" s="8" t="inlineStr">
        <is>
          <t>107426</t>
        </is>
      </c>
      <c r="D639" s="8" t="inlineStr">
        <is>
          <t>GRAVAMEN LEY 25413 S/DEB</t>
        </is>
      </c>
      <c r="E639" s="9" t="n">
        <v>2.05</v>
      </c>
      <c r="F639" s="8" t="inlineStr">
        <is>
          <t>Pendiente visible en hojas Banco no Flexxus</t>
        </is>
      </c>
      <c r="G639" s="8" t="inlineStr"/>
    </row>
    <row r="640">
      <c r="A640" s="8" t="inlineStr">
        <is>
          <t>Banco</t>
        </is>
      </c>
      <c r="B640" s="8" t="inlineStr">
        <is>
          <t>20/04/2026</t>
        </is>
      </c>
      <c r="C640" s="8" t="inlineStr">
        <is>
          <t>107425</t>
        </is>
      </c>
      <c r="D640" s="8" t="inlineStr">
        <is>
          <t>GRAVAMEN LEY 25413 S/DEB</t>
        </is>
      </c>
      <c r="E640" s="9" t="n">
        <v>1.72</v>
      </c>
      <c r="F640" s="8" t="inlineStr">
        <is>
          <t>Pendiente visible en hojas Banco no Flexxus</t>
        </is>
      </c>
      <c r="G640" s="8" t="inlineStr"/>
    </row>
    <row r="641">
      <c r="A641" s="8" t="inlineStr">
        <is>
          <t>Banco</t>
        </is>
      </c>
      <c r="B641" s="8" t="inlineStr">
        <is>
          <t>20/04/2026</t>
        </is>
      </c>
      <c r="C641" s="8" t="inlineStr">
        <is>
          <t>107424</t>
        </is>
      </c>
      <c r="D641" s="8" t="inlineStr">
        <is>
          <t>GRAVAMEN LEY 25413 S/DEB</t>
        </is>
      </c>
      <c r="E641" s="9" t="n">
        <v>1.33</v>
      </c>
      <c r="F641" s="8" t="inlineStr">
        <is>
          <t>Pendiente visible en hojas Banco no Flexxus</t>
        </is>
      </c>
      <c r="G641" s="8" t="inlineStr"/>
    </row>
    <row r="642">
      <c r="A642" s="8" t="inlineStr">
        <is>
          <t>Banco</t>
        </is>
      </c>
      <c r="B642" s="8" t="inlineStr">
        <is>
          <t>20/04/2026</t>
        </is>
      </c>
      <c r="C642" s="8" t="inlineStr">
        <is>
          <t>107423</t>
        </is>
      </c>
      <c r="D642" s="8" t="inlineStr">
        <is>
          <t>GRAVAMEN LEY 25413 S/DEB</t>
        </is>
      </c>
      <c r="E642" s="9" t="n">
        <v>0.48</v>
      </c>
      <c r="F642" s="8" t="inlineStr">
        <is>
          <t>Pendiente visible en hojas Banco no Flexxus</t>
        </is>
      </c>
      <c r="G642" s="8" t="inlineStr"/>
    </row>
    <row r="643">
      <c r="A643" s="8" t="inlineStr">
        <is>
          <t>Banco</t>
        </is>
      </c>
      <c r="B643" s="8" t="inlineStr">
        <is>
          <t>20/04/2026</t>
        </is>
      </c>
      <c r="C643" s="8" t="inlineStr">
        <is>
          <t>107422</t>
        </is>
      </c>
      <c r="D643" s="8" t="inlineStr">
        <is>
          <t>GRAVAMEN LEY 25413 S/DEB</t>
        </is>
      </c>
      <c r="E643" s="9" t="n">
        <v>0.93</v>
      </c>
      <c r="F643" s="8" t="inlineStr">
        <is>
          <t>Pendiente visible en hojas Banco no Flexxus</t>
        </is>
      </c>
      <c r="G643" s="8" t="inlineStr"/>
    </row>
    <row r="644">
      <c r="A644" s="8" t="inlineStr">
        <is>
          <t>Banco</t>
        </is>
      </c>
      <c r="B644" s="8" t="inlineStr">
        <is>
          <t>20/04/2026</t>
        </is>
      </c>
      <c r="C644" s="8" t="inlineStr">
        <is>
          <t>107421</t>
        </is>
      </c>
      <c r="D644" s="8" t="inlineStr">
        <is>
          <t>GRAVAMEN LEY 25413 S/DEB</t>
        </is>
      </c>
      <c r="E644" s="9" t="n">
        <v>1.6</v>
      </c>
      <c r="F644" s="8" t="inlineStr">
        <is>
          <t>Pendiente visible en hojas Banco no Flexxus</t>
        </is>
      </c>
      <c r="G644" s="8" t="inlineStr"/>
    </row>
    <row r="645">
      <c r="A645" s="8" t="inlineStr">
        <is>
          <t>Banco</t>
        </is>
      </c>
      <c r="B645" s="8" t="inlineStr">
        <is>
          <t>20/04/2026</t>
        </is>
      </c>
      <c r="C645" s="8" t="inlineStr">
        <is>
          <t>107420</t>
        </is>
      </c>
      <c r="D645" s="8" t="inlineStr">
        <is>
          <t>GRAVAMEN LEY 25413 S/DEB</t>
        </is>
      </c>
      <c r="E645" s="9" t="n">
        <v>2.1</v>
      </c>
      <c r="F645" s="8" t="inlineStr">
        <is>
          <t>Pendiente visible en hojas Banco no Flexxus</t>
        </is>
      </c>
      <c r="G645" s="8" t="inlineStr"/>
    </row>
    <row r="646">
      <c r="A646" s="8" t="inlineStr">
        <is>
          <t>Banco</t>
        </is>
      </c>
      <c r="B646" s="8" t="inlineStr">
        <is>
          <t>20/04/2026</t>
        </is>
      </c>
      <c r="C646" s="8" t="inlineStr">
        <is>
          <t>107419</t>
        </is>
      </c>
      <c r="D646" s="8" t="inlineStr">
        <is>
          <t>GRAVAMEN LEY 25413 S/DEB</t>
        </is>
      </c>
      <c r="E646" s="9" t="n">
        <v>4.74</v>
      </c>
      <c r="F646" s="8" t="inlineStr">
        <is>
          <t>Pendiente visible en hojas Banco no Flexxus</t>
        </is>
      </c>
      <c r="G646" s="8" t="inlineStr"/>
    </row>
    <row r="647">
      <c r="A647" s="8" t="inlineStr">
        <is>
          <t>Banco</t>
        </is>
      </c>
      <c r="B647" s="8" t="inlineStr">
        <is>
          <t>20/04/2026</t>
        </is>
      </c>
      <c r="C647" s="8" t="inlineStr">
        <is>
          <t>107418</t>
        </is>
      </c>
      <c r="D647" s="8" t="inlineStr">
        <is>
          <t>GRAVAMEN LEY 25413 S/DEB</t>
        </is>
      </c>
      <c r="E647" s="9" t="n">
        <v>0.27</v>
      </c>
      <c r="F647" s="8" t="inlineStr">
        <is>
          <t>Pendiente visible en hojas Banco no Flexxus</t>
        </is>
      </c>
      <c r="G647" s="8" t="inlineStr"/>
    </row>
    <row r="648">
      <c r="A648" s="8" t="inlineStr">
        <is>
          <t>Banco</t>
        </is>
      </c>
      <c r="B648" s="8" t="inlineStr">
        <is>
          <t>20/04/2026</t>
        </is>
      </c>
      <c r="C648" s="8" t="inlineStr">
        <is>
          <t>107417</t>
        </is>
      </c>
      <c r="D648" s="8" t="inlineStr">
        <is>
          <t>GRAVAMEN LEY 25413 S/DEB</t>
        </is>
      </c>
      <c r="E648" s="9" t="n">
        <v>1.37</v>
      </c>
      <c r="F648" s="8" t="inlineStr">
        <is>
          <t>Pendiente visible en hojas Banco no Flexxus</t>
        </is>
      </c>
      <c r="G648" s="8" t="inlineStr"/>
    </row>
    <row r="649">
      <c r="A649" s="8" t="inlineStr">
        <is>
          <t>Banco</t>
        </is>
      </c>
      <c r="B649" s="8" t="inlineStr">
        <is>
          <t>20/04/2026</t>
        </is>
      </c>
      <c r="C649" s="8" t="inlineStr">
        <is>
          <t>107416</t>
        </is>
      </c>
      <c r="D649" s="8" t="inlineStr">
        <is>
          <t>GRAVAMEN LEY 25413 S/DEB</t>
        </is>
      </c>
      <c r="E649" s="9" t="n">
        <v>3.9</v>
      </c>
      <c r="F649" s="8" t="inlineStr">
        <is>
          <t>Pendiente visible en hojas Banco no Flexxus</t>
        </is>
      </c>
      <c r="G649" s="8" t="inlineStr"/>
    </row>
    <row r="650">
      <c r="A650" s="8" t="inlineStr">
        <is>
          <t>Banco</t>
        </is>
      </c>
      <c r="B650" s="8" t="inlineStr">
        <is>
          <t>20/04/2026</t>
        </is>
      </c>
      <c r="C650" s="8" t="inlineStr">
        <is>
          <t>107415</t>
        </is>
      </c>
      <c r="D650" s="8" t="inlineStr">
        <is>
          <t>GRAVAMEN LEY 25413 S/DEB</t>
        </is>
      </c>
      <c r="E650" s="9" t="n">
        <v>1.72</v>
      </c>
      <c r="F650" s="8" t="inlineStr">
        <is>
          <t>Pendiente visible en hojas Banco no Flexxus</t>
        </is>
      </c>
      <c r="G650" s="8" t="inlineStr"/>
    </row>
    <row r="651">
      <c r="A651" s="8" t="inlineStr">
        <is>
          <t>Banco</t>
        </is>
      </c>
      <c r="B651" s="8" t="inlineStr">
        <is>
          <t>20/04/2026</t>
        </is>
      </c>
      <c r="C651" s="8" t="inlineStr">
        <is>
          <t>107414</t>
        </is>
      </c>
      <c r="D651" s="8" t="inlineStr">
        <is>
          <t>GRAVAMEN LEY 25413 S/DEB</t>
        </is>
      </c>
      <c r="E651" s="9" t="n">
        <v>1.43</v>
      </c>
      <c r="F651" s="8" t="inlineStr">
        <is>
          <t>Pendiente visible en hojas Banco no Flexxus</t>
        </is>
      </c>
      <c r="G651" s="8" t="inlineStr"/>
    </row>
    <row r="652">
      <c r="A652" s="8" t="inlineStr">
        <is>
          <t>Banco</t>
        </is>
      </c>
      <c r="B652" s="8" t="inlineStr">
        <is>
          <t>20/04/2026</t>
        </is>
      </c>
      <c r="C652" s="8" t="inlineStr">
        <is>
          <t>107413</t>
        </is>
      </c>
      <c r="D652" s="8" t="inlineStr">
        <is>
          <t>GRAVAMEN LEY 25413 S/DEB</t>
        </is>
      </c>
      <c r="E652" s="9" t="n">
        <v>1.49</v>
      </c>
      <c r="F652" s="8" t="inlineStr">
        <is>
          <t>Pendiente visible en hojas Banco no Flexxus</t>
        </is>
      </c>
      <c r="G652" s="8" t="inlineStr"/>
    </row>
    <row r="653">
      <c r="A653" s="8" t="inlineStr">
        <is>
          <t>Banco</t>
        </is>
      </c>
      <c r="B653" s="8" t="inlineStr">
        <is>
          <t>20/04/2026</t>
        </is>
      </c>
      <c r="C653" s="8" t="inlineStr">
        <is>
          <t>107412</t>
        </is>
      </c>
      <c r="D653" s="8" t="inlineStr">
        <is>
          <t>GRAVAMEN LEY 25413 S/DEB</t>
        </is>
      </c>
      <c r="E653" s="9" t="n">
        <v>1.37</v>
      </c>
      <c r="F653" s="8" t="inlineStr">
        <is>
          <t>Pendiente visible en hojas Banco no Flexxus</t>
        </is>
      </c>
      <c r="G653" s="8" t="inlineStr"/>
    </row>
    <row r="654">
      <c r="A654" s="8" t="inlineStr">
        <is>
          <t>Banco</t>
        </is>
      </c>
      <c r="B654" s="8" t="inlineStr">
        <is>
          <t>20/04/2026</t>
        </is>
      </c>
      <c r="C654" s="8" t="inlineStr">
        <is>
          <t>107411</t>
        </is>
      </c>
      <c r="D654" s="8" t="inlineStr">
        <is>
          <t>GRAVAMEN LEY 25413 S/DEB</t>
        </is>
      </c>
      <c r="E654" s="9" t="n">
        <v>2.22</v>
      </c>
      <c r="F654" s="8" t="inlineStr">
        <is>
          <t>Pendiente visible en hojas Banco no Flexxus</t>
        </is>
      </c>
      <c r="G654" s="8" t="inlineStr"/>
    </row>
    <row r="655">
      <c r="A655" s="8" t="inlineStr">
        <is>
          <t>Banco</t>
        </is>
      </c>
      <c r="B655" s="8" t="inlineStr">
        <is>
          <t>20/04/2026</t>
        </is>
      </c>
      <c r="C655" s="8" t="inlineStr">
        <is>
          <t>107410</t>
        </is>
      </c>
      <c r="D655" s="8" t="inlineStr">
        <is>
          <t>GRAVAMEN LEY 25413 S/DEB</t>
        </is>
      </c>
      <c r="E655" s="9" t="n">
        <v>1.77</v>
      </c>
      <c r="F655" s="8" t="inlineStr">
        <is>
          <t>Pendiente visible en hojas Banco no Flexxus</t>
        </is>
      </c>
      <c r="G655" s="8" t="inlineStr"/>
    </row>
    <row r="656">
      <c r="A656" s="8" t="inlineStr">
        <is>
          <t>Banco</t>
        </is>
      </c>
      <c r="B656" s="8" t="inlineStr">
        <is>
          <t>20/04/2026</t>
        </is>
      </c>
      <c r="C656" s="8" t="inlineStr">
        <is>
          <t>107409</t>
        </is>
      </c>
      <c r="D656" s="8" t="inlineStr">
        <is>
          <t>GRAVAMEN LEY 25413 S/DEB</t>
        </is>
      </c>
      <c r="E656" s="9" t="n">
        <v>0.93</v>
      </c>
      <c r="F656" s="8" t="inlineStr">
        <is>
          <t>Pendiente visible en hojas Banco no Flexxus</t>
        </is>
      </c>
      <c r="G656" s="8" t="inlineStr"/>
    </row>
    <row r="657">
      <c r="A657" s="8" t="inlineStr">
        <is>
          <t>Banco</t>
        </is>
      </c>
      <c r="B657" s="8" t="inlineStr">
        <is>
          <t>20/04/2026</t>
        </is>
      </c>
      <c r="C657" s="8" t="inlineStr">
        <is>
          <t>107408</t>
        </is>
      </c>
      <c r="D657" s="8" t="inlineStr">
        <is>
          <t>GRAVAMEN LEY 25413 S/DEB</t>
        </is>
      </c>
      <c r="E657" s="9" t="n">
        <v>0.97</v>
      </c>
      <c r="F657" s="8" t="inlineStr">
        <is>
          <t>Pendiente visible en hojas Banco no Flexxus</t>
        </is>
      </c>
      <c r="G657" s="8" t="inlineStr"/>
    </row>
    <row r="658">
      <c r="A658" s="8" t="inlineStr">
        <is>
          <t>Banco</t>
        </is>
      </c>
      <c r="B658" s="8" t="inlineStr">
        <is>
          <t>20/04/2026</t>
        </is>
      </c>
      <c r="C658" s="8" t="inlineStr">
        <is>
          <t>107407</t>
        </is>
      </c>
      <c r="D658" s="8" t="inlineStr">
        <is>
          <t>GRAVAMEN LEY 25413 S/DEB</t>
        </is>
      </c>
      <c r="E658" s="9" t="n">
        <v>1.19</v>
      </c>
      <c r="F658" s="8" t="inlineStr">
        <is>
          <t>Pendiente visible en hojas Banco no Flexxus</t>
        </is>
      </c>
      <c r="G658" s="8" t="inlineStr"/>
    </row>
    <row r="659">
      <c r="A659" s="8" t="inlineStr">
        <is>
          <t>Banco</t>
        </is>
      </c>
      <c r="B659" s="8" t="inlineStr">
        <is>
          <t>20/04/2026</t>
        </is>
      </c>
      <c r="C659" s="8" t="inlineStr">
        <is>
          <t>107406</t>
        </is>
      </c>
      <c r="D659" s="8" t="inlineStr">
        <is>
          <t>GRAVAMEN LEY 25413 S/DEB</t>
        </is>
      </c>
      <c r="E659" s="9" t="n">
        <v>1.13</v>
      </c>
      <c r="F659" s="8" t="inlineStr">
        <is>
          <t>Pendiente visible en hojas Banco no Flexxus</t>
        </is>
      </c>
      <c r="G659" s="8" t="inlineStr"/>
    </row>
    <row r="660">
      <c r="A660" s="8" t="inlineStr">
        <is>
          <t>Banco</t>
        </is>
      </c>
      <c r="B660" s="8" t="inlineStr">
        <is>
          <t>20/04/2026</t>
        </is>
      </c>
      <c r="C660" s="8" t="inlineStr">
        <is>
          <t>107405</t>
        </is>
      </c>
      <c r="D660" s="8" t="inlineStr">
        <is>
          <t>GRAVAMEN LEY 25413 S/DEB</t>
        </is>
      </c>
      <c r="E660" s="9" t="n">
        <v>0.89</v>
      </c>
      <c r="F660" s="8" t="inlineStr">
        <is>
          <t>Pendiente visible en hojas Banco no Flexxus</t>
        </is>
      </c>
      <c r="G660" s="8" t="inlineStr"/>
    </row>
    <row r="661">
      <c r="A661" s="8" t="inlineStr">
        <is>
          <t>Banco</t>
        </is>
      </c>
      <c r="B661" s="8" t="inlineStr">
        <is>
          <t>20/04/2026</t>
        </is>
      </c>
      <c r="C661" s="8" t="inlineStr">
        <is>
          <t>107404</t>
        </is>
      </c>
      <c r="D661" s="8" t="inlineStr">
        <is>
          <t>GRAVAMEN LEY 25413 S/DEB</t>
        </is>
      </c>
      <c r="E661" s="9" t="n">
        <v>4.35</v>
      </c>
      <c r="F661" s="8" t="inlineStr">
        <is>
          <t>Pendiente visible en hojas Banco no Flexxus</t>
        </is>
      </c>
      <c r="G661" s="8" t="inlineStr"/>
    </row>
    <row r="662">
      <c r="A662" s="8" t="inlineStr">
        <is>
          <t>Banco</t>
        </is>
      </c>
      <c r="B662" s="8" t="inlineStr">
        <is>
          <t>20/04/2026</t>
        </is>
      </c>
      <c r="C662" s="8" t="inlineStr">
        <is>
          <t>107403</t>
        </is>
      </c>
      <c r="D662" s="8" t="inlineStr">
        <is>
          <t>GRAVAMEN LEY 25413 S/DEB</t>
        </is>
      </c>
      <c r="E662" s="9" t="n">
        <v>4.01</v>
      </c>
      <c r="F662" s="8" t="inlineStr">
        <is>
          <t>Pendiente visible en hojas Banco no Flexxus</t>
        </is>
      </c>
      <c r="G662" s="8" t="inlineStr"/>
    </row>
    <row r="663">
      <c r="A663" s="8" t="inlineStr">
        <is>
          <t>Banco</t>
        </is>
      </c>
      <c r="B663" s="8" t="inlineStr">
        <is>
          <t>20/04/2026</t>
        </is>
      </c>
      <c r="C663" s="8" t="inlineStr">
        <is>
          <t>107402</t>
        </is>
      </c>
      <c r="D663" s="8" t="inlineStr">
        <is>
          <t>GRAVAMEN LEY 25413 S/DEB</t>
        </is>
      </c>
      <c r="E663" s="9" t="n">
        <v>3.54</v>
      </c>
      <c r="F663" s="8" t="inlineStr">
        <is>
          <t>Pendiente visible en hojas Banco no Flexxus</t>
        </is>
      </c>
      <c r="G663" s="8" t="inlineStr"/>
    </row>
    <row r="664">
      <c r="A664" s="8" t="inlineStr">
        <is>
          <t>Banco</t>
        </is>
      </c>
      <c r="B664" s="8" t="inlineStr">
        <is>
          <t>20/04/2026</t>
        </is>
      </c>
      <c r="C664" s="8" t="inlineStr">
        <is>
          <t>107401</t>
        </is>
      </c>
      <c r="D664" s="8" t="inlineStr">
        <is>
          <t>GRAVAMEN LEY 25413 S/DEB</t>
        </is>
      </c>
      <c r="E664" s="9" t="n">
        <v>6.6</v>
      </c>
      <c r="F664" s="8" t="inlineStr">
        <is>
          <t>Pendiente visible en hojas Banco no Flexxus</t>
        </is>
      </c>
      <c r="G664" s="8" t="inlineStr"/>
    </row>
    <row r="665">
      <c r="A665" s="8" t="inlineStr">
        <is>
          <t>Banco</t>
        </is>
      </c>
      <c r="B665" s="8" t="inlineStr">
        <is>
          <t>20/04/2026</t>
        </is>
      </c>
      <c r="C665" s="8" t="inlineStr">
        <is>
          <t>107400</t>
        </is>
      </c>
      <c r="D665" s="8" t="inlineStr">
        <is>
          <t>GRAVAMEN LEY 25413 S/DEB</t>
        </is>
      </c>
      <c r="E665" s="9" t="n">
        <v>3.09</v>
      </c>
      <c r="F665" s="8" t="inlineStr">
        <is>
          <t>Pendiente visible en hojas Banco no Flexxus</t>
        </is>
      </c>
      <c r="G665" s="8" t="inlineStr"/>
    </row>
    <row r="666">
      <c r="A666" s="8" t="inlineStr">
        <is>
          <t>Banco</t>
        </is>
      </c>
      <c r="B666" s="8" t="inlineStr">
        <is>
          <t>20/04/2026</t>
        </is>
      </c>
      <c r="C666" s="8" t="inlineStr">
        <is>
          <t>107399</t>
        </is>
      </c>
      <c r="D666" s="8" t="inlineStr">
        <is>
          <t>GRAVAMEN LEY 25413 S/DEB</t>
        </is>
      </c>
      <c r="E666" s="9" t="n">
        <v>3.33</v>
      </c>
      <c r="F666" s="8" t="inlineStr">
        <is>
          <t>Pendiente visible en hojas Banco no Flexxus</t>
        </is>
      </c>
      <c r="G666" s="8" t="inlineStr"/>
    </row>
    <row r="667">
      <c r="A667" s="8" t="inlineStr">
        <is>
          <t>Banco</t>
        </is>
      </c>
      <c r="B667" s="8" t="inlineStr">
        <is>
          <t>20/04/2026</t>
        </is>
      </c>
      <c r="C667" s="8" t="inlineStr">
        <is>
          <t>107398</t>
        </is>
      </c>
      <c r="D667" s="8" t="inlineStr">
        <is>
          <t>GRAVAMEN LEY 25413 S/DEB</t>
        </is>
      </c>
      <c r="E667" s="9" t="n">
        <v>1.93</v>
      </c>
      <c r="F667" s="8" t="inlineStr">
        <is>
          <t>Pendiente visible en hojas Banco no Flexxus</t>
        </is>
      </c>
      <c r="G667" s="8" t="inlineStr"/>
    </row>
    <row r="668">
      <c r="A668" s="8" t="inlineStr">
        <is>
          <t>Banco</t>
        </is>
      </c>
      <c r="B668" s="8" t="inlineStr">
        <is>
          <t>20/04/2026</t>
        </is>
      </c>
      <c r="C668" s="8" t="inlineStr">
        <is>
          <t>107397</t>
        </is>
      </c>
      <c r="D668" s="8" t="inlineStr">
        <is>
          <t>GRAVAMEN LEY 25413 S/DEB</t>
        </is>
      </c>
      <c r="E668" s="9" t="n">
        <v>0.5</v>
      </c>
      <c r="F668" s="8" t="inlineStr">
        <is>
          <t>Pendiente visible en hojas Banco no Flexxus</t>
        </is>
      </c>
      <c r="G668" s="8" t="inlineStr"/>
    </row>
    <row r="669">
      <c r="A669" s="8" t="inlineStr">
        <is>
          <t>Banco</t>
        </is>
      </c>
      <c r="B669" s="8" t="inlineStr">
        <is>
          <t>20/04/2026</t>
        </is>
      </c>
      <c r="C669" s="8" t="inlineStr">
        <is>
          <t>107396</t>
        </is>
      </c>
      <c r="D669" s="8" t="inlineStr">
        <is>
          <t>GRAVAMEN LEY 25413 S/DEB</t>
        </is>
      </c>
      <c r="E669" s="9" t="n">
        <v>0.8</v>
      </c>
      <c r="F669" s="8" t="inlineStr">
        <is>
          <t>Pendiente visible en hojas Banco no Flexxus</t>
        </is>
      </c>
      <c r="G669" s="8" t="inlineStr"/>
    </row>
    <row r="670">
      <c r="A670" s="8" t="inlineStr">
        <is>
          <t>Banco</t>
        </is>
      </c>
      <c r="B670" s="8" t="inlineStr">
        <is>
          <t>20/04/2026</t>
        </is>
      </c>
      <c r="C670" s="8" t="inlineStr">
        <is>
          <t>107395</t>
        </is>
      </c>
      <c r="D670" s="8" t="inlineStr">
        <is>
          <t>GRAVAMEN LEY 25413 S/DEB</t>
        </is>
      </c>
      <c r="E670" s="9" t="n">
        <v>0.68</v>
      </c>
      <c r="F670" s="8" t="inlineStr">
        <is>
          <t>Pendiente visible en hojas Banco no Flexxus</t>
        </is>
      </c>
      <c r="G670" s="8" t="inlineStr"/>
    </row>
    <row r="671">
      <c r="A671" s="8" t="inlineStr">
        <is>
          <t>Banco</t>
        </is>
      </c>
      <c r="B671" s="8" t="inlineStr">
        <is>
          <t>20/04/2026</t>
        </is>
      </c>
      <c r="C671" s="8" t="inlineStr">
        <is>
          <t>107394</t>
        </is>
      </c>
      <c r="D671" s="8" t="inlineStr">
        <is>
          <t>GRAVAMEN LEY 25413 S/DEB</t>
        </is>
      </c>
      <c r="E671" s="9" t="n">
        <v>2.41</v>
      </c>
      <c r="F671" s="8" t="inlineStr">
        <is>
          <t>Pendiente visible en hojas Banco no Flexxus</t>
        </is>
      </c>
      <c r="G671" s="8" t="inlineStr"/>
    </row>
    <row r="672">
      <c r="A672" s="8" t="inlineStr">
        <is>
          <t>Banco</t>
        </is>
      </c>
      <c r="B672" s="8" t="inlineStr">
        <is>
          <t>20/04/2026</t>
        </is>
      </c>
      <c r="C672" s="8" t="inlineStr">
        <is>
          <t>107393</t>
        </is>
      </c>
      <c r="D672" s="8" t="inlineStr">
        <is>
          <t>GRAVAMEN LEY 25413 S/DEB</t>
        </is>
      </c>
      <c r="E672" s="9" t="n">
        <v>0.41</v>
      </c>
      <c r="F672" s="8" t="inlineStr">
        <is>
          <t>Pendiente visible en hojas Banco no Flexxus</t>
        </is>
      </c>
      <c r="G672" s="8" t="inlineStr"/>
    </row>
    <row r="673">
      <c r="A673" s="8" t="inlineStr">
        <is>
          <t>Banco</t>
        </is>
      </c>
      <c r="B673" s="8" t="inlineStr">
        <is>
          <t>20/04/2026</t>
        </is>
      </c>
      <c r="C673" s="8" t="inlineStr">
        <is>
          <t>107392</t>
        </is>
      </c>
      <c r="D673" s="8" t="inlineStr">
        <is>
          <t>GRAVAMEN LEY 25413 S/DEB</t>
        </is>
      </c>
      <c r="E673" s="9" t="n">
        <v>1.37</v>
      </c>
      <c r="F673" s="8" t="inlineStr">
        <is>
          <t>Pendiente visible en hojas Banco no Flexxus</t>
        </is>
      </c>
      <c r="G673" s="8" t="inlineStr"/>
    </row>
    <row r="674">
      <c r="A674" s="8" t="inlineStr">
        <is>
          <t>Banco</t>
        </is>
      </c>
      <c r="B674" s="8" t="inlineStr">
        <is>
          <t>20/04/2026</t>
        </is>
      </c>
      <c r="C674" s="8" t="inlineStr">
        <is>
          <t>107391</t>
        </is>
      </c>
      <c r="D674" s="8" t="inlineStr">
        <is>
          <t>GRAVAMEN LEY 25413 S/DEB</t>
        </is>
      </c>
      <c r="E674" s="9" t="n">
        <v>4.27</v>
      </c>
      <c r="F674" s="8" t="inlineStr">
        <is>
          <t>Pendiente visible en hojas Banco no Flexxus</t>
        </is>
      </c>
      <c r="G674" s="8" t="inlineStr"/>
    </row>
    <row r="675">
      <c r="A675" s="8" t="inlineStr">
        <is>
          <t>Banco</t>
        </is>
      </c>
      <c r="B675" s="8" t="inlineStr">
        <is>
          <t>20/04/2026</t>
        </is>
      </c>
      <c r="C675" s="8" t="inlineStr">
        <is>
          <t>107390</t>
        </is>
      </c>
      <c r="D675" s="8" t="inlineStr">
        <is>
          <t>GRAVAMEN LEY 25413 S/DEB</t>
        </is>
      </c>
      <c r="E675" s="9" t="n">
        <v>1.37</v>
      </c>
      <c r="F675" s="8" t="inlineStr">
        <is>
          <t>Pendiente visible en hojas Banco no Flexxus</t>
        </is>
      </c>
      <c r="G675" s="8" t="inlineStr"/>
    </row>
    <row r="676">
      <c r="A676" s="8" t="inlineStr">
        <is>
          <t>Banco</t>
        </is>
      </c>
      <c r="B676" s="8" t="inlineStr">
        <is>
          <t>20/04/2026</t>
        </is>
      </c>
      <c r="C676" s="8" t="inlineStr">
        <is>
          <t>107389</t>
        </is>
      </c>
      <c r="D676" s="8" t="inlineStr">
        <is>
          <t>GRAVAMEN LEY 25413 S/DEB</t>
        </is>
      </c>
      <c r="E676" s="9" t="n">
        <v>4.28</v>
      </c>
      <c r="F676" s="8" t="inlineStr">
        <is>
          <t>Pendiente visible en hojas Banco no Flexxus</t>
        </is>
      </c>
      <c r="G676" s="8" t="inlineStr"/>
    </row>
    <row r="677">
      <c r="A677" s="8" t="inlineStr">
        <is>
          <t>Banco</t>
        </is>
      </c>
      <c r="B677" s="8" t="inlineStr">
        <is>
          <t>20/04/2026</t>
        </is>
      </c>
      <c r="C677" s="8" t="inlineStr">
        <is>
          <t>107388</t>
        </is>
      </c>
      <c r="D677" s="8" t="inlineStr">
        <is>
          <t>GRAVAMEN LEY 25413 S/DEB</t>
        </is>
      </c>
      <c r="E677" s="9" t="n">
        <v>2.48</v>
      </c>
      <c r="F677" s="8" t="inlineStr">
        <is>
          <t>Pendiente visible en hojas Banco no Flexxus</t>
        </is>
      </c>
      <c r="G677" s="8" t="inlineStr"/>
    </row>
    <row r="678">
      <c r="A678" s="8" t="inlineStr">
        <is>
          <t>Banco</t>
        </is>
      </c>
      <c r="B678" s="8" t="inlineStr">
        <is>
          <t>20/04/2026</t>
        </is>
      </c>
      <c r="C678" s="8" t="inlineStr">
        <is>
          <t>107387</t>
        </is>
      </c>
      <c r="D678" s="8" t="inlineStr">
        <is>
          <t>GRAVAMEN LEY 25413 S/DEB</t>
        </is>
      </c>
      <c r="E678" s="9" t="n">
        <v>0.5</v>
      </c>
      <c r="F678" s="8" t="inlineStr">
        <is>
          <t>Pendiente visible en hojas Banco no Flexxus</t>
        </is>
      </c>
      <c r="G678" s="8" t="inlineStr"/>
    </row>
    <row r="679">
      <c r="A679" s="8" t="inlineStr">
        <is>
          <t>Banco</t>
        </is>
      </c>
      <c r="B679" s="8" t="inlineStr">
        <is>
          <t>20/04/2026</t>
        </is>
      </c>
      <c r="C679" s="8" t="inlineStr">
        <is>
          <t>107386</t>
        </is>
      </c>
      <c r="D679" s="8" t="inlineStr">
        <is>
          <t>GRAVAMEN LEY 25413 S/DEB</t>
        </is>
      </c>
      <c r="E679" s="9" t="n">
        <v>1.89</v>
      </c>
      <c r="F679" s="8" t="inlineStr">
        <is>
          <t>Pendiente visible en hojas Banco no Flexxus</t>
        </is>
      </c>
      <c r="G679" s="8" t="inlineStr"/>
    </row>
    <row r="680">
      <c r="A680" s="8" t="inlineStr">
        <is>
          <t>Banco</t>
        </is>
      </c>
      <c r="B680" s="8" t="inlineStr">
        <is>
          <t>20/04/2026</t>
        </is>
      </c>
      <c r="C680" s="8" t="inlineStr">
        <is>
          <t>107385</t>
        </is>
      </c>
      <c r="D680" s="8" t="inlineStr">
        <is>
          <t>GRAVAMEN LEY 25413 S/DEB</t>
        </is>
      </c>
      <c r="E680" s="9" t="n">
        <v>1.49</v>
      </c>
      <c r="F680" s="8" t="inlineStr">
        <is>
          <t>Pendiente visible en hojas Banco no Flexxus</t>
        </is>
      </c>
      <c r="G680" s="8" t="inlineStr"/>
    </row>
    <row r="681">
      <c r="A681" s="8" t="inlineStr">
        <is>
          <t>Banco</t>
        </is>
      </c>
      <c r="B681" s="8" t="inlineStr">
        <is>
          <t>20/04/2026</t>
        </is>
      </c>
      <c r="C681" s="8" t="inlineStr">
        <is>
          <t>107384</t>
        </is>
      </c>
      <c r="D681" s="8" t="inlineStr">
        <is>
          <t>GRAVAMEN LEY 25413 S/DEB</t>
        </is>
      </c>
      <c r="E681" s="9" t="n">
        <v>1.6</v>
      </c>
      <c r="F681" s="8" t="inlineStr">
        <is>
          <t>Pendiente visible en hojas Banco no Flexxus</t>
        </is>
      </c>
      <c r="G681" s="8" t="inlineStr"/>
    </row>
    <row r="682">
      <c r="A682" s="8" t="inlineStr">
        <is>
          <t>Banco</t>
        </is>
      </c>
      <c r="B682" s="8" t="inlineStr">
        <is>
          <t>20/04/2026</t>
        </is>
      </c>
      <c r="C682" s="8" t="inlineStr">
        <is>
          <t>107383</t>
        </is>
      </c>
      <c r="D682" s="8" t="inlineStr">
        <is>
          <t>GRAVAMEN LEY 25413 S/DEB</t>
        </is>
      </c>
      <c r="E682" s="9" t="n">
        <v>0.46</v>
      </c>
      <c r="F682" s="8" t="inlineStr">
        <is>
          <t>Pendiente visible en hojas Banco no Flexxus</t>
        </is>
      </c>
      <c r="G682" s="8" t="inlineStr"/>
    </row>
    <row r="683">
      <c r="A683" s="8" t="inlineStr">
        <is>
          <t>Banco</t>
        </is>
      </c>
      <c r="B683" s="8" t="inlineStr">
        <is>
          <t>20/04/2026</t>
        </is>
      </c>
      <c r="C683" s="8" t="inlineStr">
        <is>
          <t>107382</t>
        </is>
      </c>
      <c r="D683" s="8" t="inlineStr">
        <is>
          <t>GRAVAMEN LEY 25413 S/DEB</t>
        </is>
      </c>
      <c r="E683" s="9" t="n">
        <v>1.6</v>
      </c>
      <c r="F683" s="8" t="inlineStr">
        <is>
          <t>Pendiente visible en hojas Banco no Flexxus</t>
        </is>
      </c>
      <c r="G683" s="8" t="inlineStr"/>
    </row>
    <row r="684">
      <c r="A684" s="8" t="inlineStr">
        <is>
          <t>Banco</t>
        </is>
      </c>
      <c r="B684" s="8" t="inlineStr">
        <is>
          <t>20/04/2026</t>
        </is>
      </c>
      <c r="C684" s="8" t="inlineStr">
        <is>
          <t>107381</t>
        </is>
      </c>
      <c r="D684" s="8" t="inlineStr">
        <is>
          <t>GRAVAMEN LEY 25413 S/DEB</t>
        </is>
      </c>
      <c r="E684" s="9" t="n">
        <v>1.6</v>
      </c>
      <c r="F684" s="8" t="inlineStr">
        <is>
          <t>Pendiente visible en hojas Banco no Flexxus</t>
        </is>
      </c>
      <c r="G684" s="8" t="inlineStr"/>
    </row>
    <row r="685">
      <c r="A685" s="8" t="inlineStr">
        <is>
          <t>Banco</t>
        </is>
      </c>
      <c r="B685" s="8" t="inlineStr">
        <is>
          <t>20/04/2026</t>
        </is>
      </c>
      <c r="C685" s="8" t="inlineStr">
        <is>
          <t>107380</t>
        </is>
      </c>
      <c r="D685" s="8" t="inlineStr">
        <is>
          <t>GRAVAMEN LEY 25413 S/DEB</t>
        </is>
      </c>
      <c r="E685" s="9" t="n">
        <v>1.6</v>
      </c>
      <c r="F685" s="8" t="inlineStr">
        <is>
          <t>Pendiente visible en hojas Banco no Flexxus</t>
        </is>
      </c>
      <c r="G685" s="8" t="inlineStr"/>
    </row>
    <row r="686">
      <c r="A686" s="8" t="inlineStr">
        <is>
          <t>Banco</t>
        </is>
      </c>
      <c r="B686" s="8" t="inlineStr">
        <is>
          <t>20/04/2026</t>
        </is>
      </c>
      <c r="C686" s="8" t="inlineStr">
        <is>
          <t>107379</t>
        </is>
      </c>
      <c r="D686" s="8" t="inlineStr">
        <is>
          <t>GRAVAMEN LEY 25413 S/DEB</t>
        </is>
      </c>
      <c r="E686" s="9" t="n">
        <v>0.68</v>
      </c>
      <c r="F686" s="8" t="inlineStr">
        <is>
          <t>Pendiente visible en hojas Banco no Flexxus</t>
        </is>
      </c>
      <c r="G686" s="8" t="inlineStr"/>
    </row>
    <row r="687">
      <c r="A687" s="8" t="inlineStr">
        <is>
          <t>Banco</t>
        </is>
      </c>
      <c r="B687" s="8" t="inlineStr">
        <is>
          <t>20/04/2026</t>
        </is>
      </c>
      <c r="C687" s="8" t="inlineStr">
        <is>
          <t>107378</t>
        </is>
      </c>
      <c r="D687" s="8" t="inlineStr">
        <is>
          <t>GRAVAMEN LEY 25413 S/DEB</t>
        </is>
      </c>
      <c r="E687" s="9" t="n">
        <v>1.58</v>
      </c>
      <c r="F687" s="8" t="inlineStr">
        <is>
          <t>Pendiente visible en hojas Banco no Flexxus</t>
        </is>
      </c>
      <c r="G687" s="8" t="inlineStr"/>
    </row>
    <row r="688">
      <c r="A688" s="8" t="inlineStr">
        <is>
          <t>Banco</t>
        </is>
      </c>
      <c r="B688" s="8" t="inlineStr">
        <is>
          <t>20/04/2026</t>
        </is>
      </c>
      <c r="C688" s="8" t="inlineStr">
        <is>
          <t>107377</t>
        </is>
      </c>
      <c r="D688" s="8" t="inlineStr">
        <is>
          <t>GRAVAMEN LEY 25413 S/DEB</t>
        </is>
      </c>
      <c r="E688" s="9" t="n">
        <v>1.6</v>
      </c>
      <c r="F688" s="8" t="inlineStr">
        <is>
          <t>Pendiente visible en hojas Banco no Flexxus</t>
        </is>
      </c>
      <c r="G688" s="8" t="inlineStr"/>
    </row>
    <row r="689">
      <c r="A689" s="8" t="inlineStr">
        <is>
          <t>Banco</t>
        </is>
      </c>
      <c r="B689" s="8" t="inlineStr">
        <is>
          <t>20/04/2026</t>
        </is>
      </c>
      <c r="C689" s="8" t="inlineStr">
        <is>
          <t>107376</t>
        </is>
      </c>
      <c r="D689" s="8" t="inlineStr">
        <is>
          <t>GRAVAMEN LEY 25413 S/DEB</t>
        </is>
      </c>
      <c r="E689" s="9" t="n">
        <v>4.18</v>
      </c>
      <c r="F689" s="8" t="inlineStr">
        <is>
          <t>Pendiente visible en hojas Banco no Flexxus</t>
        </is>
      </c>
      <c r="G689" s="8" t="inlineStr"/>
    </row>
    <row r="690">
      <c r="A690" s="8" t="inlineStr">
        <is>
          <t>Banco</t>
        </is>
      </c>
      <c r="B690" s="8" t="inlineStr">
        <is>
          <t>20/04/2026</t>
        </is>
      </c>
      <c r="C690" s="8" t="inlineStr">
        <is>
          <t>107375</t>
        </is>
      </c>
      <c r="D690" s="8" t="inlineStr">
        <is>
          <t>GRAVAMEN LEY 25413 S/DEB</t>
        </is>
      </c>
      <c r="E690" s="9" t="n">
        <v>1.93</v>
      </c>
      <c r="F690" s="8" t="inlineStr">
        <is>
          <t>Pendiente visible en hojas Banco no Flexxus</t>
        </is>
      </c>
      <c r="G690" s="8" t="inlineStr"/>
    </row>
    <row r="691">
      <c r="A691" s="8" t="inlineStr">
        <is>
          <t>Banco</t>
        </is>
      </c>
      <c r="B691" s="8" t="inlineStr">
        <is>
          <t>20/04/2026</t>
        </is>
      </c>
      <c r="C691" s="8" t="inlineStr">
        <is>
          <t>107374</t>
        </is>
      </c>
      <c r="D691" s="8" t="inlineStr">
        <is>
          <t>GRAVAMEN LEY 25413 S/DEB</t>
        </is>
      </c>
      <c r="E691" s="9" t="n">
        <v>0.68</v>
      </c>
      <c r="F691" s="8" t="inlineStr">
        <is>
          <t>Pendiente visible en hojas Banco no Flexxus</t>
        </is>
      </c>
      <c r="G691" s="8" t="inlineStr"/>
    </row>
    <row r="692">
      <c r="A692" s="8" t="inlineStr">
        <is>
          <t>Banco</t>
        </is>
      </c>
      <c r="B692" s="8" t="inlineStr">
        <is>
          <t>20/04/2026</t>
        </is>
      </c>
      <c r="C692" s="8" t="inlineStr">
        <is>
          <t>107373</t>
        </is>
      </c>
      <c r="D692" s="8" t="inlineStr">
        <is>
          <t>GRAVAMEN LEY 25413 S/DEB</t>
        </is>
      </c>
      <c r="E692" s="9" t="n">
        <v>3.62</v>
      </c>
      <c r="F692" s="8" t="inlineStr">
        <is>
          <t>Pendiente visible en hojas Banco no Flexxus</t>
        </is>
      </c>
      <c r="G692" s="8" t="inlineStr"/>
    </row>
    <row r="693">
      <c r="A693" s="8" t="inlineStr">
        <is>
          <t>Banco</t>
        </is>
      </c>
      <c r="B693" s="8" t="inlineStr">
        <is>
          <t>20/04/2026</t>
        </is>
      </c>
      <c r="C693" s="8" t="inlineStr">
        <is>
          <t>107372</t>
        </is>
      </c>
      <c r="D693" s="8" t="inlineStr">
        <is>
          <t>GRAVAMEN LEY 25413 S/DEB</t>
        </is>
      </c>
      <c r="E693" s="9" t="n">
        <v>1.98</v>
      </c>
      <c r="F693" s="8" t="inlineStr">
        <is>
          <t>Pendiente visible en hojas Banco no Flexxus</t>
        </is>
      </c>
      <c r="G693" s="8" t="inlineStr"/>
    </row>
    <row r="694">
      <c r="A694" s="8" t="inlineStr">
        <is>
          <t>Banco</t>
        </is>
      </c>
      <c r="B694" s="8" t="inlineStr">
        <is>
          <t>20/04/2026</t>
        </is>
      </c>
      <c r="C694" s="8" t="inlineStr">
        <is>
          <t>107371</t>
        </is>
      </c>
      <c r="D694" s="8" t="inlineStr">
        <is>
          <t>GRAVAMEN LEY 25413 S/DEB</t>
        </is>
      </c>
      <c r="E694" s="9" t="n">
        <v>0.96</v>
      </c>
      <c r="F694" s="8" t="inlineStr">
        <is>
          <t>Pendiente visible en hojas Banco no Flexxus</t>
        </is>
      </c>
      <c r="G694" s="8" t="inlineStr"/>
    </row>
    <row r="695">
      <c r="A695" s="8" t="inlineStr">
        <is>
          <t>Banco</t>
        </is>
      </c>
      <c r="B695" s="8" t="inlineStr">
        <is>
          <t>20/04/2026</t>
        </is>
      </c>
      <c r="C695" s="8" t="inlineStr">
        <is>
          <t>107370</t>
        </is>
      </c>
      <c r="D695" s="8" t="inlineStr">
        <is>
          <t>GRAVAMEN LEY 25413 S/DEB</t>
        </is>
      </c>
      <c r="E695" s="9" t="n">
        <v>0.46</v>
      </c>
      <c r="F695" s="8" t="inlineStr">
        <is>
          <t>Pendiente visible en hojas Banco no Flexxus</t>
        </is>
      </c>
      <c r="G695" s="8" t="inlineStr"/>
    </row>
    <row r="696">
      <c r="A696" s="8" t="inlineStr">
        <is>
          <t>Banco</t>
        </is>
      </c>
      <c r="B696" s="8" t="inlineStr">
        <is>
          <t>20/04/2026</t>
        </is>
      </c>
      <c r="C696" s="8" t="inlineStr">
        <is>
          <t>107369</t>
        </is>
      </c>
      <c r="D696" s="8" t="inlineStr">
        <is>
          <t>GRAVAMEN LEY 25413 S/DEB</t>
        </is>
      </c>
      <c r="E696" s="9" t="n">
        <v>1.4</v>
      </c>
      <c r="F696" s="8" t="inlineStr">
        <is>
          <t>Pendiente visible en hojas Banco no Flexxus</t>
        </is>
      </c>
      <c r="G696" s="8" t="inlineStr"/>
    </row>
    <row r="697">
      <c r="A697" s="8" t="inlineStr">
        <is>
          <t>Banco</t>
        </is>
      </c>
      <c r="B697" s="8" t="inlineStr">
        <is>
          <t>20/04/2026</t>
        </is>
      </c>
      <c r="C697" s="8" t="inlineStr">
        <is>
          <t>107368</t>
        </is>
      </c>
      <c r="D697" s="8" t="inlineStr">
        <is>
          <t>GRAVAMEN LEY 25413 S/DEB</t>
        </is>
      </c>
      <c r="E697" s="9" t="n">
        <v>1.64</v>
      </c>
      <c r="F697" s="8" t="inlineStr">
        <is>
          <t>Pendiente visible en hojas Banco no Flexxus</t>
        </is>
      </c>
      <c r="G697" s="8" t="inlineStr"/>
    </row>
    <row r="698">
      <c r="A698" s="8" t="inlineStr">
        <is>
          <t>Banco</t>
        </is>
      </c>
      <c r="B698" s="8" t="inlineStr">
        <is>
          <t>20/04/2026</t>
        </is>
      </c>
      <c r="C698" s="8" t="inlineStr">
        <is>
          <t>107367</t>
        </is>
      </c>
      <c r="D698" s="8" t="inlineStr">
        <is>
          <t>GRAVAMEN LEY 25413 S/DEB</t>
        </is>
      </c>
      <c r="E698" s="9" t="n">
        <v>2.89</v>
      </c>
      <c r="F698" s="8" t="inlineStr">
        <is>
          <t>Pendiente visible en hojas Banco no Flexxus</t>
        </is>
      </c>
      <c r="G698" s="8" t="inlineStr"/>
    </row>
    <row r="699">
      <c r="A699" s="8" t="inlineStr">
        <is>
          <t>Banco</t>
        </is>
      </c>
      <c r="B699" s="8" t="inlineStr">
        <is>
          <t>20/04/2026</t>
        </is>
      </c>
      <c r="C699" s="8" t="inlineStr">
        <is>
          <t>107366</t>
        </is>
      </c>
      <c r="D699" s="8" t="inlineStr">
        <is>
          <t>GRAVAMEN LEY 25413 S/DEB</t>
        </is>
      </c>
      <c r="E699" s="9" t="n">
        <v>0.68</v>
      </c>
      <c r="F699" s="8" t="inlineStr">
        <is>
          <t>Pendiente visible en hojas Banco no Flexxus</t>
        </is>
      </c>
      <c r="G699" s="8" t="inlineStr"/>
    </row>
    <row r="700">
      <c r="A700" s="8" t="inlineStr">
        <is>
          <t>Banco</t>
        </is>
      </c>
      <c r="B700" s="8" t="inlineStr">
        <is>
          <t>20/04/2026</t>
        </is>
      </c>
      <c r="C700" s="8" t="inlineStr">
        <is>
          <t>107365</t>
        </is>
      </c>
      <c r="D700" s="8" t="inlineStr">
        <is>
          <t>GRAVAMEN LEY 25413 S/DEB</t>
        </is>
      </c>
      <c r="E700" s="9" t="n">
        <v>2.44</v>
      </c>
      <c r="F700" s="8" t="inlineStr">
        <is>
          <t>Pendiente visible en hojas Banco no Flexxus</t>
        </is>
      </c>
      <c r="G700" s="8" t="inlineStr"/>
    </row>
    <row r="701">
      <c r="A701" s="8" t="inlineStr">
        <is>
          <t>Banco</t>
        </is>
      </c>
      <c r="B701" s="8" t="inlineStr">
        <is>
          <t>20/04/2026</t>
        </is>
      </c>
      <c r="C701" s="8" t="inlineStr">
        <is>
          <t>107364</t>
        </is>
      </c>
      <c r="D701" s="8" t="inlineStr">
        <is>
          <t>GRAVAMEN LEY 25413 S/DEB</t>
        </is>
      </c>
      <c r="E701" s="9" t="n">
        <v>2.05</v>
      </c>
      <c r="F701" s="8" t="inlineStr">
        <is>
          <t>Pendiente visible en hojas Banco no Flexxus</t>
        </is>
      </c>
      <c r="G701" s="8" t="inlineStr"/>
    </row>
    <row r="702">
      <c r="A702" s="8" t="inlineStr">
        <is>
          <t>Banco</t>
        </is>
      </c>
      <c r="B702" s="8" t="inlineStr">
        <is>
          <t>20/04/2026</t>
        </is>
      </c>
      <c r="C702" s="8" t="inlineStr">
        <is>
          <t>107363</t>
        </is>
      </c>
      <c r="D702" s="8" t="inlineStr">
        <is>
          <t>GRAVAMEN LEY 25413 S/DEB</t>
        </is>
      </c>
      <c r="E702" s="9" t="n">
        <v>3.65</v>
      </c>
      <c r="F702" s="8" t="inlineStr">
        <is>
          <t>Pendiente visible en hojas Banco no Flexxus</t>
        </is>
      </c>
      <c r="G702" s="8" t="inlineStr"/>
    </row>
    <row r="703">
      <c r="A703" s="8" t="inlineStr">
        <is>
          <t>Banco</t>
        </is>
      </c>
      <c r="B703" s="8" t="inlineStr">
        <is>
          <t>20/04/2026</t>
        </is>
      </c>
      <c r="C703" s="8" t="inlineStr">
        <is>
          <t>107362</t>
        </is>
      </c>
      <c r="D703" s="8" t="inlineStr">
        <is>
          <t>GRAVAMEN LEY 25413 S/DEB</t>
        </is>
      </c>
      <c r="E703" s="9" t="n">
        <v>1.19</v>
      </c>
      <c r="F703" s="8" t="inlineStr">
        <is>
          <t>Pendiente visible en hojas Banco no Flexxus</t>
        </is>
      </c>
      <c r="G703" s="8" t="inlineStr"/>
    </row>
    <row r="704">
      <c r="A704" s="8" t="inlineStr">
        <is>
          <t>Banco</t>
        </is>
      </c>
      <c r="B704" s="8" t="inlineStr">
        <is>
          <t>20/04/2026</t>
        </is>
      </c>
      <c r="C704" s="8" t="inlineStr">
        <is>
          <t>107361</t>
        </is>
      </c>
      <c r="D704" s="8" t="inlineStr">
        <is>
          <t>GRAVAMEN LEY 25413 S/DEB</t>
        </is>
      </c>
      <c r="E704" s="9" t="n">
        <v>5.85</v>
      </c>
      <c r="F704" s="8" t="inlineStr">
        <is>
          <t>Pendiente visible en hojas Banco no Flexxus</t>
        </is>
      </c>
      <c r="G704" s="8" t="inlineStr"/>
    </row>
    <row r="705">
      <c r="A705" s="8" t="inlineStr">
        <is>
          <t>Banco</t>
        </is>
      </c>
      <c r="B705" s="8" t="inlineStr">
        <is>
          <t>20/04/2026</t>
        </is>
      </c>
      <c r="C705" s="8" t="inlineStr">
        <is>
          <t>107360</t>
        </is>
      </c>
      <c r="D705" s="8" t="inlineStr">
        <is>
          <t>GRAVAMEN LEY 25413 S/DEB</t>
        </is>
      </c>
      <c r="E705" s="9" t="n">
        <v>4.07</v>
      </c>
      <c r="F705" s="8" t="inlineStr">
        <is>
          <t>Pendiente visible en hojas Banco no Flexxus</t>
        </is>
      </c>
      <c r="G705" s="8" t="inlineStr"/>
    </row>
    <row r="706">
      <c r="A706" s="8" t="inlineStr">
        <is>
          <t>Banco</t>
        </is>
      </c>
      <c r="B706" s="8" t="inlineStr">
        <is>
          <t>20/04/2026</t>
        </is>
      </c>
      <c r="C706" s="8" t="inlineStr">
        <is>
          <t>107359</t>
        </is>
      </c>
      <c r="D706" s="8" t="inlineStr">
        <is>
          <t>GRAVAMEN LEY 25413 S/DEB</t>
        </is>
      </c>
      <c r="E706" s="9" t="n">
        <v>1.96</v>
      </c>
      <c r="F706" s="8" t="inlineStr">
        <is>
          <t>Pendiente visible en hojas Banco no Flexxus</t>
        </is>
      </c>
      <c r="G706" s="8" t="inlineStr"/>
    </row>
    <row r="707">
      <c r="A707" s="8" t="inlineStr">
        <is>
          <t>Banco</t>
        </is>
      </c>
      <c r="B707" s="8" t="inlineStr">
        <is>
          <t>20/04/2026</t>
        </is>
      </c>
      <c r="C707" s="8" t="inlineStr">
        <is>
          <t>107358</t>
        </is>
      </c>
      <c r="D707" s="8" t="inlineStr">
        <is>
          <t>GRAVAMEN LEY 25413 S/DEB</t>
        </is>
      </c>
      <c r="E707" s="9" t="n">
        <v>1.85</v>
      </c>
      <c r="F707" s="8" t="inlineStr">
        <is>
          <t>Pendiente visible en hojas Banco no Flexxus</t>
        </is>
      </c>
      <c r="G707" s="8" t="inlineStr"/>
    </row>
    <row r="708">
      <c r="A708" s="8" t="inlineStr">
        <is>
          <t>Banco</t>
        </is>
      </c>
      <c r="B708" s="8" t="inlineStr">
        <is>
          <t>20/04/2026</t>
        </is>
      </c>
      <c r="C708" s="8" t="inlineStr">
        <is>
          <t>107357</t>
        </is>
      </c>
      <c r="D708" s="8" t="inlineStr">
        <is>
          <t>GRAVAMEN LEY 25413 S/DEB</t>
        </is>
      </c>
      <c r="E708" s="9" t="n">
        <v>1.77</v>
      </c>
      <c r="F708" s="8" t="inlineStr">
        <is>
          <t>Pendiente visible en hojas Banco no Flexxus</t>
        </is>
      </c>
      <c r="G708" s="8" t="inlineStr"/>
    </row>
    <row r="709">
      <c r="A709" s="8" t="inlineStr">
        <is>
          <t>Banco</t>
        </is>
      </c>
      <c r="B709" s="8" t="inlineStr">
        <is>
          <t>20/04/2026</t>
        </is>
      </c>
      <c r="C709" s="8" t="inlineStr">
        <is>
          <t>107356</t>
        </is>
      </c>
      <c r="D709" s="8" t="inlineStr">
        <is>
          <t>GRAVAMEN LEY 25413 S/DEB</t>
        </is>
      </c>
      <c r="E709" s="9" t="n">
        <v>2.08</v>
      </c>
      <c r="F709" s="8" t="inlineStr">
        <is>
          <t>Pendiente visible en hojas Banco no Flexxus</t>
        </is>
      </c>
      <c r="G709" s="8" t="inlineStr"/>
    </row>
    <row r="710">
      <c r="A710" s="8" t="inlineStr">
        <is>
          <t>Banco</t>
        </is>
      </c>
      <c r="B710" s="8" t="inlineStr">
        <is>
          <t>20/04/2026</t>
        </is>
      </c>
      <c r="C710" s="8" t="inlineStr">
        <is>
          <t>107355</t>
        </is>
      </c>
      <c r="D710" s="8" t="inlineStr">
        <is>
          <t>GRAVAMEN LEY 25413 S/DEB</t>
        </is>
      </c>
      <c r="E710" s="9" t="n">
        <v>4.32</v>
      </c>
      <c r="F710" s="8" t="inlineStr">
        <is>
          <t>Pendiente visible en hojas Banco no Flexxus</t>
        </is>
      </c>
      <c r="G710" s="8" t="inlineStr"/>
    </row>
    <row r="711">
      <c r="A711" s="8" t="inlineStr">
        <is>
          <t>Banco</t>
        </is>
      </c>
      <c r="B711" s="8" t="inlineStr">
        <is>
          <t>20/04/2026</t>
        </is>
      </c>
      <c r="C711" s="8" t="inlineStr">
        <is>
          <t>107354</t>
        </is>
      </c>
      <c r="D711" s="8" t="inlineStr">
        <is>
          <t>GRAVAMEN LEY 25413 S/DEB</t>
        </is>
      </c>
      <c r="E711" s="9" t="n">
        <v>1.81</v>
      </c>
      <c r="F711" s="8" t="inlineStr">
        <is>
          <t>Pendiente visible en hojas Banco no Flexxus</t>
        </is>
      </c>
      <c r="G711" s="8" t="inlineStr"/>
    </row>
    <row r="712">
      <c r="A712" s="8" t="inlineStr">
        <is>
          <t>Banco</t>
        </is>
      </c>
      <c r="B712" s="8" t="inlineStr">
        <is>
          <t>20/04/2026</t>
        </is>
      </c>
      <c r="C712" s="8" t="inlineStr">
        <is>
          <t>107353</t>
        </is>
      </c>
      <c r="D712" s="8" t="inlineStr">
        <is>
          <t>GRAVAMEN LEY 25413 S/DEB</t>
        </is>
      </c>
      <c r="E712" s="9" t="n">
        <v>1.56</v>
      </c>
      <c r="F712" s="8" t="inlineStr">
        <is>
          <t>Pendiente visible en hojas Banco no Flexxus</t>
        </is>
      </c>
      <c r="G712" s="8" t="inlineStr"/>
    </row>
    <row r="713">
      <c r="A713" s="8" t="inlineStr">
        <is>
          <t>Banco</t>
        </is>
      </c>
      <c r="B713" s="8" t="inlineStr">
        <is>
          <t>20/04/2026</t>
        </is>
      </c>
      <c r="C713" s="8" t="inlineStr">
        <is>
          <t>107352</t>
        </is>
      </c>
      <c r="D713" s="8" t="inlineStr">
        <is>
          <t>GRAVAMEN LEY 25413 S/DEB</t>
        </is>
      </c>
      <c r="E713" s="9" t="n">
        <v>3.89</v>
      </c>
      <c r="F713" s="8" t="inlineStr">
        <is>
          <t>Pendiente visible en hojas Banco no Flexxus</t>
        </is>
      </c>
      <c r="G713" s="8" t="inlineStr"/>
    </row>
    <row r="714">
      <c r="A714" s="8" t="inlineStr">
        <is>
          <t>Banco</t>
        </is>
      </c>
      <c r="B714" s="8" t="inlineStr">
        <is>
          <t>20/04/2026</t>
        </is>
      </c>
      <c r="C714" s="8" t="inlineStr">
        <is>
          <t>107351</t>
        </is>
      </c>
      <c r="D714" s="8" t="inlineStr">
        <is>
          <t>GRAVAMEN LEY 25413 S/DEB</t>
        </is>
      </c>
      <c r="E714" s="9" t="n">
        <v>0.87</v>
      </c>
      <c r="F714" s="8" t="inlineStr">
        <is>
          <t>Pendiente visible en hojas Banco no Flexxus</t>
        </is>
      </c>
      <c r="G714" s="8" t="inlineStr"/>
    </row>
    <row r="715">
      <c r="A715" s="8" t="inlineStr">
        <is>
          <t>Banco</t>
        </is>
      </c>
      <c r="B715" s="8" t="inlineStr">
        <is>
          <t>20/04/2026</t>
        </is>
      </c>
      <c r="C715" s="8" t="inlineStr">
        <is>
          <t>107350</t>
        </is>
      </c>
      <c r="D715" s="8" t="inlineStr">
        <is>
          <t>GRAVAMEN LEY 25413 S/DEB</t>
        </is>
      </c>
      <c r="E715" s="9" t="n">
        <v>2.1</v>
      </c>
      <c r="F715" s="8" t="inlineStr">
        <is>
          <t>Pendiente visible en hojas Banco no Flexxus</t>
        </is>
      </c>
      <c r="G715" s="8" t="inlineStr"/>
    </row>
    <row r="716">
      <c r="A716" s="8" t="inlineStr">
        <is>
          <t>Banco</t>
        </is>
      </c>
      <c r="B716" s="8" t="inlineStr">
        <is>
          <t>20/04/2026</t>
        </is>
      </c>
      <c r="C716" s="8" t="inlineStr">
        <is>
          <t>107349</t>
        </is>
      </c>
      <c r="D716" s="8" t="inlineStr">
        <is>
          <t>GRAVAMEN LEY 25413 S/DEB</t>
        </is>
      </c>
      <c r="E716" s="9" t="n">
        <v>0.68</v>
      </c>
      <c r="F716" s="8" t="inlineStr">
        <is>
          <t>Pendiente visible en hojas Banco no Flexxus</t>
        </is>
      </c>
      <c r="G716" s="8" t="inlineStr"/>
    </row>
    <row r="717">
      <c r="A717" s="8" t="inlineStr">
        <is>
          <t>Banco</t>
        </is>
      </c>
      <c r="B717" s="8" t="inlineStr">
        <is>
          <t>20/04/2026</t>
        </is>
      </c>
      <c r="C717" s="8" t="inlineStr">
        <is>
          <t>107348</t>
        </is>
      </c>
      <c r="D717" s="8" t="inlineStr">
        <is>
          <t>GRAVAMEN LEY 25413 S/DEB</t>
        </is>
      </c>
      <c r="E717" s="9" t="n">
        <v>0.8</v>
      </c>
      <c r="F717" s="8" t="inlineStr">
        <is>
          <t>Pendiente visible en hojas Banco no Flexxus</t>
        </is>
      </c>
      <c r="G717" s="8" t="inlineStr"/>
    </row>
    <row r="718">
      <c r="A718" s="8" t="inlineStr">
        <is>
          <t>Banco</t>
        </is>
      </c>
      <c r="B718" s="8" t="inlineStr">
        <is>
          <t>20/04/2026</t>
        </is>
      </c>
      <c r="C718" s="8" t="inlineStr">
        <is>
          <t>107347</t>
        </is>
      </c>
      <c r="D718" s="8" t="inlineStr">
        <is>
          <t>GRAVAMEN LEY 25413 S/DEB</t>
        </is>
      </c>
      <c r="E718" s="9" t="n">
        <v>2.17</v>
      </c>
      <c r="F718" s="8" t="inlineStr">
        <is>
          <t>Pendiente visible en hojas Banco no Flexxus</t>
        </is>
      </c>
      <c r="G718" s="8" t="inlineStr"/>
    </row>
    <row r="719">
      <c r="A719" s="8" t="inlineStr">
        <is>
          <t>Banco</t>
        </is>
      </c>
      <c r="B719" s="8" t="inlineStr">
        <is>
          <t>20/04/2026</t>
        </is>
      </c>
      <c r="C719" s="8" t="inlineStr">
        <is>
          <t>107346</t>
        </is>
      </c>
      <c r="D719" s="8" t="inlineStr">
        <is>
          <t>GRAVAMEN LEY 25413 S/DEB</t>
        </is>
      </c>
      <c r="E719" s="9" t="n">
        <v>2.51</v>
      </c>
      <c r="F719" s="8" t="inlineStr">
        <is>
          <t>Pendiente visible en hojas Banco no Flexxus</t>
        </is>
      </c>
      <c r="G719" s="8" t="inlineStr"/>
    </row>
    <row r="720">
      <c r="A720" s="8" t="inlineStr">
        <is>
          <t>Banco</t>
        </is>
      </c>
      <c r="B720" s="8" t="inlineStr">
        <is>
          <t>20/04/2026</t>
        </is>
      </c>
      <c r="C720" s="8" t="inlineStr">
        <is>
          <t>107345</t>
        </is>
      </c>
      <c r="D720" s="8" t="inlineStr">
        <is>
          <t>GRAVAMEN LEY 25413 S/DEB</t>
        </is>
      </c>
      <c r="E720" s="9" t="n">
        <v>1.93</v>
      </c>
      <c r="F720" s="8" t="inlineStr">
        <is>
          <t>Pendiente visible en hojas Banco no Flexxus</t>
        </is>
      </c>
      <c r="G720" s="8" t="inlineStr"/>
    </row>
    <row r="721">
      <c r="A721" s="8" t="inlineStr">
        <is>
          <t>Banco</t>
        </is>
      </c>
      <c r="B721" s="8" t="inlineStr">
        <is>
          <t>20/04/2026</t>
        </is>
      </c>
      <c r="C721" s="8" t="inlineStr">
        <is>
          <t>107344</t>
        </is>
      </c>
      <c r="D721" s="8" t="inlineStr">
        <is>
          <t>GRAVAMEN LEY 25413 S/DEB</t>
        </is>
      </c>
      <c r="E721" s="9" t="n">
        <v>0.36</v>
      </c>
      <c r="F721" s="8" t="inlineStr">
        <is>
          <t>Pendiente visible en hojas Banco no Flexxus</t>
        </is>
      </c>
      <c r="G721" s="8" t="inlineStr"/>
    </row>
    <row r="722">
      <c r="A722" s="8" t="inlineStr">
        <is>
          <t>Banco</t>
        </is>
      </c>
      <c r="B722" s="8" t="inlineStr">
        <is>
          <t>20/04/2026</t>
        </is>
      </c>
      <c r="C722" s="8" t="inlineStr">
        <is>
          <t>107343</t>
        </is>
      </c>
      <c r="D722" s="8" t="inlineStr">
        <is>
          <t>GRAVAMEN LEY 25413 S/DEB</t>
        </is>
      </c>
      <c r="E722" s="9" t="n">
        <v>1.04</v>
      </c>
      <c r="F722" s="8" t="inlineStr">
        <is>
          <t>Pendiente visible en hojas Banco no Flexxus</t>
        </is>
      </c>
      <c r="G722" s="8" t="inlineStr"/>
    </row>
    <row r="723">
      <c r="A723" s="8" t="inlineStr">
        <is>
          <t>Banco</t>
        </is>
      </c>
      <c r="B723" s="8" t="inlineStr">
        <is>
          <t>20/04/2026</t>
        </is>
      </c>
      <c r="C723" s="8" t="inlineStr">
        <is>
          <t>107342</t>
        </is>
      </c>
      <c r="D723" s="8" t="inlineStr">
        <is>
          <t>GRAVAMEN LEY 25413 S/DEB</t>
        </is>
      </c>
      <c r="E723" s="9" t="n">
        <v>0.68</v>
      </c>
      <c r="F723" s="8" t="inlineStr">
        <is>
          <t>Pendiente visible en hojas Banco no Flexxus</t>
        </is>
      </c>
      <c r="G723" s="8" t="inlineStr"/>
    </row>
    <row r="724">
      <c r="A724" s="8" t="inlineStr">
        <is>
          <t>Banco</t>
        </is>
      </c>
      <c r="B724" s="8" t="inlineStr">
        <is>
          <t>20/04/2026</t>
        </is>
      </c>
      <c r="C724" s="8" t="inlineStr">
        <is>
          <t>107341</t>
        </is>
      </c>
      <c r="D724" s="8" t="inlineStr">
        <is>
          <t>GRAVAMEN LEY 25413 S/DEB</t>
        </is>
      </c>
      <c r="E724" s="9" t="n">
        <v>0.73</v>
      </c>
      <c r="F724" s="8" t="inlineStr">
        <is>
          <t>Pendiente visible en hojas Banco no Flexxus</t>
        </is>
      </c>
      <c r="G724" s="8" t="inlineStr"/>
    </row>
    <row r="725">
      <c r="A725" s="8" t="inlineStr">
        <is>
          <t>Banco</t>
        </is>
      </c>
      <c r="B725" s="8" t="inlineStr">
        <is>
          <t>20/04/2026</t>
        </is>
      </c>
      <c r="C725" s="8" t="inlineStr">
        <is>
          <t>107340</t>
        </is>
      </c>
      <c r="D725" s="8" t="inlineStr">
        <is>
          <t>GRAVAMEN LEY 25413 S/DEB</t>
        </is>
      </c>
      <c r="E725" s="9" t="n">
        <v>0.8</v>
      </c>
      <c r="F725" s="8" t="inlineStr">
        <is>
          <t>Pendiente visible en hojas Banco no Flexxus</t>
        </is>
      </c>
      <c r="G725" s="8" t="inlineStr"/>
    </row>
    <row r="726">
      <c r="A726" s="8" t="inlineStr">
        <is>
          <t>Banco</t>
        </is>
      </c>
      <c r="B726" s="8" t="inlineStr">
        <is>
          <t>20/04/2026</t>
        </is>
      </c>
      <c r="C726" s="8" t="inlineStr">
        <is>
          <t>107339</t>
        </is>
      </c>
      <c r="D726" s="8" t="inlineStr">
        <is>
          <t>GRAVAMEN LEY 25413 S/DEB</t>
        </is>
      </c>
      <c r="E726" s="9" t="n">
        <v>0.71</v>
      </c>
      <c r="F726" s="8" t="inlineStr">
        <is>
          <t>Pendiente visible en hojas Banco no Flexxus</t>
        </is>
      </c>
      <c r="G726" s="8" t="inlineStr"/>
    </row>
    <row r="727">
      <c r="A727" s="8" t="inlineStr">
        <is>
          <t>Banco</t>
        </is>
      </c>
      <c r="B727" s="8" t="inlineStr">
        <is>
          <t>20/04/2026</t>
        </is>
      </c>
      <c r="C727" s="8" t="inlineStr">
        <is>
          <t>107337</t>
        </is>
      </c>
      <c r="D727" s="8" t="inlineStr">
        <is>
          <t>GRAVAMEN LEY 25413 S/DEB</t>
        </is>
      </c>
      <c r="E727" s="9" t="n">
        <v>3.27</v>
      </c>
      <c r="F727" s="8" t="inlineStr">
        <is>
          <t>Pendiente visible en hojas Banco no Flexxus</t>
        </is>
      </c>
      <c r="G727" s="8" t="inlineStr"/>
    </row>
    <row r="728">
      <c r="A728" s="8" t="inlineStr">
        <is>
          <t>Banco</t>
        </is>
      </c>
      <c r="B728" s="8" t="inlineStr">
        <is>
          <t>20/04/2026</t>
        </is>
      </c>
      <c r="C728" s="8" t="inlineStr">
        <is>
          <t>107336</t>
        </is>
      </c>
      <c r="D728" s="8" t="inlineStr">
        <is>
          <t>GRAVAMEN LEY 25413 S/DEB</t>
        </is>
      </c>
      <c r="E728" s="9" t="n">
        <v>0.51</v>
      </c>
      <c r="F728" s="8" t="inlineStr">
        <is>
          <t>Pendiente visible en hojas Banco no Flexxus</t>
        </is>
      </c>
      <c r="G728" s="8" t="inlineStr"/>
    </row>
    <row r="729">
      <c r="A729" s="8" t="inlineStr">
        <is>
          <t>Banco</t>
        </is>
      </c>
      <c r="B729" s="8" t="inlineStr">
        <is>
          <t>20/04/2026</t>
        </is>
      </c>
      <c r="C729" s="8" t="inlineStr">
        <is>
          <t>107335</t>
        </is>
      </c>
      <c r="D729" s="8" t="inlineStr">
        <is>
          <t>GRAVAMEN LEY 25413 S/DEB</t>
        </is>
      </c>
      <c r="E729" s="9" t="n">
        <v>4.05</v>
      </c>
      <c r="F729" s="8" t="inlineStr">
        <is>
          <t>Pendiente visible en hojas Banco no Flexxus</t>
        </is>
      </c>
      <c r="G729" s="8" t="inlineStr"/>
    </row>
    <row r="730">
      <c r="A730" s="8" t="inlineStr">
        <is>
          <t>Banco</t>
        </is>
      </c>
      <c r="B730" s="8" t="inlineStr">
        <is>
          <t>20/04/2026</t>
        </is>
      </c>
      <c r="C730" s="8" t="inlineStr">
        <is>
          <t>107334</t>
        </is>
      </c>
      <c r="D730" s="8" t="inlineStr">
        <is>
          <t>GRAVAMEN LEY 25413 S/DEB</t>
        </is>
      </c>
      <c r="E730" s="9" t="n">
        <v>5.51</v>
      </c>
      <c r="F730" s="8" t="inlineStr">
        <is>
          <t>Pendiente visible en hojas Banco no Flexxus</t>
        </is>
      </c>
      <c r="G730" s="8" t="inlineStr"/>
    </row>
    <row r="731">
      <c r="A731" s="8" t="inlineStr">
        <is>
          <t>Banco</t>
        </is>
      </c>
      <c r="B731" s="8" t="inlineStr">
        <is>
          <t>20/04/2026</t>
        </is>
      </c>
      <c r="C731" s="8" t="inlineStr">
        <is>
          <t>107333</t>
        </is>
      </c>
      <c r="D731" s="8" t="inlineStr">
        <is>
          <t>GRAVAMEN LEY 25413 S/DEB</t>
        </is>
      </c>
      <c r="E731" s="9" t="n">
        <v>2.08</v>
      </c>
      <c r="F731" s="8" t="inlineStr">
        <is>
          <t>Pendiente visible en hojas Banco no Flexxus</t>
        </is>
      </c>
      <c r="G731" s="8" t="inlineStr"/>
    </row>
    <row r="732">
      <c r="A732" s="8" t="inlineStr">
        <is>
          <t>Banco</t>
        </is>
      </c>
      <c r="B732" s="8" t="inlineStr">
        <is>
          <t>20/04/2026</t>
        </is>
      </c>
      <c r="C732" s="8" t="inlineStr">
        <is>
          <t>107332</t>
        </is>
      </c>
      <c r="D732" s="8" t="inlineStr">
        <is>
          <t>GRAVAMEN LEY 25413 S/DEB</t>
        </is>
      </c>
      <c r="E732" s="9" t="n">
        <v>4.4</v>
      </c>
      <c r="F732" s="8" t="inlineStr">
        <is>
          <t>Pendiente visible en hojas Banco no Flexxus</t>
        </is>
      </c>
      <c r="G732" s="8" t="inlineStr"/>
    </row>
    <row r="733">
      <c r="A733" s="8" t="inlineStr">
        <is>
          <t>Banco</t>
        </is>
      </c>
      <c r="B733" s="8" t="inlineStr">
        <is>
          <t>20/04/2026</t>
        </is>
      </c>
      <c r="C733" s="8" t="inlineStr">
        <is>
          <t>107331</t>
        </is>
      </c>
      <c r="D733" s="8" t="inlineStr">
        <is>
          <t>GRAVAMEN LEY 25413 S/DEB</t>
        </is>
      </c>
      <c r="E733" s="9" t="n">
        <v>3.5</v>
      </c>
      <c r="F733" s="8" t="inlineStr">
        <is>
          <t>Pendiente visible en hojas Banco no Flexxus</t>
        </is>
      </c>
      <c r="G733" s="8" t="inlineStr"/>
    </row>
    <row r="734">
      <c r="A734" s="8" t="inlineStr">
        <is>
          <t>Banco</t>
        </is>
      </c>
      <c r="B734" s="8" t="inlineStr">
        <is>
          <t>20/04/2026</t>
        </is>
      </c>
      <c r="C734" s="8" t="inlineStr">
        <is>
          <t>107330</t>
        </is>
      </c>
      <c r="D734" s="8" t="inlineStr">
        <is>
          <t>GRAVAMEN LEY 25413 S/DEB</t>
        </is>
      </c>
      <c r="E734" s="9" t="n">
        <v>4</v>
      </c>
      <c r="F734" s="8" t="inlineStr">
        <is>
          <t>Pendiente visible en hojas Banco no Flexxus</t>
        </is>
      </c>
      <c r="G734" s="8" t="inlineStr"/>
    </row>
    <row r="735">
      <c r="A735" s="8" t="inlineStr">
        <is>
          <t>Banco</t>
        </is>
      </c>
      <c r="B735" s="8" t="inlineStr">
        <is>
          <t>20/04/2026</t>
        </is>
      </c>
      <c r="C735" s="8" t="inlineStr">
        <is>
          <t>107506</t>
        </is>
      </c>
      <c r="D735" s="8" t="inlineStr">
        <is>
          <t>GRAVAMEN LEY 25413 S/DEB</t>
        </is>
      </c>
      <c r="E735" s="9" t="n">
        <v>1.2</v>
      </c>
      <c r="F735" s="8" t="inlineStr">
        <is>
          <t>Pendiente visible en hojas Banco no Flexxus</t>
        </is>
      </c>
      <c r="G735" s="8" t="inlineStr"/>
    </row>
    <row r="736">
      <c r="A736" s="8" t="inlineStr">
        <is>
          <t>Banco</t>
        </is>
      </c>
      <c r="B736" s="8" t="inlineStr">
        <is>
          <t>20/04/2026</t>
        </is>
      </c>
      <c r="C736" s="8" t="inlineStr">
        <is>
          <t>107505</t>
        </is>
      </c>
      <c r="D736" s="8" t="inlineStr">
        <is>
          <t>GRAVAMEN LEY 25413 S/DEB</t>
        </is>
      </c>
      <c r="E736" s="9" t="n">
        <v>5.74</v>
      </c>
      <c r="F736" s="8" t="inlineStr">
        <is>
          <t>Pendiente visible en hojas Banco no Flexxus</t>
        </is>
      </c>
      <c r="G736" s="8" t="inlineStr"/>
    </row>
    <row r="737">
      <c r="A737" s="8" t="inlineStr">
        <is>
          <t>Banco</t>
        </is>
      </c>
      <c r="B737" s="8" t="inlineStr">
        <is>
          <t>20/04/2026</t>
        </is>
      </c>
      <c r="C737" s="8" t="inlineStr">
        <is>
          <t>107504</t>
        </is>
      </c>
      <c r="D737" s="8" t="inlineStr">
        <is>
          <t>INGRESOS BRUTOS MENDOZA</t>
        </is>
      </c>
      <c r="E737" s="9" t="n">
        <v>113.89</v>
      </c>
      <c r="F737" s="8" t="inlineStr">
        <is>
          <t>Pendiente visible en hojas Banco no Flexxus</t>
        </is>
      </c>
      <c r="G737" s="8" t="inlineStr"/>
    </row>
    <row r="738">
      <c r="A738" s="8" t="inlineStr">
        <is>
          <t>Banco</t>
        </is>
      </c>
      <c r="B738" s="8" t="inlineStr">
        <is>
          <t>20/04/2026</t>
        </is>
      </c>
      <c r="C738" s="8" t="inlineStr">
        <is>
          <t>107504</t>
        </is>
      </c>
      <c r="D738" s="8" t="inlineStr">
        <is>
          <t>GRAVAMEN LEY 25413 S/CRED</t>
        </is>
      </c>
      <c r="E738" s="9" t="n">
        <v>68.33</v>
      </c>
      <c r="F738" s="8" t="inlineStr">
        <is>
          <t>Pendiente visible en hojas Banco no Flexxus</t>
        </is>
      </c>
      <c r="G738" s="8" t="inlineStr"/>
    </row>
    <row r="739">
      <c r="A739" s="8" t="inlineStr">
        <is>
          <t>Banco</t>
        </is>
      </c>
      <c r="B739" s="8" t="inlineStr">
        <is>
          <t>20/04/2026</t>
        </is>
      </c>
      <c r="C739" s="8" t="inlineStr">
        <is>
          <t>107503</t>
        </is>
      </c>
      <c r="D739" s="8" t="inlineStr">
        <is>
          <t>INGRESOS BRUTOS MENDOZA</t>
        </is>
      </c>
      <c r="E739" s="9" t="n">
        <v>361.47</v>
      </c>
      <c r="F739" s="8" t="inlineStr">
        <is>
          <t>Pendiente visible en hojas Banco no Flexxus</t>
        </is>
      </c>
      <c r="G739" s="8" t="inlineStr"/>
    </row>
    <row r="740">
      <c r="A740" s="8" t="inlineStr">
        <is>
          <t>Banco</t>
        </is>
      </c>
      <c r="B740" s="8" t="inlineStr">
        <is>
          <t>20/04/2026</t>
        </is>
      </c>
      <c r="C740" s="8" t="inlineStr">
        <is>
          <t>107503</t>
        </is>
      </c>
      <c r="D740" s="8" t="inlineStr">
        <is>
          <t>GRAVAMEN LEY 25413 S/CRED</t>
        </is>
      </c>
      <c r="E740" s="9" t="n">
        <v>216.88</v>
      </c>
      <c r="F740" s="8" t="inlineStr">
        <is>
          <t>Pendiente visible en hojas Banco no Flexxus</t>
        </is>
      </c>
      <c r="G740" s="8" t="inlineStr"/>
    </row>
    <row r="741">
      <c r="A741" s="8" t="inlineStr">
        <is>
          <t>Banco</t>
        </is>
      </c>
      <c r="B741" s="8" t="inlineStr">
        <is>
          <t>20/04/2026</t>
        </is>
      </c>
      <c r="C741" s="8" t="inlineStr">
        <is>
          <t>107502</t>
        </is>
      </c>
      <c r="D741" s="8" t="inlineStr">
        <is>
          <t>INGRESOS BRUTOS MENDOZA</t>
        </is>
      </c>
      <c r="E741" s="9" t="n">
        <v>210.94</v>
      </c>
      <c r="F741" s="8" t="inlineStr">
        <is>
          <t>Pendiente visible en hojas Banco no Flexxus</t>
        </is>
      </c>
      <c r="G741" s="8" t="inlineStr"/>
    </row>
    <row r="742">
      <c r="A742" s="8" t="inlineStr">
        <is>
          <t>Banco</t>
        </is>
      </c>
      <c r="B742" s="8" t="inlineStr">
        <is>
          <t>20/04/2026</t>
        </is>
      </c>
      <c r="C742" s="8" t="inlineStr">
        <is>
          <t>107502</t>
        </is>
      </c>
      <c r="D742" s="8" t="inlineStr">
        <is>
          <t>GRAVAMEN LEY 25413 S/CRED</t>
        </is>
      </c>
      <c r="E742" s="9" t="n">
        <v>126.56</v>
      </c>
      <c r="F742" s="8" t="inlineStr">
        <is>
          <t>Pendiente visible en hojas Banco no Flexxus</t>
        </is>
      </c>
      <c r="G742" s="8" t="inlineStr"/>
    </row>
    <row r="743">
      <c r="A743" s="8" t="inlineStr">
        <is>
          <t>Banco</t>
        </is>
      </c>
      <c r="B743" s="8" t="inlineStr">
        <is>
          <t>20/04/2026</t>
        </is>
      </c>
      <c r="C743" s="8" t="inlineStr">
        <is>
          <t>32032899</t>
        </is>
      </c>
      <c r="D743" s="8" t="inlineStr">
        <is>
          <t>INGRESOS BRUTOS MENDOZA</t>
        </is>
      </c>
      <c r="E743" s="9" t="n">
        <v>1553.97</v>
      </c>
      <c r="F743" s="8" t="inlineStr">
        <is>
          <t>Pendiente visible en hojas Banco no Flexxus</t>
        </is>
      </c>
      <c r="G743" s="8" t="inlineStr"/>
    </row>
    <row r="744">
      <c r="A744" s="8" t="inlineStr">
        <is>
          <t>Banco</t>
        </is>
      </c>
      <c r="B744" s="8" t="inlineStr">
        <is>
          <t>20/04/2026</t>
        </is>
      </c>
      <c r="C744" s="8" t="inlineStr">
        <is>
          <t>32032899</t>
        </is>
      </c>
      <c r="D744" s="8" t="inlineStr">
        <is>
          <t>GRAVAMEN LEY 25413 S/CRED</t>
        </is>
      </c>
      <c r="E744" s="9" t="n">
        <v>932.38</v>
      </c>
      <c r="F744" s="8" t="inlineStr">
        <is>
          <t>Pendiente visible en hojas Banco no Flexxus</t>
        </is>
      </c>
      <c r="G744" s="8" t="inlineStr"/>
    </row>
    <row r="745">
      <c r="A745" s="8" t="inlineStr">
        <is>
          <t>Banco</t>
        </is>
      </c>
      <c r="B745" s="8" t="inlineStr">
        <is>
          <t>20/04/2026</t>
        </is>
      </c>
      <c r="C745" s="8" t="inlineStr">
        <is>
          <t>31995644</t>
        </is>
      </c>
      <c r="D745" s="8" t="inlineStr">
        <is>
          <t>INGRESOS BRUTOS MENDOZA</t>
        </is>
      </c>
      <c r="E745" s="9" t="n">
        <v>5934.49</v>
      </c>
      <c r="F745" s="8" t="inlineStr">
        <is>
          <t>Pendiente visible en hojas Banco no Flexxus</t>
        </is>
      </c>
      <c r="G745" s="8" t="inlineStr"/>
    </row>
    <row r="746">
      <c r="A746" s="8" t="inlineStr">
        <is>
          <t>Banco</t>
        </is>
      </c>
      <c r="B746" s="8" t="inlineStr">
        <is>
          <t>20/04/2026</t>
        </is>
      </c>
      <c r="C746" s="8" t="inlineStr">
        <is>
          <t>31995644</t>
        </is>
      </c>
      <c r="D746" s="8" t="inlineStr">
        <is>
          <t>GRAVAMEN LEY 25413 S/CRED</t>
        </is>
      </c>
      <c r="E746" s="9" t="n">
        <v>3560.69</v>
      </c>
      <c r="F746" s="8" t="inlineStr">
        <is>
          <t>Pendiente visible en hojas Banco no Flexxus</t>
        </is>
      </c>
      <c r="G746" s="8" t="inlineStr"/>
    </row>
    <row r="747">
      <c r="A747" s="8" t="inlineStr">
        <is>
          <t>Banco</t>
        </is>
      </c>
      <c r="B747" s="8" t="inlineStr">
        <is>
          <t>20/04/2026</t>
        </is>
      </c>
      <c r="C747" s="8" t="inlineStr">
        <is>
          <t>29841705</t>
        </is>
      </c>
      <c r="D747" s="8" t="inlineStr">
        <is>
          <t>INGRESOS BRUTOS MENDOZA</t>
        </is>
      </c>
      <c r="E747" s="9" t="n">
        <v>1037.3</v>
      </c>
      <c r="F747" s="8" t="inlineStr">
        <is>
          <t>Pendiente visible en hojas Banco no Flexxus</t>
        </is>
      </c>
      <c r="G747" s="8" t="inlineStr"/>
    </row>
    <row r="748">
      <c r="A748" s="8" t="inlineStr">
        <is>
          <t>Banco</t>
        </is>
      </c>
      <c r="B748" s="8" t="inlineStr">
        <is>
          <t>20/04/2026</t>
        </is>
      </c>
      <c r="C748" s="8" t="inlineStr">
        <is>
          <t>29841705</t>
        </is>
      </c>
      <c r="D748" s="8" t="inlineStr">
        <is>
          <t>GRAVAMEN LEY 25413 S/CRED</t>
        </is>
      </c>
      <c r="E748" s="9" t="n">
        <v>622.38</v>
      </c>
      <c r="F748" s="8" t="inlineStr">
        <is>
          <t>Pendiente visible en hojas Banco no Flexxus</t>
        </is>
      </c>
      <c r="G748" s="8" t="inlineStr"/>
    </row>
    <row r="749">
      <c r="A749" s="8" t="inlineStr">
        <is>
          <t>Banco</t>
        </is>
      </c>
      <c r="B749" s="8" t="inlineStr">
        <is>
          <t>20/04/2026</t>
        </is>
      </c>
      <c r="C749" s="8" t="inlineStr">
        <is>
          <t>29841683</t>
        </is>
      </c>
      <c r="D749" s="8" t="inlineStr">
        <is>
          <t>INGRESOS BRUTOS MENDOZA</t>
        </is>
      </c>
      <c r="E749" s="9" t="n">
        <v>3012.18</v>
      </c>
      <c r="F749" s="8" t="inlineStr">
        <is>
          <t>Pendiente visible en hojas Banco no Flexxus</t>
        </is>
      </c>
      <c r="G749" s="8" t="inlineStr"/>
    </row>
    <row r="750">
      <c r="A750" s="8" t="inlineStr">
        <is>
          <t>Banco</t>
        </is>
      </c>
      <c r="B750" s="8" t="inlineStr">
        <is>
          <t>20/04/2026</t>
        </is>
      </c>
      <c r="C750" s="8" t="inlineStr">
        <is>
          <t>29841683</t>
        </is>
      </c>
      <c r="D750" s="8" t="inlineStr">
        <is>
          <t>GRAVAMEN LEY 25413 S/CRED</t>
        </is>
      </c>
      <c r="E750" s="9" t="n">
        <v>1807.31</v>
      </c>
      <c r="F750" s="8" t="inlineStr">
        <is>
          <t>Pendiente visible en hojas Banco no Flexxus</t>
        </is>
      </c>
      <c r="G750" s="8" t="inlineStr"/>
    </row>
    <row r="751">
      <c r="A751" s="8" t="inlineStr">
        <is>
          <t>Banco</t>
        </is>
      </c>
      <c r="B751" s="8" t="inlineStr">
        <is>
          <t>20/04/2026</t>
        </is>
      </c>
      <c r="C751" s="8" t="inlineStr">
        <is>
          <t>29841670</t>
        </is>
      </c>
      <c r="D751" s="8" t="inlineStr">
        <is>
          <t>INGRESOS BRUTOS MENDOZA</t>
        </is>
      </c>
      <c r="E751" s="9" t="n">
        <v>987.9</v>
      </c>
      <c r="F751" s="8" t="inlineStr">
        <is>
          <t>Pendiente visible en hojas Banco no Flexxus</t>
        </is>
      </c>
      <c r="G751" s="8" t="inlineStr"/>
    </row>
    <row r="752">
      <c r="A752" s="8" t="inlineStr">
        <is>
          <t>Banco</t>
        </is>
      </c>
      <c r="B752" s="8" t="inlineStr">
        <is>
          <t>20/04/2026</t>
        </is>
      </c>
      <c r="C752" s="8" t="inlineStr">
        <is>
          <t>29841670</t>
        </is>
      </c>
      <c r="D752" s="8" t="inlineStr">
        <is>
          <t>GRAVAMEN LEY 25413 S/CRED</t>
        </is>
      </c>
      <c r="E752" s="9" t="n">
        <v>592.74</v>
      </c>
      <c r="F752" s="8" t="inlineStr">
        <is>
          <t>Pendiente visible en hojas Banco no Flexxus</t>
        </is>
      </c>
      <c r="G752" s="8" t="inlineStr"/>
    </row>
    <row r="753">
      <c r="A753" s="8" t="inlineStr">
        <is>
          <t>Banco</t>
        </is>
      </c>
      <c r="B753" s="8" t="inlineStr">
        <is>
          <t>20/04/2026</t>
        </is>
      </c>
      <c r="C753" s="8" t="inlineStr">
        <is>
          <t>29841642</t>
        </is>
      </c>
      <c r="D753" s="8" t="inlineStr">
        <is>
          <t>INGRESOS BRUTOS MENDOZA</t>
        </is>
      </c>
      <c r="E753" s="9" t="n">
        <v>496.81</v>
      </c>
      <c r="F753" s="8" t="inlineStr">
        <is>
          <t>Pendiente visible en hojas Banco no Flexxus</t>
        </is>
      </c>
      <c r="G753" s="8" t="inlineStr"/>
    </row>
    <row r="754">
      <c r="A754" s="8" t="inlineStr">
        <is>
          <t>Banco</t>
        </is>
      </c>
      <c r="B754" s="8" t="inlineStr">
        <is>
          <t>20/04/2026</t>
        </is>
      </c>
      <c r="C754" s="8" t="inlineStr">
        <is>
          <t>29841642</t>
        </is>
      </c>
      <c r="D754" s="8" t="inlineStr">
        <is>
          <t>GRAVAMEN LEY 25413 S/CRED</t>
        </is>
      </c>
      <c r="E754" s="9" t="n">
        <v>298.09</v>
      </c>
      <c r="F754" s="8" t="inlineStr">
        <is>
          <t>Pendiente visible en hojas Banco no Flexxus</t>
        </is>
      </c>
      <c r="G754" s="8" t="inlineStr"/>
    </row>
    <row r="755">
      <c r="A755" s="8" t="inlineStr">
        <is>
          <t>Banco</t>
        </is>
      </c>
      <c r="B755" s="8" t="inlineStr">
        <is>
          <t>20/04/2026</t>
        </is>
      </c>
      <c r="C755" s="8" t="inlineStr">
        <is>
          <t>29841627</t>
        </is>
      </c>
      <c r="D755" s="8" t="inlineStr">
        <is>
          <t>INGRESOS BRUTOS MENDOZA</t>
        </is>
      </c>
      <c r="E755" s="9" t="n">
        <v>113.61</v>
      </c>
      <c r="F755" s="8" t="inlineStr">
        <is>
          <t>Pendiente visible en hojas Banco no Flexxus</t>
        </is>
      </c>
      <c r="G755" s="8" t="inlineStr"/>
    </row>
    <row r="756">
      <c r="A756" s="8" t="inlineStr">
        <is>
          <t>Banco</t>
        </is>
      </c>
      <c r="B756" s="8" t="inlineStr">
        <is>
          <t>20/04/2026</t>
        </is>
      </c>
      <c r="C756" s="8" t="inlineStr">
        <is>
          <t>29841627</t>
        </is>
      </c>
      <c r="D756" s="8" t="inlineStr">
        <is>
          <t>GRAVAMEN LEY 25413 S/CRED</t>
        </is>
      </c>
      <c r="E756" s="9" t="n">
        <v>68.17</v>
      </c>
      <c r="F756" s="8" t="inlineStr">
        <is>
          <t>Pendiente visible en hojas Banco no Flexxus</t>
        </is>
      </c>
      <c r="G756" s="8" t="inlineStr"/>
    </row>
    <row r="757">
      <c r="A757" s="8" t="inlineStr">
        <is>
          <t>Banco</t>
        </is>
      </c>
      <c r="B757" s="8" t="inlineStr">
        <is>
          <t>20/04/2026</t>
        </is>
      </c>
      <c r="C757" s="8" t="inlineStr">
        <is>
          <t>32032899</t>
        </is>
      </c>
      <c r="D757" s="8" t="inlineStr">
        <is>
          <t>INGRESOS BRUTOS MENDOZA</t>
        </is>
      </c>
      <c r="E757" s="9" t="n">
        <v>341.22</v>
      </c>
      <c r="F757" s="8" t="inlineStr">
        <is>
          <t>Pendiente visible en hojas Banco no Flexxus</t>
        </is>
      </c>
      <c r="G757" s="8" t="inlineStr"/>
    </row>
    <row r="758">
      <c r="A758" s="8" t="inlineStr">
        <is>
          <t>Banco</t>
        </is>
      </c>
      <c r="B758" s="8" t="inlineStr">
        <is>
          <t>20/04/2026</t>
        </is>
      </c>
      <c r="C758" s="8" t="inlineStr">
        <is>
          <t>32032899</t>
        </is>
      </c>
      <c r="D758" s="8" t="inlineStr">
        <is>
          <t>GRAVAMEN LEY 25413 S/CRED</t>
        </is>
      </c>
      <c r="E758" s="9" t="n">
        <v>204.73</v>
      </c>
      <c r="F758" s="8" t="inlineStr">
        <is>
          <t>Pendiente visible en hojas Banco no Flexxus</t>
        </is>
      </c>
      <c r="G758" s="8" t="inlineStr"/>
    </row>
    <row r="759">
      <c r="A759" s="8" t="inlineStr">
        <is>
          <t>Banco</t>
        </is>
      </c>
      <c r="B759" s="8" t="inlineStr">
        <is>
          <t>20/04/2026</t>
        </is>
      </c>
      <c r="C759" s="8" t="inlineStr">
        <is>
          <t>31995644</t>
        </is>
      </c>
      <c r="D759" s="8" t="inlineStr">
        <is>
          <t>INGRESOS BRUTOS MENDOZA</t>
        </is>
      </c>
      <c r="E759" s="9" t="n">
        <v>4051.14</v>
      </c>
      <c r="F759" s="8" t="inlineStr">
        <is>
          <t>Pendiente visible en hojas Banco no Flexxus</t>
        </is>
      </c>
      <c r="G759" s="8" t="inlineStr"/>
    </row>
    <row r="760">
      <c r="A760" s="8" t="inlineStr">
        <is>
          <t>Banco</t>
        </is>
      </c>
      <c r="B760" s="8" t="inlineStr">
        <is>
          <t>20/04/2026</t>
        </is>
      </c>
      <c r="C760" s="8" t="inlineStr">
        <is>
          <t>31995644</t>
        </is>
      </c>
      <c r="D760" s="8" t="inlineStr">
        <is>
          <t>GRAVAMEN LEY 25413 S/CRED</t>
        </is>
      </c>
      <c r="E760" s="9" t="n">
        <v>2430.68</v>
      </c>
      <c r="F760" s="8" t="inlineStr">
        <is>
          <t>Pendiente visible en hojas Banco no Flexxus</t>
        </is>
      </c>
      <c r="G760" s="8" t="inlineStr"/>
    </row>
    <row r="761">
      <c r="A761" s="8" t="inlineStr">
        <is>
          <t>Banco</t>
        </is>
      </c>
      <c r="B761" s="8" t="inlineStr">
        <is>
          <t>20/04/2026</t>
        </is>
      </c>
      <c r="C761" s="8" t="inlineStr">
        <is>
          <t>29841627</t>
        </is>
      </c>
      <c r="D761" s="8" t="inlineStr">
        <is>
          <t>INGRESOS BRUTOS MENDOZA</t>
        </is>
      </c>
      <c r="E761" s="9" t="n">
        <v>123.49</v>
      </c>
      <c r="F761" s="8" t="inlineStr">
        <is>
          <t>Pendiente visible en hojas Banco no Flexxus</t>
        </is>
      </c>
      <c r="G761" s="8" t="inlineStr"/>
    </row>
    <row r="762">
      <c r="A762" s="8" t="inlineStr">
        <is>
          <t>Banco</t>
        </is>
      </c>
      <c r="B762" s="8" t="inlineStr">
        <is>
          <t>20/04/2026</t>
        </is>
      </c>
      <c r="C762" s="8" t="inlineStr">
        <is>
          <t>29841627</t>
        </is>
      </c>
      <c r="D762" s="8" t="inlineStr">
        <is>
          <t>GRAVAMEN LEY 25413 S/CRED</t>
        </is>
      </c>
      <c r="E762" s="9" t="n">
        <v>74.09</v>
      </c>
      <c r="F762" s="8" t="inlineStr">
        <is>
          <t>Pendiente visible en hojas Banco no Flexxus</t>
        </is>
      </c>
      <c r="G762" s="8" t="inlineStr"/>
    </row>
    <row r="763">
      <c r="A763" s="8" t="inlineStr">
        <is>
          <t>Banco</t>
        </is>
      </c>
      <c r="B763" s="8" t="inlineStr">
        <is>
          <t>20/04/2026</t>
        </is>
      </c>
      <c r="C763" s="8" t="inlineStr">
        <is>
          <t>32032899</t>
        </is>
      </c>
      <c r="D763" s="8" t="inlineStr">
        <is>
          <t>INGRESOS BRUTOS MENDOZA</t>
        </is>
      </c>
      <c r="E763" s="9" t="n">
        <v>358.03</v>
      </c>
      <c r="F763" s="8" t="inlineStr">
        <is>
          <t>Pendiente visible en hojas Banco no Flexxus</t>
        </is>
      </c>
      <c r="G763" s="8" t="inlineStr"/>
    </row>
    <row r="764">
      <c r="A764" s="8" t="inlineStr">
        <is>
          <t>Banco</t>
        </is>
      </c>
      <c r="B764" s="8" t="inlineStr">
        <is>
          <t>20/04/2026</t>
        </is>
      </c>
      <c r="C764" s="8" t="inlineStr">
        <is>
          <t>32032899</t>
        </is>
      </c>
      <c r="D764" s="8" t="inlineStr">
        <is>
          <t>GRAVAMEN LEY 25413 S/CRED</t>
        </is>
      </c>
      <c r="E764" s="9" t="n">
        <v>214.82</v>
      </c>
      <c r="F764" s="8" t="inlineStr">
        <is>
          <t>Pendiente visible en hojas Banco no Flexxus</t>
        </is>
      </c>
      <c r="G764" s="8" t="inlineStr"/>
    </row>
    <row r="765">
      <c r="A765" s="8" t="inlineStr">
        <is>
          <t>Banco</t>
        </is>
      </c>
      <c r="B765" s="8" t="inlineStr">
        <is>
          <t>20/04/2026</t>
        </is>
      </c>
      <c r="C765" s="8" t="inlineStr">
        <is>
          <t>107488</t>
        </is>
      </c>
      <c r="D765" s="8" t="inlineStr">
        <is>
          <t>INGRESOS BRUTOS MENDOZA</t>
        </is>
      </c>
      <c r="E765" s="9" t="n">
        <v>247.58</v>
      </c>
      <c r="F765" s="8" t="inlineStr">
        <is>
          <t>Pendiente visible en hojas Banco no Flexxus</t>
        </is>
      </c>
      <c r="G765" s="8" t="inlineStr"/>
    </row>
    <row r="766">
      <c r="A766" s="8" t="inlineStr">
        <is>
          <t>Banco</t>
        </is>
      </c>
      <c r="B766" s="8" t="inlineStr">
        <is>
          <t>20/04/2026</t>
        </is>
      </c>
      <c r="C766" s="8" t="inlineStr">
        <is>
          <t>107488</t>
        </is>
      </c>
      <c r="D766" s="8" t="inlineStr">
        <is>
          <t>GRAVAMEN LEY 25413 S/CRED</t>
        </is>
      </c>
      <c r="E766" s="9" t="n">
        <v>148.55</v>
      </c>
      <c r="F766" s="8" t="inlineStr">
        <is>
          <t>Pendiente visible en hojas Banco no Flexxus</t>
        </is>
      </c>
      <c r="G766" s="8" t="inlineStr"/>
    </row>
    <row r="767">
      <c r="A767" s="8" t="inlineStr">
        <is>
          <t>Banco</t>
        </is>
      </c>
      <c r="B767" s="8" t="inlineStr">
        <is>
          <t>20/04/2026</t>
        </is>
      </c>
      <c r="C767" s="8" t="inlineStr">
        <is>
          <t>31995644</t>
        </is>
      </c>
      <c r="D767" s="8" t="inlineStr">
        <is>
          <t>INGRESOS BRUTOS MENDOZA</t>
        </is>
      </c>
      <c r="E767" s="9" t="n">
        <v>6305.28</v>
      </c>
      <c r="F767" s="8" t="inlineStr">
        <is>
          <t>Pendiente visible en hojas Banco no Flexxus</t>
        </is>
      </c>
      <c r="G767" s="8" t="inlineStr"/>
    </row>
    <row r="768">
      <c r="A768" s="8" t="inlineStr">
        <is>
          <t>Banco</t>
        </is>
      </c>
      <c r="B768" s="8" t="inlineStr">
        <is>
          <t>20/04/2026</t>
        </is>
      </c>
      <c r="C768" s="8" t="inlineStr">
        <is>
          <t>31995644</t>
        </is>
      </c>
      <c r="D768" s="8" t="inlineStr">
        <is>
          <t>GRAVAMEN LEY 25413 S/CRED</t>
        </is>
      </c>
      <c r="E768" s="9" t="n">
        <v>3783.17</v>
      </c>
      <c r="F768" s="8" t="inlineStr">
        <is>
          <t>Pendiente visible en hojas Banco no Flexxus</t>
        </is>
      </c>
      <c r="G768" s="8" t="inlineStr"/>
    </row>
    <row r="769">
      <c r="A769" s="8" t="inlineStr">
        <is>
          <t>Banco</t>
        </is>
      </c>
      <c r="B769" s="8" t="inlineStr">
        <is>
          <t>20/04/2026</t>
        </is>
      </c>
      <c r="C769" s="8" t="inlineStr">
        <is>
          <t>32032899</t>
        </is>
      </c>
      <c r="D769" s="8" t="inlineStr">
        <is>
          <t>INGRESOS BRUTOS MENDOZA</t>
        </is>
      </c>
      <c r="E769" s="9" t="n">
        <v>1219.17</v>
      </c>
      <c r="F769" s="8" t="inlineStr">
        <is>
          <t>Pendiente visible en hojas Banco no Flexxus</t>
        </is>
      </c>
      <c r="G769" s="8" t="inlineStr"/>
    </row>
    <row r="770">
      <c r="A770" s="8" t="inlineStr">
        <is>
          <t>Banco</t>
        </is>
      </c>
      <c r="B770" s="8" t="inlineStr">
        <is>
          <t>20/04/2026</t>
        </is>
      </c>
      <c r="C770" s="8" t="inlineStr">
        <is>
          <t>32032899</t>
        </is>
      </c>
      <c r="D770" s="8" t="inlineStr">
        <is>
          <t>GRAVAMEN LEY 25413 S/CRED</t>
        </is>
      </c>
      <c r="E770" s="9" t="n">
        <v>731.5</v>
      </c>
      <c r="F770" s="8" t="inlineStr">
        <is>
          <t>Pendiente visible en hojas Banco no Flexxus</t>
        </is>
      </c>
      <c r="G770" s="8" t="inlineStr"/>
    </row>
    <row r="771">
      <c r="A771" s="8" t="inlineStr">
        <is>
          <t>Banco</t>
        </is>
      </c>
      <c r="B771" s="8" t="inlineStr">
        <is>
          <t>20/04/2026</t>
        </is>
      </c>
      <c r="C771" s="8" t="inlineStr">
        <is>
          <t>32032899</t>
        </is>
      </c>
      <c r="D771" s="8" t="inlineStr">
        <is>
          <t>INGRESOS BRUTOS MENDOZA</t>
        </is>
      </c>
      <c r="E771" s="9" t="n">
        <v>313.03</v>
      </c>
      <c r="F771" s="8" t="inlineStr">
        <is>
          <t>Pendiente visible en hojas Banco no Flexxus</t>
        </is>
      </c>
      <c r="G771" s="8" t="inlineStr"/>
    </row>
    <row r="772">
      <c r="A772" s="8" t="inlineStr">
        <is>
          <t>Banco</t>
        </is>
      </c>
      <c r="B772" s="8" t="inlineStr">
        <is>
          <t>20/04/2026</t>
        </is>
      </c>
      <c r="C772" s="8" t="inlineStr">
        <is>
          <t>32032899</t>
        </is>
      </c>
      <c r="D772" s="8" t="inlineStr">
        <is>
          <t>GRAVAMEN LEY 25413 S/CRED</t>
        </is>
      </c>
      <c r="E772" s="9" t="n">
        <v>187.82</v>
      </c>
      <c r="F772" s="8" t="inlineStr">
        <is>
          <t>Pendiente visible en hojas Banco no Flexxus</t>
        </is>
      </c>
      <c r="G772" s="8" t="inlineStr"/>
    </row>
    <row r="773">
      <c r="A773" s="8" t="inlineStr">
        <is>
          <t>Banco</t>
        </is>
      </c>
      <c r="B773" s="8" t="inlineStr">
        <is>
          <t>20/04/2026</t>
        </is>
      </c>
      <c r="C773" s="8" t="inlineStr">
        <is>
          <t>31995644</t>
        </is>
      </c>
      <c r="D773" s="8" t="inlineStr">
        <is>
          <t>INGRESOS BRUTOS MENDOZA</t>
        </is>
      </c>
      <c r="E773" s="9" t="n">
        <v>521.85</v>
      </c>
      <c r="F773" s="8" t="inlineStr">
        <is>
          <t>Pendiente visible en hojas Banco no Flexxus</t>
        </is>
      </c>
      <c r="G773" s="8" t="inlineStr"/>
    </row>
    <row r="774">
      <c r="A774" s="8" t="inlineStr">
        <is>
          <t>Banco</t>
        </is>
      </c>
      <c r="B774" s="8" t="inlineStr">
        <is>
          <t>20/04/2026</t>
        </is>
      </c>
      <c r="C774" s="8" t="inlineStr">
        <is>
          <t>31995644</t>
        </is>
      </c>
      <c r="D774" s="8" t="inlineStr">
        <is>
          <t>GRAVAMEN LEY 25413 S/CRED</t>
        </is>
      </c>
      <c r="E774" s="9" t="n">
        <v>313.11</v>
      </c>
      <c r="F774" s="8" t="inlineStr">
        <is>
          <t>Pendiente visible en hojas Banco no Flexxus</t>
        </is>
      </c>
      <c r="G774" s="8" t="inlineStr"/>
    </row>
    <row r="775">
      <c r="A775" s="8" t="inlineStr">
        <is>
          <t>Banco</t>
        </is>
      </c>
      <c r="B775" s="8" t="inlineStr">
        <is>
          <t>20/04/2026</t>
        </is>
      </c>
      <c r="C775" s="8" t="inlineStr">
        <is>
          <t>31995644</t>
        </is>
      </c>
      <c r="D775" s="8" t="inlineStr">
        <is>
          <t>INGRESOS BRUTOS MENDOZA</t>
        </is>
      </c>
      <c r="E775" s="9" t="n">
        <v>916.59</v>
      </c>
      <c r="F775" s="8" t="inlineStr">
        <is>
          <t>Pendiente visible en hojas Banco no Flexxus</t>
        </is>
      </c>
      <c r="G775" s="8" t="inlineStr"/>
    </row>
    <row r="776">
      <c r="A776" s="8" t="inlineStr">
        <is>
          <t>Banco</t>
        </is>
      </c>
      <c r="B776" s="8" t="inlineStr">
        <is>
          <t>20/04/2026</t>
        </is>
      </c>
      <c r="C776" s="8" t="inlineStr">
        <is>
          <t>31995644</t>
        </is>
      </c>
      <c r="D776" s="8" t="inlineStr">
        <is>
          <t>GRAVAMEN LEY 25413 S/CRED</t>
        </is>
      </c>
      <c r="E776" s="9" t="n">
        <v>549.96</v>
      </c>
      <c r="F776" s="8" t="inlineStr">
        <is>
          <t>Pendiente visible en hojas Banco no Flexxus</t>
        </is>
      </c>
      <c r="G776" s="8" t="inlineStr"/>
    </row>
    <row r="777">
      <c r="A777" s="8" t="inlineStr">
        <is>
          <t>Banco</t>
        </is>
      </c>
      <c r="B777" s="8" t="inlineStr">
        <is>
          <t>20/04/2026</t>
        </is>
      </c>
      <c r="C777" s="8" t="inlineStr">
        <is>
          <t>4018025</t>
        </is>
      </c>
      <c r="D777" s="8" t="inlineStr">
        <is>
          <t>INGRESOS BRUTOS MENDOZA</t>
        </is>
      </c>
      <c r="E777" s="9" t="n">
        <v>22532.11</v>
      </c>
      <c r="F777" s="8" t="inlineStr">
        <is>
          <t>Pendiente visible en hojas Banco no Flexxus</t>
        </is>
      </c>
      <c r="G777" s="8" t="inlineStr"/>
    </row>
    <row r="778">
      <c r="A778" s="8" t="inlineStr">
        <is>
          <t>Banco</t>
        </is>
      </c>
      <c r="B778" s="8" t="inlineStr">
        <is>
          <t>20/04/2026</t>
        </is>
      </c>
      <c r="C778" s="8" t="inlineStr">
        <is>
          <t>4018025</t>
        </is>
      </c>
      <c r="D778" s="8" t="inlineStr">
        <is>
          <t>GRAVAMEN LEY 25413 S/CRED</t>
        </is>
      </c>
      <c r="E778" s="9" t="n">
        <v>13519.26</v>
      </c>
      <c r="F778" s="8" t="inlineStr">
        <is>
          <t>Pendiente visible en hojas Banco no Flexxus</t>
        </is>
      </c>
      <c r="G778" s="8" t="inlineStr"/>
    </row>
    <row r="779">
      <c r="A779" s="8" t="inlineStr">
        <is>
          <t>Banco</t>
        </is>
      </c>
      <c r="B779" s="8" t="inlineStr">
        <is>
          <t>20/04/2026</t>
        </is>
      </c>
      <c r="C779" s="8" t="inlineStr">
        <is>
          <t>29841683</t>
        </is>
      </c>
      <c r="D779" s="8" t="inlineStr">
        <is>
          <t>INGRESOS BRUTOS MENDOZA</t>
        </is>
      </c>
      <c r="E779" s="9" t="n">
        <v>316.94</v>
      </c>
      <c r="F779" s="8" t="inlineStr">
        <is>
          <t>Pendiente visible en hojas Banco no Flexxus</t>
        </is>
      </c>
      <c r="G779" s="8" t="inlineStr"/>
    </row>
    <row r="780">
      <c r="A780" s="8" t="inlineStr">
        <is>
          <t>Banco</t>
        </is>
      </c>
      <c r="B780" s="8" t="inlineStr">
        <is>
          <t>20/04/2026</t>
        </is>
      </c>
      <c r="C780" s="8" t="inlineStr">
        <is>
          <t>29841683</t>
        </is>
      </c>
      <c r="D780" s="8" t="inlineStr">
        <is>
          <t>GRAVAMEN LEY 25413 S/CRED</t>
        </is>
      </c>
      <c r="E780" s="9" t="n">
        <v>190.17</v>
      </c>
      <c r="F780" s="8" t="inlineStr">
        <is>
          <t>Pendiente visible en hojas Banco no Flexxus</t>
        </is>
      </c>
      <c r="G780" s="8" t="inlineStr"/>
    </row>
    <row r="781">
      <c r="A781" s="8" t="inlineStr">
        <is>
          <t>Banco</t>
        </is>
      </c>
      <c r="B781" s="8" t="inlineStr">
        <is>
          <t>20/04/2026</t>
        </is>
      </c>
      <c r="C781" s="8" t="inlineStr">
        <is>
          <t>29841670</t>
        </is>
      </c>
      <c r="D781" s="8" t="inlineStr">
        <is>
          <t>INGRESOS BRUTOS MENDOZA</t>
        </is>
      </c>
      <c r="E781" s="9" t="n">
        <v>82.17</v>
      </c>
      <c r="F781" s="8" t="inlineStr">
        <is>
          <t>Pendiente visible en hojas Banco no Flexxus</t>
        </is>
      </c>
      <c r="G781" s="8" t="inlineStr"/>
    </row>
    <row r="782">
      <c r="A782" s="8" t="inlineStr">
        <is>
          <t>Banco</t>
        </is>
      </c>
      <c r="B782" s="8" t="inlineStr">
        <is>
          <t>20/04/2026</t>
        </is>
      </c>
      <c r="C782" s="8" t="inlineStr">
        <is>
          <t>29841670</t>
        </is>
      </c>
      <c r="D782" s="8" t="inlineStr">
        <is>
          <t>GRAVAMEN LEY 25413 S/CRED</t>
        </is>
      </c>
      <c r="E782" s="9" t="n">
        <v>49.3</v>
      </c>
      <c r="F782" s="8" t="inlineStr">
        <is>
          <t>Pendiente visible en hojas Banco no Flexxus</t>
        </is>
      </c>
      <c r="G782" s="8" t="inlineStr"/>
    </row>
    <row r="783">
      <c r="A783" s="8" t="inlineStr">
        <is>
          <t>Banco</t>
        </is>
      </c>
      <c r="B783" s="8" t="inlineStr">
        <is>
          <t>20/04/2026</t>
        </is>
      </c>
      <c r="C783" s="8" t="inlineStr">
        <is>
          <t>29841642</t>
        </is>
      </c>
      <c r="D783" s="8" t="inlineStr">
        <is>
          <t>INGRESOS BRUTOS MENDOZA</t>
        </is>
      </c>
      <c r="E783" s="9" t="n">
        <v>141.84</v>
      </c>
      <c r="F783" s="8" t="inlineStr">
        <is>
          <t>Pendiente visible en hojas Banco no Flexxus</t>
        </is>
      </c>
      <c r="G783" s="8" t="inlineStr"/>
    </row>
    <row r="784">
      <c r="A784" s="8" t="inlineStr">
        <is>
          <t>Banco</t>
        </is>
      </c>
      <c r="B784" s="8" t="inlineStr">
        <is>
          <t>20/04/2026</t>
        </is>
      </c>
      <c r="C784" s="8" t="inlineStr">
        <is>
          <t>29841642</t>
        </is>
      </c>
      <c r="D784" s="8" t="inlineStr">
        <is>
          <t>GRAVAMEN LEY 25413 S/CRED</t>
        </is>
      </c>
      <c r="E784" s="9" t="n">
        <v>85.11</v>
      </c>
      <c r="F784" s="8" t="inlineStr">
        <is>
          <t>Pendiente visible en hojas Banco no Flexxus</t>
        </is>
      </c>
      <c r="G784" s="8" t="inlineStr"/>
    </row>
    <row r="785">
      <c r="A785" s="8" t="inlineStr">
        <is>
          <t>Banco</t>
        </is>
      </c>
      <c r="B785" s="8" t="inlineStr">
        <is>
          <t>20/04/2026</t>
        </is>
      </c>
      <c r="C785" s="8" t="inlineStr">
        <is>
          <t>32032899</t>
        </is>
      </c>
      <c r="D785" s="8" t="inlineStr">
        <is>
          <t>INGRESOS BRUTOS MENDOZA</t>
        </is>
      </c>
      <c r="E785" s="9" t="n">
        <v>954.74</v>
      </c>
      <c r="F785" s="8" t="inlineStr">
        <is>
          <t>Pendiente visible en hojas Banco no Flexxus</t>
        </is>
      </c>
      <c r="G785" s="8" t="inlineStr"/>
    </row>
    <row r="786">
      <c r="A786" s="8" t="inlineStr">
        <is>
          <t>Banco</t>
        </is>
      </c>
      <c r="B786" s="8" t="inlineStr">
        <is>
          <t>20/04/2026</t>
        </is>
      </c>
      <c r="C786" s="8" t="inlineStr">
        <is>
          <t>32032899</t>
        </is>
      </c>
      <c r="D786" s="8" t="inlineStr">
        <is>
          <t>GRAVAMEN LEY 25413 S/CRED</t>
        </is>
      </c>
      <c r="E786" s="9" t="n">
        <v>572.85</v>
      </c>
      <c r="F786" s="8" t="inlineStr">
        <is>
          <t>Pendiente visible en hojas Banco no Flexxus</t>
        </is>
      </c>
      <c r="G786" s="8" t="inlineStr"/>
    </row>
    <row r="787">
      <c r="A787" s="8" t="inlineStr">
        <is>
          <t>Banco</t>
        </is>
      </c>
      <c r="B787" s="8" t="inlineStr">
        <is>
          <t>20/04/2026</t>
        </is>
      </c>
      <c r="C787" s="8" t="inlineStr">
        <is>
          <t>31995644</t>
        </is>
      </c>
      <c r="D787" s="8" t="inlineStr">
        <is>
          <t>INGRESOS BRUTOS MENDOZA</t>
        </is>
      </c>
      <c r="E787" s="9" t="n">
        <v>521.85</v>
      </c>
      <c r="F787" s="8" t="inlineStr">
        <is>
          <t>Pendiente visible en hojas Banco no Flexxus</t>
        </is>
      </c>
      <c r="G787" s="8" t="inlineStr"/>
    </row>
    <row r="788">
      <c r="A788" s="8" t="inlineStr">
        <is>
          <t>Banco</t>
        </is>
      </c>
      <c r="B788" s="8" t="inlineStr">
        <is>
          <t>20/04/2026</t>
        </is>
      </c>
      <c r="C788" s="8" t="inlineStr">
        <is>
          <t>31995644</t>
        </is>
      </c>
      <c r="D788" s="8" t="inlineStr">
        <is>
          <t>GRAVAMEN LEY 25413 S/CRED</t>
        </is>
      </c>
      <c r="E788" s="9" t="n">
        <v>313.11</v>
      </c>
      <c r="F788" s="8" t="inlineStr">
        <is>
          <t>Pendiente visible en hojas Banco no Flexxus</t>
        </is>
      </c>
      <c r="G788" s="8" t="inlineStr"/>
    </row>
    <row r="789">
      <c r="A789" s="8" t="inlineStr">
        <is>
          <t>Banco</t>
        </is>
      </c>
      <c r="B789" s="8" t="inlineStr">
        <is>
          <t>20/04/2026</t>
        </is>
      </c>
      <c r="C789" s="8" t="inlineStr">
        <is>
          <t>31995644</t>
        </is>
      </c>
      <c r="D789" s="8" t="inlineStr">
        <is>
          <t>INGRESOS BRUTOS MENDOZA</t>
        </is>
      </c>
      <c r="E789" s="9" t="n">
        <v>3161.82</v>
      </c>
      <c r="F789" s="8" t="inlineStr">
        <is>
          <t>Pendiente visible en hojas Banco no Flexxus</t>
        </is>
      </c>
      <c r="G789" s="8" t="inlineStr"/>
    </row>
    <row r="790">
      <c r="A790" s="8" t="inlineStr">
        <is>
          <t>Banco</t>
        </is>
      </c>
      <c r="B790" s="8" t="inlineStr">
        <is>
          <t>20/04/2026</t>
        </is>
      </c>
      <c r="C790" s="8" t="inlineStr">
        <is>
          <t>31995644</t>
        </is>
      </c>
      <c r="D790" s="8" t="inlineStr">
        <is>
          <t>GRAVAMEN LEY 25413 S/CRED</t>
        </is>
      </c>
      <c r="E790" s="9" t="n">
        <v>1897.09</v>
      </c>
      <c r="F790" s="8" t="inlineStr">
        <is>
          <t>Pendiente visible en hojas Banco no Flexxus</t>
        </is>
      </c>
      <c r="G790" s="8" t="inlineStr"/>
    </row>
    <row r="791">
      <c r="A791" s="8" t="inlineStr">
        <is>
          <t>Banco</t>
        </is>
      </c>
      <c r="B791" s="8" t="inlineStr">
        <is>
          <t>20/04/2026</t>
        </is>
      </c>
      <c r="C791" s="8" t="inlineStr">
        <is>
          <t>29841705</t>
        </is>
      </c>
      <c r="D791" s="8" t="inlineStr">
        <is>
          <t>INGRESOS BRUTOS MENDOZA</t>
        </is>
      </c>
      <c r="E791" s="9" t="n">
        <v>352.16</v>
      </c>
      <c r="F791" s="8" t="inlineStr">
        <is>
          <t>Pendiente visible en hojas Banco no Flexxus</t>
        </is>
      </c>
      <c r="G791" s="8" t="inlineStr"/>
    </row>
    <row r="792">
      <c r="A792" s="8" t="inlineStr">
        <is>
          <t>Banco</t>
        </is>
      </c>
      <c r="B792" s="8" t="inlineStr">
        <is>
          <t>20/04/2026</t>
        </is>
      </c>
      <c r="C792" s="8" t="inlineStr">
        <is>
          <t>29841705</t>
        </is>
      </c>
      <c r="D792" s="8" t="inlineStr">
        <is>
          <t>GRAVAMEN LEY 25413 S/CRED</t>
        </is>
      </c>
      <c r="E792" s="9" t="n">
        <v>211.3</v>
      </c>
      <c r="F792" s="8" t="inlineStr">
        <is>
          <t>Pendiente visible en hojas Banco no Flexxus</t>
        </is>
      </c>
      <c r="G792" s="8" t="inlineStr"/>
    </row>
    <row r="793">
      <c r="A793" s="8" t="inlineStr">
        <is>
          <t>Banco</t>
        </is>
      </c>
      <c r="B793" s="8" t="inlineStr">
        <is>
          <t>20/04/2026</t>
        </is>
      </c>
      <c r="C793" s="8" t="inlineStr">
        <is>
          <t>29841683</t>
        </is>
      </c>
      <c r="D793" s="8" t="inlineStr">
        <is>
          <t>INGRESOS BRUTOS MENDOZA</t>
        </is>
      </c>
      <c r="E793" s="9" t="n">
        <v>328.68</v>
      </c>
      <c r="F793" s="8" t="inlineStr">
        <is>
          <t>Pendiente visible en hojas Banco no Flexxus</t>
        </is>
      </c>
      <c r="G793" s="8" t="inlineStr"/>
    </row>
    <row r="794">
      <c r="A794" s="8" t="inlineStr">
        <is>
          <t>Banco</t>
        </is>
      </c>
      <c r="B794" s="8" t="inlineStr">
        <is>
          <t>20/04/2026</t>
        </is>
      </c>
      <c r="C794" s="8" t="inlineStr">
        <is>
          <t>29841683</t>
        </is>
      </c>
      <c r="D794" s="8" t="inlineStr">
        <is>
          <t>GRAVAMEN LEY 25413 S/CRED</t>
        </is>
      </c>
      <c r="E794" s="9" t="n">
        <v>197.21</v>
      </c>
      <c r="F794" s="8" t="inlineStr">
        <is>
          <t>Pendiente visible en hojas Banco no Flexxus</t>
        </is>
      </c>
      <c r="G794" s="8" t="inlineStr"/>
    </row>
    <row r="795">
      <c r="A795" s="8" t="inlineStr">
        <is>
          <t>Banco</t>
        </is>
      </c>
      <c r="B795" s="8" t="inlineStr">
        <is>
          <t>20/04/2026</t>
        </is>
      </c>
      <c r="C795" s="8" t="inlineStr">
        <is>
          <t>107473</t>
        </is>
      </c>
      <c r="D795" s="8" t="inlineStr">
        <is>
          <t>INGRESOS BRUTOS MENDOZA</t>
        </is>
      </c>
      <c r="E795" s="9" t="n">
        <v>249.56</v>
      </c>
      <c r="F795" s="8" t="inlineStr">
        <is>
          <t>Pendiente visible en hojas Banco no Flexxus</t>
        </is>
      </c>
      <c r="G795" s="8" t="inlineStr"/>
    </row>
    <row r="796">
      <c r="A796" s="8" t="inlineStr">
        <is>
          <t>Banco</t>
        </is>
      </c>
      <c r="B796" s="8" t="inlineStr">
        <is>
          <t>20/04/2026</t>
        </is>
      </c>
      <c r="C796" s="8" t="inlineStr">
        <is>
          <t>107473</t>
        </is>
      </c>
      <c r="D796" s="8" t="inlineStr">
        <is>
          <t>GRAVAMEN LEY 25413 S/CRED</t>
        </is>
      </c>
      <c r="E796" s="9" t="n">
        <v>149.74</v>
      </c>
      <c r="F796" s="8" t="inlineStr">
        <is>
          <t>Pendiente visible en hojas Banco no Flexxus</t>
        </is>
      </c>
      <c r="G796" s="8" t="inlineStr"/>
    </row>
    <row r="797">
      <c r="A797" s="8" t="inlineStr">
        <is>
          <t>Banco</t>
        </is>
      </c>
      <c r="B797" s="8" t="inlineStr">
        <is>
          <t>20/04/2026</t>
        </is>
      </c>
      <c r="C797" s="8" t="inlineStr">
        <is>
          <t>107472</t>
        </is>
      </c>
      <c r="D797" s="8" t="inlineStr">
        <is>
          <t>INGRESOS BRUTOS MENDOZA</t>
        </is>
      </c>
      <c r="E797" s="9" t="n">
        <v>265.41</v>
      </c>
      <c r="F797" s="8" t="inlineStr">
        <is>
          <t>Pendiente visible en hojas Banco no Flexxus</t>
        </is>
      </c>
      <c r="G797" s="8" t="inlineStr"/>
    </row>
    <row r="798">
      <c r="A798" s="8" t="inlineStr">
        <is>
          <t>Banco</t>
        </is>
      </c>
      <c r="B798" s="8" t="inlineStr">
        <is>
          <t>20/04/2026</t>
        </is>
      </c>
      <c r="C798" s="8" t="inlineStr">
        <is>
          <t>107472</t>
        </is>
      </c>
      <c r="D798" s="8" t="inlineStr">
        <is>
          <t>GRAVAMEN LEY 25413 S/CRED</t>
        </is>
      </c>
      <c r="E798" s="9" t="n">
        <v>159.24</v>
      </c>
      <c r="F798" s="8" t="inlineStr">
        <is>
          <t>Pendiente visible en hojas Banco no Flexxus</t>
        </is>
      </c>
      <c r="G798" s="8" t="inlineStr"/>
    </row>
    <row r="799">
      <c r="A799" s="8" t="inlineStr">
        <is>
          <t>Banco</t>
        </is>
      </c>
      <c r="B799" s="8" t="inlineStr">
        <is>
          <t>20/04/2026</t>
        </is>
      </c>
      <c r="C799" s="8" t="inlineStr">
        <is>
          <t>107471</t>
        </is>
      </c>
      <c r="D799" s="8" t="inlineStr">
        <is>
          <t>INGRESOS BRUTOS MENDOZA</t>
        </is>
      </c>
      <c r="E799" s="9" t="n">
        <v>227.77</v>
      </c>
      <c r="F799" s="8" t="inlineStr">
        <is>
          <t>Pendiente visible en hojas Banco no Flexxus</t>
        </is>
      </c>
      <c r="G799" s="8" t="inlineStr"/>
    </row>
    <row r="800">
      <c r="A800" s="8" t="inlineStr">
        <is>
          <t>Banco</t>
        </is>
      </c>
      <c r="B800" s="8" t="inlineStr">
        <is>
          <t>20/04/2026</t>
        </is>
      </c>
      <c r="C800" s="8" t="inlineStr">
        <is>
          <t>107471</t>
        </is>
      </c>
      <c r="D800" s="8" t="inlineStr">
        <is>
          <t>GRAVAMEN LEY 25413 S/CRED</t>
        </is>
      </c>
      <c r="E800" s="9" t="n">
        <v>136.66</v>
      </c>
      <c r="F800" s="8" t="inlineStr">
        <is>
          <t>Pendiente visible en hojas Banco no Flexxus</t>
        </is>
      </c>
      <c r="G800" s="8" t="inlineStr"/>
    </row>
    <row r="801">
      <c r="A801" s="8" t="inlineStr">
        <is>
          <t>Banco</t>
        </is>
      </c>
      <c r="B801" s="8" t="inlineStr">
        <is>
          <t>20/04/2026</t>
        </is>
      </c>
      <c r="C801" s="8" t="inlineStr">
        <is>
          <t>107470</t>
        </is>
      </c>
      <c r="D801" s="8" t="inlineStr">
        <is>
          <t>INGRESOS BRUTOS MENDOZA</t>
        </is>
      </c>
      <c r="E801" s="9" t="n">
        <v>113.89</v>
      </c>
      <c r="F801" s="8" t="inlineStr">
        <is>
          <t>Pendiente visible en hojas Banco no Flexxus</t>
        </is>
      </c>
      <c r="G801" s="8" t="inlineStr"/>
    </row>
    <row r="802">
      <c r="A802" s="8" t="inlineStr">
        <is>
          <t>Banco</t>
        </is>
      </c>
      <c r="B802" s="8" t="inlineStr">
        <is>
          <t>20/04/2026</t>
        </is>
      </c>
      <c r="C802" s="8" t="inlineStr">
        <is>
          <t>107470</t>
        </is>
      </c>
      <c r="D802" s="8" t="inlineStr">
        <is>
          <t>GRAVAMEN LEY 25413 S/CRED</t>
        </is>
      </c>
      <c r="E802" s="9" t="n">
        <v>68.33</v>
      </c>
      <c r="F802" s="8" t="inlineStr">
        <is>
          <t>Pendiente visible en hojas Banco no Flexxus</t>
        </is>
      </c>
      <c r="G802" s="8" t="inlineStr"/>
    </row>
    <row r="803">
      <c r="A803" s="8" t="inlineStr">
        <is>
          <t>Banco</t>
        </is>
      </c>
      <c r="B803" s="8" t="inlineStr">
        <is>
          <t>20/04/2026</t>
        </is>
      </c>
      <c r="C803" s="8" t="inlineStr">
        <is>
          <t>107469</t>
        </is>
      </c>
      <c r="D803" s="8" t="inlineStr">
        <is>
          <t>INGRESOS BRUTOS MENDOZA</t>
        </is>
      </c>
      <c r="E803" s="9" t="n">
        <v>179.25</v>
      </c>
      <c r="F803" s="8" t="inlineStr">
        <is>
          <t>Pendiente visible en hojas Banco no Flexxus</t>
        </is>
      </c>
      <c r="G803" s="8" t="inlineStr"/>
    </row>
    <row r="804">
      <c r="A804" s="8" t="inlineStr">
        <is>
          <t>Banco</t>
        </is>
      </c>
      <c r="B804" s="8" t="inlineStr">
        <is>
          <t>20/04/2026</t>
        </is>
      </c>
      <c r="C804" s="8" t="inlineStr">
        <is>
          <t>107469</t>
        </is>
      </c>
      <c r="D804" s="8" t="inlineStr">
        <is>
          <t>GRAVAMEN LEY 25413 S/CRED</t>
        </is>
      </c>
      <c r="E804" s="9" t="n">
        <v>107.55</v>
      </c>
      <c r="F804" s="8" t="inlineStr">
        <is>
          <t>Pendiente visible en hojas Banco no Flexxus</t>
        </is>
      </c>
      <c r="G804" s="8" t="inlineStr"/>
    </row>
    <row r="805">
      <c r="A805" s="8" t="inlineStr">
        <is>
          <t>Banco</t>
        </is>
      </c>
      <c r="B805" s="8" t="inlineStr">
        <is>
          <t>20/04/2026</t>
        </is>
      </c>
      <c r="C805" s="8" t="inlineStr">
        <is>
          <t>107468</t>
        </is>
      </c>
      <c r="D805" s="8" t="inlineStr">
        <is>
          <t>INGRESOS BRUTOS MENDOZA</t>
        </is>
      </c>
      <c r="E805" s="9" t="n">
        <v>168.35</v>
      </c>
      <c r="F805" s="8" t="inlineStr">
        <is>
          <t>Pendiente visible en hojas Banco no Flexxus</t>
        </is>
      </c>
      <c r="G805" s="8" t="inlineStr"/>
    </row>
    <row r="806">
      <c r="A806" s="8" t="inlineStr">
        <is>
          <t>Banco</t>
        </is>
      </c>
      <c r="B806" s="8" t="inlineStr">
        <is>
          <t>20/04/2026</t>
        </is>
      </c>
      <c r="C806" s="8" t="inlineStr">
        <is>
          <t>107468</t>
        </is>
      </c>
      <c r="D806" s="8" t="inlineStr">
        <is>
          <t>GRAVAMEN LEY 25413 S/CRED</t>
        </is>
      </c>
      <c r="E806" s="9" t="n">
        <v>101.01</v>
      </c>
      <c r="F806" s="8" t="inlineStr">
        <is>
          <t>Pendiente visible en hojas Banco no Flexxus</t>
        </is>
      </c>
      <c r="G806" s="8" t="inlineStr"/>
    </row>
    <row r="807">
      <c r="A807" s="8" t="inlineStr">
        <is>
          <t>Banco</t>
        </is>
      </c>
      <c r="B807" s="8" t="inlineStr">
        <is>
          <t>20/04/2026</t>
        </is>
      </c>
      <c r="C807" s="8" t="inlineStr">
        <is>
          <t>107467</t>
        </is>
      </c>
      <c r="D807" s="8" t="inlineStr">
        <is>
          <t>GRAVAMEN LEY 25413 S/DEB</t>
        </is>
      </c>
      <c r="E807" s="9" t="n">
        <v>12000</v>
      </c>
      <c r="F807" s="8" t="inlineStr">
        <is>
          <t>Pendiente visible en hojas Banco no Flexxus</t>
        </is>
      </c>
      <c r="G807" s="8" t="inlineStr"/>
    </row>
    <row r="808">
      <c r="A808" s="8" t="inlineStr">
        <is>
          <t>Banco</t>
        </is>
      </c>
      <c r="B808" s="8" t="inlineStr">
        <is>
          <t>20/04/2026</t>
        </is>
      </c>
      <c r="C808" s="8" t="inlineStr">
        <is>
          <t>107466</t>
        </is>
      </c>
      <c r="D808" s="8" t="inlineStr">
        <is>
          <t>GRAVAMEN LEY 25413 S/DEB</t>
        </is>
      </c>
      <c r="E808" s="9" t="n">
        <v>12000</v>
      </c>
      <c r="F808" s="8" t="inlineStr">
        <is>
          <t>Pendiente visible en hojas Banco no Flexxus</t>
        </is>
      </c>
      <c r="G808" s="8" t="inlineStr"/>
    </row>
    <row r="809">
      <c r="A809" s="8" t="inlineStr">
        <is>
          <t>Banco</t>
        </is>
      </c>
      <c r="B809" s="8" t="inlineStr">
        <is>
          <t>20/04/2026</t>
        </is>
      </c>
      <c r="C809" s="8" t="inlineStr">
        <is>
          <t>107465</t>
        </is>
      </c>
      <c r="D809" s="8" t="inlineStr">
        <is>
          <t>GRAVAMEN LEY 25413 S/DEB</t>
        </is>
      </c>
      <c r="E809" s="9" t="n">
        <v>54000</v>
      </c>
      <c r="F809" s="8" t="inlineStr">
        <is>
          <t>Pendiente visible en hojas Banco no Flexxus</t>
        </is>
      </c>
      <c r="G809" s="8" t="inlineStr"/>
    </row>
    <row r="810">
      <c r="A810" s="8" t="inlineStr">
        <is>
          <t>Banco</t>
        </is>
      </c>
      <c r="B810" s="8" t="inlineStr">
        <is>
          <t>20/04/2026</t>
        </is>
      </c>
      <c r="C810" s="8" t="inlineStr">
        <is>
          <t>107464</t>
        </is>
      </c>
      <c r="D810" s="8" t="inlineStr">
        <is>
          <t>INGRESOS BRUTOS MENDOZA</t>
        </is>
      </c>
      <c r="E810" s="9" t="n">
        <v>229.75</v>
      </c>
      <c r="F810" s="8" t="inlineStr">
        <is>
          <t>Pendiente visible en hojas Banco no Flexxus</t>
        </is>
      </c>
      <c r="G810" s="8" t="inlineStr"/>
    </row>
    <row r="811">
      <c r="A811" s="8" t="inlineStr">
        <is>
          <t>Banco</t>
        </is>
      </c>
      <c r="B811" s="8" t="inlineStr">
        <is>
          <t>20/04/2026</t>
        </is>
      </c>
      <c r="C811" s="8" t="inlineStr">
        <is>
          <t>107464</t>
        </is>
      </c>
      <c r="D811" s="8" t="inlineStr">
        <is>
          <t>GRAVAMEN LEY 25413 S/CRED</t>
        </is>
      </c>
      <c r="E811" s="9" t="n">
        <v>137.85</v>
      </c>
      <c r="F811" s="8" t="inlineStr">
        <is>
          <t>Pendiente visible en hojas Banco no Flexxus</t>
        </is>
      </c>
      <c r="G811" s="8" t="inlineStr"/>
    </row>
    <row r="812">
      <c r="A812" s="8" t="inlineStr">
        <is>
          <t>Banco</t>
        </is>
      </c>
      <c r="B812" s="8" t="inlineStr">
        <is>
          <t>20/04/2026</t>
        </is>
      </c>
      <c r="C812" s="8" t="inlineStr">
        <is>
          <t>107463</t>
        </is>
      </c>
      <c r="D812" s="8" t="inlineStr">
        <is>
          <t>INGRESOS BRUTOS MENDOZA</t>
        </is>
      </c>
      <c r="E812" s="9" t="n">
        <v>526.36</v>
      </c>
      <c r="F812" s="8" t="inlineStr">
        <is>
          <t>Pendiente visible en hojas Banco no Flexxus</t>
        </is>
      </c>
      <c r="G812" s="8" t="inlineStr"/>
    </row>
    <row r="813">
      <c r="A813" s="8" t="inlineStr">
        <is>
          <t>Banco</t>
        </is>
      </c>
      <c r="B813" s="8" t="inlineStr">
        <is>
          <t>20/04/2026</t>
        </is>
      </c>
      <c r="C813" s="8" t="inlineStr">
        <is>
          <t>107463</t>
        </is>
      </c>
      <c r="D813" s="8" t="inlineStr">
        <is>
          <t>GRAVAMEN LEY 25413 S/CRED</t>
        </is>
      </c>
      <c r="E813" s="9" t="n">
        <v>315.81</v>
      </c>
      <c r="F813" s="8" t="inlineStr">
        <is>
          <t>Pendiente visible en hojas Banco no Flexxus</t>
        </is>
      </c>
      <c r="G813" s="8" t="inlineStr"/>
    </row>
    <row r="814">
      <c r="A814" s="8" t="inlineStr">
        <is>
          <t>Banco</t>
        </is>
      </c>
      <c r="B814" s="8" t="inlineStr">
        <is>
          <t>20/04/2026</t>
        </is>
      </c>
      <c r="C814" s="8" t="inlineStr">
        <is>
          <t>107462</t>
        </is>
      </c>
      <c r="D814" s="8" t="inlineStr">
        <is>
          <t>INGRESOS BRUTOS MENDOZA</t>
        </is>
      </c>
      <c r="E814" s="9" t="n">
        <v>526.36</v>
      </c>
      <c r="F814" s="8" t="inlineStr">
        <is>
          <t>Pendiente visible en hojas Banco no Flexxus</t>
        </is>
      </c>
      <c r="G814" s="8" t="inlineStr"/>
    </row>
    <row r="815">
      <c r="A815" s="8" t="inlineStr">
        <is>
          <t>Banco</t>
        </is>
      </c>
      <c r="B815" s="8" t="inlineStr">
        <is>
          <t>20/04/2026</t>
        </is>
      </c>
      <c r="C815" s="8" t="inlineStr">
        <is>
          <t>107462</t>
        </is>
      </c>
      <c r="D815" s="8" t="inlineStr">
        <is>
          <t>GRAVAMEN LEY 25413 S/CRED</t>
        </is>
      </c>
      <c r="E815" s="9" t="n">
        <v>315.81</v>
      </c>
      <c r="F815" s="8" t="inlineStr">
        <is>
          <t>Pendiente visible en hojas Banco no Flexxus</t>
        </is>
      </c>
      <c r="G815" s="8" t="inlineStr"/>
    </row>
    <row r="816">
      <c r="A816" s="8" t="inlineStr">
        <is>
          <t>Banco</t>
        </is>
      </c>
      <c r="B816" s="8" t="inlineStr">
        <is>
          <t>20/04/2026</t>
        </is>
      </c>
      <c r="C816" s="8" t="inlineStr">
        <is>
          <t>107461</t>
        </is>
      </c>
      <c r="D816" s="8" t="inlineStr">
        <is>
          <t>INGRESOS BRUTOS MENDOZA</t>
        </is>
      </c>
      <c r="E816" s="9" t="n">
        <v>232.73</v>
      </c>
      <c r="F816" s="8" t="inlineStr">
        <is>
          <t>Pendiente visible en hojas Banco no Flexxus</t>
        </is>
      </c>
      <c r="G816" s="8" t="inlineStr"/>
    </row>
    <row r="817">
      <c r="A817" s="8" t="inlineStr">
        <is>
          <t>Banco</t>
        </is>
      </c>
      <c r="B817" s="8" t="inlineStr">
        <is>
          <t>20/04/2026</t>
        </is>
      </c>
      <c r="C817" s="8" t="inlineStr">
        <is>
          <t>107461</t>
        </is>
      </c>
      <c r="D817" s="8" t="inlineStr">
        <is>
          <t>GRAVAMEN LEY 25413 S/CRED</t>
        </is>
      </c>
      <c r="E817" s="9" t="n">
        <v>139.64</v>
      </c>
      <c r="F817" s="8" t="inlineStr">
        <is>
          <t>Pendiente visible en hojas Banco no Flexxus</t>
        </is>
      </c>
      <c r="G817" s="8" t="inlineStr"/>
    </row>
    <row r="818">
      <c r="A818" s="8" t="inlineStr">
        <is>
          <t>Banco</t>
        </is>
      </c>
      <c r="B818" s="8" t="inlineStr">
        <is>
          <t>20/04/2026</t>
        </is>
      </c>
      <c r="C818" s="8" t="inlineStr">
        <is>
          <t>107460</t>
        </is>
      </c>
      <c r="D818" s="8" t="inlineStr">
        <is>
          <t>INGRESOS BRUTOS MENDOZA</t>
        </is>
      </c>
      <c r="E818" s="9" t="n">
        <v>2972.94</v>
      </c>
      <c r="F818" s="8" t="inlineStr">
        <is>
          <t>Pendiente visible en hojas Banco no Flexxus</t>
        </is>
      </c>
      <c r="G818" s="8" t="inlineStr"/>
    </row>
    <row r="819">
      <c r="A819" s="8" t="inlineStr">
        <is>
          <t>Banco</t>
        </is>
      </c>
      <c r="B819" s="8" t="inlineStr">
        <is>
          <t>20/04/2026</t>
        </is>
      </c>
      <c r="C819" s="8" t="inlineStr">
        <is>
          <t>107460</t>
        </is>
      </c>
      <c r="D819" s="8" t="inlineStr">
        <is>
          <t>GRAVAMEN LEY 25413 S/CRED</t>
        </is>
      </c>
      <c r="E819" s="9" t="n">
        <v>1783.76</v>
      </c>
      <c r="F819" s="8" t="inlineStr">
        <is>
          <t>Pendiente visible en hojas Banco no Flexxus</t>
        </is>
      </c>
      <c r="G819" s="8" t="inlineStr"/>
    </row>
    <row r="820">
      <c r="A820" s="8" t="inlineStr">
        <is>
          <t>Banco</t>
        </is>
      </c>
      <c r="B820" s="8" t="inlineStr">
        <is>
          <t>20/04/2026</t>
        </is>
      </c>
      <c r="C820" s="8" t="inlineStr">
        <is>
          <t>107459</t>
        </is>
      </c>
      <c r="D820" s="8" t="inlineStr">
        <is>
          <t>INGRESOS BRUTOS MENDOZA</t>
        </is>
      </c>
      <c r="E820" s="9" t="n">
        <v>1592.43</v>
      </c>
      <c r="F820" s="8" t="inlineStr">
        <is>
          <t>Pendiente visible en hojas Banco no Flexxus</t>
        </is>
      </c>
      <c r="G820" s="8" t="inlineStr"/>
    </row>
    <row r="821">
      <c r="A821" s="8" t="inlineStr">
        <is>
          <t>Banco</t>
        </is>
      </c>
      <c r="B821" s="8" t="inlineStr">
        <is>
          <t>20/04/2026</t>
        </is>
      </c>
      <c r="C821" s="8" t="inlineStr">
        <is>
          <t>107459</t>
        </is>
      </c>
      <c r="D821" s="8" t="inlineStr">
        <is>
          <t>GRAVAMEN LEY 25413 S/CRED</t>
        </is>
      </c>
      <c r="E821" s="9" t="n">
        <v>955.46</v>
      </c>
      <c r="F821" s="8" t="inlineStr">
        <is>
          <t>Pendiente visible en hojas Banco no Flexxus</t>
        </is>
      </c>
      <c r="G821" s="8" t="inlineStr"/>
    </row>
    <row r="822">
      <c r="A822" s="8" t="inlineStr">
        <is>
          <t>Banco</t>
        </is>
      </c>
      <c r="B822" s="8" t="inlineStr">
        <is>
          <t>20/04/2026</t>
        </is>
      </c>
      <c r="C822" s="8" t="inlineStr">
        <is>
          <t>107458</t>
        </is>
      </c>
      <c r="D822" s="8" t="inlineStr">
        <is>
          <t>INGRESOS BRUTOS MENDOZA</t>
        </is>
      </c>
      <c r="E822" s="9" t="n">
        <v>1442.9</v>
      </c>
      <c r="F822" s="8" t="inlineStr">
        <is>
          <t>Pendiente visible en hojas Banco no Flexxus</t>
        </is>
      </c>
      <c r="G822" s="8" t="inlineStr"/>
    </row>
    <row r="823">
      <c r="A823" s="8" t="inlineStr">
        <is>
          <t>Banco</t>
        </is>
      </c>
      <c r="B823" s="8" t="inlineStr">
        <is>
          <t>20/04/2026</t>
        </is>
      </c>
      <c r="C823" s="8" t="inlineStr">
        <is>
          <t>107458</t>
        </is>
      </c>
      <c r="D823" s="8" t="inlineStr">
        <is>
          <t>GRAVAMEN LEY 25413 S/CRED</t>
        </is>
      </c>
      <c r="E823" s="9" t="n">
        <v>865.74</v>
      </c>
      <c r="F823" s="8" t="inlineStr">
        <is>
          <t>Pendiente visible en hojas Banco no Flexxus</t>
        </is>
      </c>
      <c r="G823" s="8" t="inlineStr"/>
    </row>
    <row r="824">
      <c r="A824" s="8" t="inlineStr">
        <is>
          <t>Banco</t>
        </is>
      </c>
      <c r="B824" s="8" t="inlineStr">
        <is>
          <t>20/04/2026</t>
        </is>
      </c>
      <c r="C824" s="8" t="inlineStr">
        <is>
          <t>107457</t>
        </is>
      </c>
      <c r="D824" s="8" t="inlineStr">
        <is>
          <t>INGRESOS BRUTOS MENDOZA</t>
        </is>
      </c>
      <c r="E824" s="9" t="n">
        <v>342.65</v>
      </c>
      <c r="F824" s="8" t="inlineStr">
        <is>
          <t>Pendiente visible en hojas Banco no Flexxus</t>
        </is>
      </c>
      <c r="G824" s="8" t="inlineStr"/>
    </row>
    <row r="825">
      <c r="A825" s="8" t="inlineStr">
        <is>
          <t>Banco</t>
        </is>
      </c>
      <c r="B825" s="8" t="inlineStr">
        <is>
          <t>20/04/2026</t>
        </is>
      </c>
      <c r="C825" s="8" t="inlineStr">
        <is>
          <t>107457</t>
        </is>
      </c>
      <c r="D825" s="8" t="inlineStr">
        <is>
          <t>GRAVAMEN LEY 25413 S/CRED</t>
        </is>
      </c>
      <c r="E825" s="9" t="n">
        <v>205.59</v>
      </c>
      <c r="F825" s="8" t="inlineStr">
        <is>
          <t>Pendiente visible en hojas Banco no Flexxus</t>
        </is>
      </c>
      <c r="G825" s="8" t="inlineStr"/>
    </row>
    <row r="826">
      <c r="A826" s="8" t="inlineStr">
        <is>
          <t>Banco</t>
        </is>
      </c>
      <c r="B826" s="8" t="inlineStr">
        <is>
          <t>20/04/2026</t>
        </is>
      </c>
      <c r="C826" s="8" t="inlineStr">
        <is>
          <t>107456</t>
        </is>
      </c>
      <c r="D826" s="8" t="inlineStr">
        <is>
          <t>INGRESOS BRUTOS MENDOZA</t>
        </is>
      </c>
      <c r="E826" s="9" t="n">
        <v>350.57</v>
      </c>
      <c r="F826" s="8" t="inlineStr">
        <is>
          <t>Pendiente visible en hojas Banco no Flexxus</t>
        </is>
      </c>
      <c r="G826" s="8" t="inlineStr"/>
    </row>
    <row r="827">
      <c r="A827" s="8" t="inlineStr">
        <is>
          <t>Banco</t>
        </is>
      </c>
      <c r="B827" s="8" t="inlineStr">
        <is>
          <t>20/04/2026</t>
        </is>
      </c>
      <c r="C827" s="8" t="inlineStr">
        <is>
          <t>107456</t>
        </is>
      </c>
      <c r="D827" s="8" t="inlineStr">
        <is>
          <t>GRAVAMEN LEY 25413 S/CRED</t>
        </is>
      </c>
      <c r="E827" s="9" t="n">
        <v>210.34</v>
      </c>
      <c r="F827" s="8" t="inlineStr">
        <is>
          <t>Pendiente visible en hojas Banco no Flexxus</t>
        </is>
      </c>
      <c r="G827" s="8" t="inlineStr"/>
    </row>
    <row r="828">
      <c r="A828" s="8" t="inlineStr">
        <is>
          <t>Banco</t>
        </is>
      </c>
      <c r="B828" s="8" t="inlineStr">
        <is>
          <t>20/04/2026</t>
        </is>
      </c>
      <c r="C828" s="8" t="inlineStr">
        <is>
          <t>107455</t>
        </is>
      </c>
      <c r="D828" s="8" t="inlineStr">
        <is>
          <t>INGRESOS BRUTOS MENDOZA</t>
        </is>
      </c>
      <c r="E828" s="9" t="n">
        <v>406.03</v>
      </c>
      <c r="F828" s="8" t="inlineStr">
        <is>
          <t>Pendiente visible en hojas Banco no Flexxus</t>
        </is>
      </c>
      <c r="G828" s="8" t="inlineStr"/>
    </row>
    <row r="829">
      <c r="A829" s="8" t="inlineStr">
        <is>
          <t>Banco</t>
        </is>
      </c>
      <c r="B829" s="8" t="inlineStr">
        <is>
          <t>20/04/2026</t>
        </is>
      </c>
      <c r="C829" s="8" t="inlineStr">
        <is>
          <t>107455</t>
        </is>
      </c>
      <c r="D829" s="8" t="inlineStr">
        <is>
          <t>GRAVAMEN LEY 25413 S/CRED</t>
        </is>
      </c>
      <c r="E829" s="9" t="n">
        <v>243.62</v>
      </c>
      <c r="F829" s="8" t="inlineStr">
        <is>
          <t>Pendiente visible en hojas Banco no Flexxus</t>
        </is>
      </c>
      <c r="G829" s="8" t="inlineStr"/>
    </row>
    <row r="830">
      <c r="A830" s="8" t="inlineStr">
        <is>
          <t>Banco</t>
        </is>
      </c>
      <c r="B830" s="8" t="inlineStr">
        <is>
          <t>20/04/2026</t>
        </is>
      </c>
      <c r="C830" s="8" t="inlineStr">
        <is>
          <t>107454</t>
        </is>
      </c>
      <c r="D830" s="8" t="inlineStr">
        <is>
          <t>INGRESOS BRUTOS MENDOZA</t>
        </is>
      </c>
      <c r="E830" s="9" t="n">
        <v>314.92</v>
      </c>
      <c r="F830" s="8" t="inlineStr">
        <is>
          <t>Pendiente visible en hojas Banco no Flexxus</t>
        </is>
      </c>
      <c r="G830" s="8" t="inlineStr"/>
    </row>
    <row r="831">
      <c r="A831" s="8" t="inlineStr">
        <is>
          <t>Banco</t>
        </is>
      </c>
      <c r="B831" s="8" t="inlineStr">
        <is>
          <t>20/04/2026</t>
        </is>
      </c>
      <c r="C831" s="8" t="inlineStr">
        <is>
          <t>107454</t>
        </is>
      </c>
      <c r="D831" s="8" t="inlineStr">
        <is>
          <t>GRAVAMEN LEY 25413 S/CRED</t>
        </is>
      </c>
      <c r="E831" s="9" t="n">
        <v>188.95</v>
      </c>
      <c r="F831" s="8" t="inlineStr">
        <is>
          <t>Pendiente visible en hojas Banco no Flexxus</t>
        </is>
      </c>
      <c r="G831" s="8" t="inlineStr"/>
    </row>
    <row r="832">
      <c r="A832" s="8" t="inlineStr">
        <is>
          <t>Banco</t>
        </is>
      </c>
      <c r="B832" s="8" t="inlineStr">
        <is>
          <t>20/04/2026</t>
        </is>
      </c>
      <c r="C832" s="8" t="inlineStr">
        <is>
          <t>107453</t>
        </is>
      </c>
      <c r="D832" s="8" t="inlineStr">
        <is>
          <t>INGRESOS BRUTOS MENDOZA</t>
        </is>
      </c>
      <c r="E832" s="9" t="n">
        <v>377.31</v>
      </c>
      <c r="F832" s="8" t="inlineStr">
        <is>
          <t>Pendiente visible en hojas Banco no Flexxus</t>
        </is>
      </c>
      <c r="G832" s="8" t="inlineStr"/>
    </row>
    <row r="833">
      <c r="A833" s="8" t="inlineStr">
        <is>
          <t>Banco</t>
        </is>
      </c>
      <c r="B833" s="8" t="inlineStr">
        <is>
          <t>20/04/2026</t>
        </is>
      </c>
      <c r="C833" s="8" t="inlineStr">
        <is>
          <t>107453</t>
        </is>
      </c>
      <c r="D833" s="8" t="inlineStr">
        <is>
          <t>GRAVAMEN LEY 25413 S/CRED</t>
        </is>
      </c>
      <c r="E833" s="9" t="n">
        <v>226.39</v>
      </c>
      <c r="F833" s="8" t="inlineStr">
        <is>
          <t>Pendiente visible en hojas Banco no Flexxus</t>
        </is>
      </c>
      <c r="G833" s="8" t="inlineStr"/>
    </row>
    <row r="834">
      <c r="A834" s="8" t="inlineStr">
        <is>
          <t>Banco</t>
        </is>
      </c>
      <c r="B834" s="8" t="inlineStr">
        <is>
          <t>20/04/2026</t>
        </is>
      </c>
      <c r="C834" s="8" t="inlineStr">
        <is>
          <t>107452</t>
        </is>
      </c>
      <c r="D834" s="8" t="inlineStr">
        <is>
          <t>INGRESOS BRUTOS MENDOZA</t>
        </is>
      </c>
      <c r="E834" s="9" t="n">
        <v>32.68</v>
      </c>
      <c r="F834" s="8" t="inlineStr">
        <is>
          <t>Pendiente visible en hojas Banco no Flexxus</t>
        </is>
      </c>
      <c r="G834" s="8" t="inlineStr"/>
    </row>
    <row r="835">
      <c r="A835" s="8" t="inlineStr">
        <is>
          <t>Banco</t>
        </is>
      </c>
      <c r="B835" s="8" t="inlineStr">
        <is>
          <t>20/04/2026</t>
        </is>
      </c>
      <c r="C835" s="8" t="inlineStr">
        <is>
          <t>107452</t>
        </is>
      </c>
      <c r="D835" s="8" t="inlineStr">
        <is>
          <t>GRAVAMEN LEY 25413 S/CRED</t>
        </is>
      </c>
      <c r="E835" s="9" t="n">
        <v>19.61</v>
      </c>
      <c r="F835" s="8" t="inlineStr">
        <is>
          <t>Pendiente visible en hojas Banco no Flexxus</t>
        </is>
      </c>
      <c r="G835" s="8" t="inlineStr"/>
    </row>
    <row r="836">
      <c r="A836" s="8" t="inlineStr">
        <is>
          <t>Banco</t>
        </is>
      </c>
      <c r="B836" s="8" t="inlineStr">
        <is>
          <t>20/04/2026</t>
        </is>
      </c>
      <c r="C836" s="8" t="inlineStr">
        <is>
          <t>107451</t>
        </is>
      </c>
      <c r="D836" s="8" t="inlineStr">
        <is>
          <t>INGRESOS BRUTOS MENDOZA</t>
        </is>
      </c>
      <c r="E836" s="9" t="n">
        <v>276.3</v>
      </c>
      <c r="F836" s="8" t="inlineStr">
        <is>
          <t>Pendiente visible en hojas Banco no Flexxus</t>
        </is>
      </c>
      <c r="G836" s="8" t="inlineStr"/>
    </row>
    <row r="837">
      <c r="A837" s="8" t="inlineStr">
        <is>
          <t>Banco</t>
        </is>
      </c>
      <c r="B837" s="8" t="inlineStr">
        <is>
          <t>20/04/2026</t>
        </is>
      </c>
      <c r="C837" s="8" t="inlineStr">
        <is>
          <t>107451</t>
        </is>
      </c>
      <c r="D837" s="8" t="inlineStr">
        <is>
          <t>GRAVAMEN LEY 25413 S/CRED</t>
        </is>
      </c>
      <c r="E837" s="9" t="n">
        <v>165.78</v>
      </c>
      <c r="F837" s="8" t="inlineStr">
        <is>
          <t>Pendiente visible en hojas Banco no Flexxus</t>
        </is>
      </c>
      <c r="G837" s="8" t="inlineStr"/>
    </row>
    <row r="838">
      <c r="A838" s="8" t="inlineStr">
        <is>
          <t>Banco</t>
        </is>
      </c>
      <c r="B838" s="8" t="inlineStr">
        <is>
          <t>20/04/2026</t>
        </is>
      </c>
      <c r="C838" s="8" t="inlineStr">
        <is>
          <t>107450</t>
        </is>
      </c>
      <c r="D838" s="8" t="inlineStr">
        <is>
          <t>INGRESOS BRUTOS MENDOZA</t>
        </is>
      </c>
      <c r="E838" s="9" t="n">
        <v>133.69</v>
      </c>
      <c r="F838" s="8" t="inlineStr">
        <is>
          <t>Pendiente visible en hojas Banco no Flexxus</t>
        </is>
      </c>
      <c r="G838" s="8" t="inlineStr"/>
    </row>
    <row r="839">
      <c r="A839" s="8" t="inlineStr">
        <is>
          <t>Banco</t>
        </is>
      </c>
      <c r="B839" s="8" t="inlineStr">
        <is>
          <t>20/04/2026</t>
        </is>
      </c>
      <c r="C839" s="8" t="inlineStr">
        <is>
          <t>107450</t>
        </is>
      </c>
      <c r="D839" s="8" t="inlineStr">
        <is>
          <t>GRAVAMEN LEY 25413 S/CRED</t>
        </is>
      </c>
      <c r="E839" s="9" t="n">
        <v>80.22</v>
      </c>
      <c r="F839" s="8" t="inlineStr">
        <is>
          <t>Pendiente visible en hojas Banco no Flexxus</t>
        </is>
      </c>
      <c r="G839" s="8" t="inlineStr"/>
    </row>
    <row r="840">
      <c r="A840" s="8" t="inlineStr">
        <is>
          <t>Banco</t>
        </is>
      </c>
      <c r="B840" s="8" t="inlineStr">
        <is>
          <t>20/04/2026</t>
        </is>
      </c>
      <c r="C840" s="8" t="inlineStr">
        <is>
          <t>107449</t>
        </is>
      </c>
      <c r="D840" s="8" t="inlineStr">
        <is>
          <t>INGRESOS BRUTOS MENDOZA</t>
        </is>
      </c>
      <c r="E840" s="9" t="n">
        <v>436.73</v>
      </c>
      <c r="F840" s="8" t="inlineStr">
        <is>
          <t>Pendiente visible en hojas Banco no Flexxus</t>
        </is>
      </c>
      <c r="G840" s="8" t="inlineStr"/>
    </row>
    <row r="841">
      <c r="A841" s="8" t="inlineStr">
        <is>
          <t>Banco</t>
        </is>
      </c>
      <c r="B841" s="8" t="inlineStr">
        <is>
          <t>20/04/2026</t>
        </is>
      </c>
      <c r="C841" s="8" t="inlineStr">
        <is>
          <t>107449</t>
        </is>
      </c>
      <c r="D841" s="8" t="inlineStr">
        <is>
          <t>GRAVAMEN LEY 25413 S/CRED</t>
        </is>
      </c>
      <c r="E841" s="9" t="n">
        <v>262.04</v>
      </c>
      <c r="F841" s="8" t="inlineStr">
        <is>
          <t>Pendiente visible en hojas Banco no Flexxus</t>
        </is>
      </c>
      <c r="G841" s="8" t="inlineStr"/>
    </row>
    <row r="842">
      <c r="A842" s="8" t="inlineStr">
        <is>
          <t>Banco</t>
        </is>
      </c>
      <c r="B842" s="8" t="inlineStr">
        <is>
          <t>20/04/2026</t>
        </is>
      </c>
      <c r="C842" s="8" t="inlineStr">
        <is>
          <t>107448</t>
        </is>
      </c>
      <c r="D842" s="8" t="inlineStr">
        <is>
          <t>INGRESOS BRUTOS MENDOZA</t>
        </is>
      </c>
      <c r="E842" s="9" t="n">
        <v>454.56</v>
      </c>
      <c r="F842" s="8" t="inlineStr">
        <is>
          <t>Pendiente visible en hojas Banco no Flexxus</t>
        </is>
      </c>
      <c r="G842" s="8" t="inlineStr"/>
    </row>
    <row r="843">
      <c r="A843" s="8" t="inlineStr">
        <is>
          <t>Banco</t>
        </is>
      </c>
      <c r="B843" s="8" t="inlineStr">
        <is>
          <t>20/04/2026</t>
        </is>
      </c>
      <c r="C843" s="8" t="inlineStr">
        <is>
          <t>107448</t>
        </is>
      </c>
      <c r="D843" s="8" t="inlineStr">
        <is>
          <t>GRAVAMEN LEY 25413 S/CRED</t>
        </is>
      </c>
      <c r="E843" s="9" t="n">
        <v>272.73</v>
      </c>
      <c r="F843" s="8" t="inlineStr">
        <is>
          <t>Pendiente visible en hojas Banco no Flexxus</t>
        </is>
      </c>
      <c r="G843" s="8" t="inlineStr"/>
    </row>
    <row r="844">
      <c r="A844" s="8" t="inlineStr">
        <is>
          <t>Banco</t>
        </is>
      </c>
      <c r="B844" s="8" t="inlineStr">
        <is>
          <t>20/04/2026</t>
        </is>
      </c>
      <c r="C844" s="8" t="inlineStr">
        <is>
          <t>107447</t>
        </is>
      </c>
      <c r="D844" s="8" t="inlineStr">
        <is>
          <t>INGRESOS BRUTOS MENDOZA</t>
        </is>
      </c>
      <c r="E844" s="9" t="n">
        <v>184.2</v>
      </c>
      <c r="F844" s="8" t="inlineStr">
        <is>
          <t>Pendiente visible en hojas Banco no Flexxus</t>
        </is>
      </c>
      <c r="G844" s="8" t="inlineStr"/>
    </row>
    <row r="845">
      <c r="A845" s="8" t="inlineStr">
        <is>
          <t>Banco</t>
        </is>
      </c>
      <c r="B845" s="8" t="inlineStr">
        <is>
          <t>20/04/2026</t>
        </is>
      </c>
      <c r="C845" s="8" t="inlineStr">
        <is>
          <t>107447</t>
        </is>
      </c>
      <c r="D845" s="8" t="inlineStr">
        <is>
          <t>GRAVAMEN LEY 25413 S/CRED</t>
        </is>
      </c>
      <c r="E845" s="9" t="n">
        <v>110.52</v>
      </c>
      <c r="F845" s="8" t="inlineStr">
        <is>
          <t>Pendiente visible en hojas Banco no Flexxus</t>
        </is>
      </c>
      <c r="G845" s="8" t="inlineStr"/>
    </row>
    <row r="846">
      <c r="A846" s="8" t="inlineStr">
        <is>
          <t>Banco</t>
        </is>
      </c>
      <c r="B846" s="8" t="inlineStr">
        <is>
          <t>20/04/2026</t>
        </is>
      </c>
      <c r="C846" s="8" t="inlineStr">
        <is>
          <t>107446</t>
        </is>
      </c>
      <c r="D846" s="8" t="inlineStr">
        <is>
          <t>INGRESOS BRUTOS MENDOZA</t>
        </is>
      </c>
      <c r="E846" s="9" t="n">
        <v>264.42</v>
      </c>
      <c r="F846" s="8" t="inlineStr">
        <is>
          <t>Pendiente visible en hojas Banco no Flexxus</t>
        </is>
      </c>
      <c r="G846" s="8" t="inlineStr"/>
    </row>
    <row r="847">
      <c r="A847" s="8" t="inlineStr">
        <is>
          <t>Banco</t>
        </is>
      </c>
      <c r="B847" s="8" t="inlineStr">
        <is>
          <t>20/04/2026</t>
        </is>
      </c>
      <c r="C847" s="8" t="inlineStr">
        <is>
          <t>107446</t>
        </is>
      </c>
      <c r="D847" s="8" t="inlineStr">
        <is>
          <t>GRAVAMEN LEY 25413 S/CRED</t>
        </is>
      </c>
      <c r="E847" s="9" t="n">
        <v>158.65</v>
      </c>
      <c r="F847" s="8" t="inlineStr">
        <is>
          <t>Pendiente visible en hojas Banco no Flexxus</t>
        </is>
      </c>
      <c r="G847" s="8" t="inlineStr"/>
    </row>
    <row r="848">
      <c r="A848" s="8" t="inlineStr">
        <is>
          <t>Banco</t>
        </is>
      </c>
      <c r="B848" s="8" t="inlineStr">
        <is>
          <t>20/04/2026</t>
        </is>
      </c>
      <c r="C848" s="8" t="inlineStr">
        <is>
          <t>107445</t>
        </is>
      </c>
      <c r="D848" s="8" t="inlineStr">
        <is>
          <t>INGRESOS BRUTOS MENDOZA</t>
        </is>
      </c>
      <c r="E848" s="9" t="n">
        <v>152.51</v>
      </c>
      <c r="F848" s="8" t="inlineStr">
        <is>
          <t>Pendiente visible en hojas Banco no Flexxus</t>
        </is>
      </c>
      <c r="G848" s="8" t="inlineStr"/>
    </row>
    <row r="849">
      <c r="A849" s="8" t="inlineStr">
        <is>
          <t>Banco</t>
        </is>
      </c>
      <c r="B849" s="8" t="inlineStr">
        <is>
          <t>20/04/2026</t>
        </is>
      </c>
      <c r="C849" s="8" t="inlineStr">
        <is>
          <t>107445</t>
        </is>
      </c>
      <c r="D849" s="8" t="inlineStr">
        <is>
          <t>GRAVAMEN LEY 25413 S/CRED</t>
        </is>
      </c>
      <c r="E849" s="9" t="n">
        <v>91.51000000000001</v>
      </c>
      <c r="F849" s="8" t="inlineStr">
        <is>
          <t>Pendiente visible en hojas Banco no Flexxus</t>
        </is>
      </c>
      <c r="G849" s="8" t="inlineStr"/>
    </row>
    <row r="850">
      <c r="A850" s="8" t="inlineStr">
        <is>
          <t>Banco</t>
        </is>
      </c>
      <c r="B850" s="8" t="inlineStr">
        <is>
          <t>20/04/2026</t>
        </is>
      </c>
      <c r="C850" s="8" t="inlineStr">
        <is>
          <t>107444</t>
        </is>
      </c>
      <c r="D850" s="8" t="inlineStr">
        <is>
          <t>INGRESOS BRUTOS MENDOZA</t>
        </is>
      </c>
      <c r="E850" s="9" t="n">
        <v>247.58</v>
      </c>
      <c r="F850" s="8" t="inlineStr">
        <is>
          <t>Pendiente visible en hojas Banco no Flexxus</t>
        </is>
      </c>
      <c r="G850" s="8" t="inlineStr"/>
    </row>
    <row r="851">
      <c r="A851" s="8" t="inlineStr">
        <is>
          <t>Banco</t>
        </is>
      </c>
      <c r="B851" s="8" t="inlineStr">
        <is>
          <t>20/04/2026</t>
        </is>
      </c>
      <c r="C851" s="8" t="inlineStr">
        <is>
          <t>107444</t>
        </is>
      </c>
      <c r="D851" s="8" t="inlineStr">
        <is>
          <t>GRAVAMEN LEY 25413 S/CRED</t>
        </is>
      </c>
      <c r="E851" s="9" t="n">
        <v>148.55</v>
      </c>
      <c r="F851" s="8" t="inlineStr">
        <is>
          <t>Pendiente visible en hojas Banco no Flexxus</t>
        </is>
      </c>
      <c r="G851" s="8" t="inlineStr"/>
    </row>
    <row r="852">
      <c r="A852" s="8" t="inlineStr">
        <is>
          <t>Banco</t>
        </is>
      </c>
      <c r="B852" s="8" t="inlineStr">
        <is>
          <t>20/04/2026</t>
        </is>
      </c>
      <c r="C852" s="8" t="inlineStr">
        <is>
          <t>107443</t>
        </is>
      </c>
      <c r="D852" s="8" t="inlineStr">
        <is>
          <t>INGRESOS BRUTOS MENDOZA</t>
        </is>
      </c>
      <c r="E852" s="9" t="n">
        <v>170.34</v>
      </c>
      <c r="F852" s="8" t="inlineStr">
        <is>
          <t>Pendiente visible en hojas Banco no Flexxus</t>
        </is>
      </c>
      <c r="G852" s="8" t="inlineStr"/>
    </row>
    <row r="853">
      <c r="A853" s="8" t="inlineStr">
        <is>
          <t>Banco</t>
        </is>
      </c>
      <c r="B853" s="8" t="inlineStr">
        <is>
          <t>20/04/2026</t>
        </is>
      </c>
      <c r="C853" s="8" t="inlineStr">
        <is>
          <t>107443</t>
        </is>
      </c>
      <c r="D853" s="8" t="inlineStr">
        <is>
          <t>GRAVAMEN LEY 25413 S/CRED</t>
        </is>
      </c>
      <c r="E853" s="9" t="n">
        <v>102.2</v>
      </c>
      <c r="F853" s="8" t="inlineStr">
        <is>
          <t>Pendiente visible en hojas Banco no Flexxus</t>
        </is>
      </c>
      <c r="G853" s="8" t="inlineStr"/>
    </row>
    <row r="854">
      <c r="A854" s="8" t="inlineStr">
        <is>
          <t>Banco</t>
        </is>
      </c>
      <c r="B854" s="8" t="inlineStr">
        <is>
          <t>20/04/2026</t>
        </is>
      </c>
      <c r="C854" s="8" t="inlineStr">
        <is>
          <t>107442</t>
        </is>
      </c>
      <c r="D854" s="8" t="inlineStr">
        <is>
          <t>INGRESOS BRUTOS MENDOZA</t>
        </is>
      </c>
      <c r="E854" s="9" t="n">
        <v>180.24</v>
      </c>
      <c r="F854" s="8" t="inlineStr">
        <is>
          <t>Pendiente visible en hojas Banco no Flexxus</t>
        </is>
      </c>
      <c r="G854" s="8" t="inlineStr"/>
    </row>
    <row r="855">
      <c r="A855" s="8" t="inlineStr">
        <is>
          <t>Banco</t>
        </is>
      </c>
      <c r="B855" s="8" t="inlineStr">
        <is>
          <t>20/04/2026</t>
        </is>
      </c>
      <c r="C855" s="8" t="inlineStr">
        <is>
          <t>107442</t>
        </is>
      </c>
      <c r="D855" s="8" t="inlineStr">
        <is>
          <t>GRAVAMEN LEY 25413 S/CRED</t>
        </is>
      </c>
      <c r="E855" s="9" t="n">
        <v>108.14</v>
      </c>
      <c r="F855" s="8" t="inlineStr">
        <is>
          <t>Pendiente visible en hojas Banco no Flexxus</t>
        </is>
      </c>
      <c r="G855" s="8" t="inlineStr"/>
    </row>
    <row r="856">
      <c r="A856" s="8" t="inlineStr">
        <is>
          <t>Banco</t>
        </is>
      </c>
      <c r="B856" s="8" t="inlineStr">
        <is>
          <t>20/04/2026</t>
        </is>
      </c>
      <c r="C856" s="8" t="inlineStr">
        <is>
          <t>107441</t>
        </is>
      </c>
      <c r="D856" s="8" t="inlineStr">
        <is>
          <t>INGRESOS BRUTOS MENDOZA</t>
        </is>
      </c>
      <c r="E856" s="9" t="n">
        <v>55.46</v>
      </c>
      <c r="F856" s="8" t="inlineStr">
        <is>
          <t>Pendiente visible en hojas Banco no Flexxus</t>
        </is>
      </c>
      <c r="G856" s="8" t="inlineStr"/>
    </row>
    <row r="857">
      <c r="A857" s="8" t="inlineStr">
        <is>
          <t>Banco</t>
        </is>
      </c>
      <c r="B857" s="8" t="inlineStr">
        <is>
          <t>20/04/2026</t>
        </is>
      </c>
      <c r="C857" s="8" t="inlineStr">
        <is>
          <t>107441</t>
        </is>
      </c>
      <c r="D857" s="8" t="inlineStr">
        <is>
          <t>GRAVAMEN LEY 25413 S/CRED</t>
        </is>
      </c>
      <c r="E857" s="9" t="n">
        <v>33.27</v>
      </c>
      <c r="F857" s="8" t="inlineStr">
        <is>
          <t>Pendiente visible en hojas Banco no Flexxus</t>
        </is>
      </c>
      <c r="G857" s="8" t="inlineStr"/>
    </row>
    <row r="858">
      <c r="A858" s="8" t="inlineStr">
        <is>
          <t>Banco</t>
        </is>
      </c>
      <c r="B858" s="8" t="inlineStr">
        <is>
          <t>20/04/2026</t>
        </is>
      </c>
      <c r="C858" s="8" t="inlineStr">
        <is>
          <t>107440</t>
        </is>
      </c>
      <c r="D858" s="8" t="inlineStr">
        <is>
          <t>INGRESOS BRUTOS MENDOZA</t>
        </is>
      </c>
      <c r="E858" s="9" t="n">
        <v>191.13</v>
      </c>
      <c r="F858" s="8" t="inlineStr">
        <is>
          <t>Pendiente visible en hojas Banco no Flexxus</t>
        </is>
      </c>
      <c r="G858" s="8" t="inlineStr"/>
    </row>
    <row r="859">
      <c r="A859" s="8" t="inlineStr">
        <is>
          <t>Banco</t>
        </is>
      </c>
      <c r="B859" s="8" t="inlineStr">
        <is>
          <t>20/04/2026</t>
        </is>
      </c>
      <c r="C859" s="8" t="inlineStr">
        <is>
          <t>107440</t>
        </is>
      </c>
      <c r="D859" s="8" t="inlineStr">
        <is>
          <t>GRAVAMEN LEY 25413 S/CRED</t>
        </is>
      </c>
      <c r="E859" s="9" t="n">
        <v>114.68</v>
      </c>
      <c r="F859" s="8" t="inlineStr">
        <is>
          <t>Pendiente visible en hojas Banco no Flexxus</t>
        </is>
      </c>
      <c r="G859" s="8" t="inlineStr"/>
    </row>
    <row r="860">
      <c r="A860" s="8" t="inlineStr">
        <is>
          <t>Banco</t>
        </is>
      </c>
      <c r="B860" s="8" t="inlineStr">
        <is>
          <t>20/04/2026</t>
        </is>
      </c>
      <c r="C860" s="8" t="inlineStr">
        <is>
          <t>107439</t>
        </is>
      </c>
      <c r="D860" s="8" t="inlineStr">
        <is>
          <t>INGRESOS BRUTOS MENDOZA</t>
        </is>
      </c>
      <c r="E860" s="9" t="n">
        <v>381.27</v>
      </c>
      <c r="F860" s="8" t="inlineStr">
        <is>
          <t>Pendiente visible en hojas Banco no Flexxus</t>
        </is>
      </c>
      <c r="G860" s="8" t="inlineStr"/>
    </row>
    <row r="861">
      <c r="A861" s="8" t="inlineStr">
        <is>
          <t>Banco</t>
        </is>
      </c>
      <c r="B861" s="8" t="inlineStr">
        <is>
          <t>20/04/2026</t>
        </is>
      </c>
      <c r="C861" s="8" t="inlineStr">
        <is>
          <t>107439</t>
        </is>
      </c>
      <c r="D861" s="8" t="inlineStr">
        <is>
          <t>GRAVAMEN LEY 25413 S/CRED</t>
        </is>
      </c>
      <c r="E861" s="9" t="n">
        <v>228.76</v>
      </c>
      <c r="F861" s="8" t="inlineStr">
        <is>
          <t>Pendiente visible en hojas Banco no Flexxus</t>
        </is>
      </c>
      <c r="G861" s="8" t="inlineStr"/>
    </row>
    <row r="862">
      <c r="A862" s="8" t="inlineStr">
        <is>
          <t>Banco</t>
        </is>
      </c>
      <c r="B862" s="8" t="inlineStr">
        <is>
          <t>20/04/2026</t>
        </is>
      </c>
      <c r="C862" s="8" t="inlineStr">
        <is>
          <t>107438</t>
        </is>
      </c>
      <c r="D862" s="8" t="inlineStr">
        <is>
          <t>INGRESOS BRUTOS MENDOZA</t>
        </is>
      </c>
      <c r="E862" s="9" t="n">
        <v>227.77</v>
      </c>
      <c r="F862" s="8" t="inlineStr">
        <is>
          <t>Pendiente visible en hojas Banco no Flexxus</t>
        </is>
      </c>
      <c r="G862" s="8" t="inlineStr"/>
    </row>
    <row r="863">
      <c r="A863" s="8" t="inlineStr">
        <is>
          <t>Banco</t>
        </is>
      </c>
      <c r="B863" s="8" t="inlineStr">
        <is>
          <t>20/04/2026</t>
        </is>
      </c>
      <c r="C863" s="8" t="inlineStr">
        <is>
          <t>107438</t>
        </is>
      </c>
      <c r="D863" s="8" t="inlineStr">
        <is>
          <t>GRAVAMEN LEY 25413 S/CRED</t>
        </is>
      </c>
      <c r="E863" s="9" t="n">
        <v>136.66</v>
      </c>
      <c r="F863" s="8" t="inlineStr">
        <is>
          <t>Pendiente visible en hojas Banco no Flexxus</t>
        </is>
      </c>
      <c r="G863" s="8" t="inlineStr"/>
    </row>
    <row r="864">
      <c r="A864" s="8" t="inlineStr">
        <is>
          <t>Banco</t>
        </is>
      </c>
      <c r="B864" s="8" t="inlineStr">
        <is>
          <t>20/04/2026</t>
        </is>
      </c>
      <c r="C864" s="8" t="inlineStr">
        <is>
          <t>107437</t>
        </is>
      </c>
      <c r="D864" s="8" t="inlineStr">
        <is>
          <t>INGRESOS BRUTOS MENDOZA</t>
        </is>
      </c>
      <c r="E864" s="9" t="n">
        <v>89.13</v>
      </c>
      <c r="F864" s="8" t="inlineStr">
        <is>
          <t>Pendiente visible en hojas Banco no Flexxus</t>
        </is>
      </c>
      <c r="G864" s="8" t="inlineStr"/>
    </row>
    <row r="865">
      <c r="A865" s="8" t="inlineStr">
        <is>
          <t>Banco</t>
        </is>
      </c>
      <c r="B865" s="8" t="inlineStr">
        <is>
          <t>20/04/2026</t>
        </is>
      </c>
      <c r="C865" s="8" t="inlineStr">
        <is>
          <t>107437</t>
        </is>
      </c>
      <c r="D865" s="8" t="inlineStr">
        <is>
          <t>GRAVAMEN LEY 25413 S/CRED</t>
        </is>
      </c>
      <c r="E865" s="9" t="n">
        <v>53.48</v>
      </c>
      <c r="F865" s="8" t="inlineStr">
        <is>
          <t>Pendiente visible en hojas Banco no Flexxus</t>
        </is>
      </c>
      <c r="G865" s="8" t="inlineStr"/>
    </row>
    <row r="866">
      <c r="A866" s="8" t="inlineStr">
        <is>
          <t>Banco</t>
        </is>
      </c>
      <c r="B866" s="8" t="inlineStr">
        <is>
          <t>20/04/2026</t>
        </is>
      </c>
      <c r="C866" s="8" t="inlineStr">
        <is>
          <t>107436</t>
        </is>
      </c>
      <c r="D866" s="8" t="inlineStr">
        <is>
          <t>INGRESOS BRUTOS MENDOZA</t>
        </is>
      </c>
      <c r="E866" s="9" t="n">
        <v>418.91</v>
      </c>
      <c r="F866" s="8" t="inlineStr">
        <is>
          <t>Pendiente visible en hojas Banco no Flexxus</t>
        </is>
      </c>
      <c r="G866" s="8" t="inlineStr"/>
    </row>
    <row r="867">
      <c r="A867" s="8" t="inlineStr">
        <is>
          <t>Banco</t>
        </is>
      </c>
      <c r="B867" s="8" t="inlineStr">
        <is>
          <t>20/04/2026</t>
        </is>
      </c>
      <c r="C867" s="8" t="inlineStr">
        <is>
          <t>107436</t>
        </is>
      </c>
      <c r="D867" s="8" t="inlineStr">
        <is>
          <t>GRAVAMEN LEY 25413 S/CRED</t>
        </is>
      </c>
      <c r="E867" s="9" t="n">
        <v>251.34</v>
      </c>
      <c r="F867" s="8" t="inlineStr">
        <is>
          <t>Pendiente visible en hojas Banco no Flexxus</t>
        </is>
      </c>
      <c r="G867" s="8" t="inlineStr"/>
    </row>
    <row r="868">
      <c r="A868" s="8" t="inlineStr">
        <is>
          <t>Banco</t>
        </is>
      </c>
      <c r="B868" s="8" t="inlineStr">
        <is>
          <t>20/04/2026</t>
        </is>
      </c>
      <c r="C868" s="8" t="inlineStr">
        <is>
          <t>107435</t>
        </is>
      </c>
      <c r="D868" s="8" t="inlineStr">
        <is>
          <t>INGRESOS BRUTOS MENDOZA</t>
        </is>
      </c>
      <c r="E868" s="9" t="n">
        <v>389.2</v>
      </c>
      <c r="F868" s="8" t="inlineStr">
        <is>
          <t>Pendiente visible en hojas Banco no Flexxus</t>
        </is>
      </c>
      <c r="G868" s="8" t="inlineStr"/>
    </row>
    <row r="869">
      <c r="A869" s="8" t="inlineStr">
        <is>
          <t>Banco</t>
        </is>
      </c>
      <c r="B869" s="8" t="inlineStr">
        <is>
          <t>20/04/2026</t>
        </is>
      </c>
      <c r="C869" s="8" t="inlineStr">
        <is>
          <t>107435</t>
        </is>
      </c>
      <c r="D869" s="8" t="inlineStr">
        <is>
          <t>GRAVAMEN LEY 25413 S/CRED</t>
        </is>
      </c>
      <c r="E869" s="9" t="n">
        <v>233.52</v>
      </c>
      <c r="F869" s="8" t="inlineStr">
        <is>
          <t>Pendiente visible en hojas Banco no Flexxus</t>
        </is>
      </c>
      <c r="G869" s="8" t="inlineStr"/>
    </row>
    <row r="870">
      <c r="A870" s="8" t="inlineStr">
        <is>
          <t>Banco</t>
        </is>
      </c>
      <c r="B870" s="8" t="inlineStr">
        <is>
          <t>20/04/2026</t>
        </is>
      </c>
      <c r="C870" s="8" t="inlineStr">
        <is>
          <t>107434</t>
        </is>
      </c>
      <c r="D870" s="8" t="inlineStr">
        <is>
          <t>INGRESOS BRUTOS MENDOZA</t>
        </is>
      </c>
      <c r="E870" s="9" t="n">
        <v>544.6799999999999</v>
      </c>
      <c r="F870" s="8" t="inlineStr">
        <is>
          <t>Pendiente visible en hojas Banco no Flexxus</t>
        </is>
      </c>
      <c r="G870" s="8" t="inlineStr"/>
    </row>
    <row r="871">
      <c r="A871" s="8" t="inlineStr">
        <is>
          <t>Banco</t>
        </is>
      </c>
      <c r="B871" s="8" t="inlineStr">
        <is>
          <t>20/04/2026</t>
        </is>
      </c>
      <c r="C871" s="8" t="inlineStr">
        <is>
          <t>107434</t>
        </is>
      </c>
      <c r="D871" s="8" t="inlineStr">
        <is>
          <t>GRAVAMEN LEY 25413 S/CRED</t>
        </is>
      </c>
      <c r="E871" s="9" t="n">
        <v>326.81</v>
      </c>
      <c r="F871" s="8" t="inlineStr">
        <is>
          <t>Pendiente visible en hojas Banco no Flexxus</t>
        </is>
      </c>
      <c r="G871" s="8" t="inlineStr"/>
    </row>
    <row r="872">
      <c r="A872" s="8" t="inlineStr">
        <is>
          <t>Banco</t>
        </is>
      </c>
      <c r="B872" s="8" t="inlineStr">
        <is>
          <t>20/04/2026</t>
        </is>
      </c>
      <c r="C872" s="8" t="inlineStr">
        <is>
          <t>107433</t>
        </is>
      </c>
      <c r="D872" s="8" t="inlineStr">
        <is>
          <t>INGRESOS BRUTOS MENDOZA</t>
        </is>
      </c>
      <c r="E872" s="9" t="n">
        <v>1000</v>
      </c>
      <c r="F872" s="8" t="inlineStr">
        <is>
          <t>Pendiente visible en hojas Banco no Flexxus</t>
        </is>
      </c>
      <c r="G872" s="8" t="inlineStr"/>
    </row>
    <row r="873">
      <c r="A873" s="8" t="inlineStr">
        <is>
          <t>Banco</t>
        </is>
      </c>
      <c r="B873" s="8" t="inlineStr">
        <is>
          <t>20/04/2026</t>
        </is>
      </c>
      <c r="C873" s="8" t="inlineStr">
        <is>
          <t>107433</t>
        </is>
      </c>
      <c r="D873" s="8" t="inlineStr">
        <is>
          <t>GRAVAMEN LEY 25413 S/CRED</t>
        </is>
      </c>
      <c r="E873" s="9" t="n">
        <v>600</v>
      </c>
      <c r="F873" s="8" t="inlineStr">
        <is>
          <t>Pendiente visible en hojas Banco no Flexxus</t>
        </is>
      </c>
      <c r="G873" s="8" t="inlineStr"/>
    </row>
    <row r="874">
      <c r="A874" s="8" t="inlineStr">
        <is>
          <t>Banco</t>
        </is>
      </c>
      <c r="B874" s="8" t="inlineStr">
        <is>
          <t>20/04/2026</t>
        </is>
      </c>
      <c r="C874" s="8" t="inlineStr">
        <is>
          <t>107432</t>
        </is>
      </c>
      <c r="D874" s="8" t="inlineStr">
        <is>
          <t>INGRESOS BRUTOS MENDOZA</t>
        </is>
      </c>
      <c r="E874" s="9" t="n">
        <v>282.24</v>
      </c>
      <c r="F874" s="8" t="inlineStr">
        <is>
          <t>Pendiente visible en hojas Banco no Flexxus</t>
        </is>
      </c>
      <c r="G874" s="8" t="inlineStr"/>
    </row>
    <row r="875">
      <c r="A875" s="8" t="inlineStr">
        <is>
          <t>Banco</t>
        </is>
      </c>
      <c r="B875" s="8" t="inlineStr">
        <is>
          <t>20/04/2026</t>
        </is>
      </c>
      <c r="C875" s="8" t="inlineStr">
        <is>
          <t>107432</t>
        </is>
      </c>
      <c r="D875" s="8" t="inlineStr">
        <is>
          <t>GRAVAMEN LEY 25413 S/CRED</t>
        </is>
      </c>
      <c r="E875" s="9" t="n">
        <v>169.34</v>
      </c>
      <c r="F875" s="8" t="inlineStr">
        <is>
          <t>Pendiente visible en hojas Banco no Flexxus</t>
        </is>
      </c>
      <c r="G875" s="8" t="inlineStr"/>
    </row>
    <row r="876">
      <c r="A876" s="8" t="inlineStr">
        <is>
          <t>Banco</t>
        </is>
      </c>
      <c r="B876" s="8" t="inlineStr">
        <is>
          <t>20/04/2026</t>
        </is>
      </c>
      <c r="C876" s="8" t="inlineStr">
        <is>
          <t>107431</t>
        </is>
      </c>
      <c r="D876" s="8" t="inlineStr">
        <is>
          <t>INGRESOS BRUTOS MENDOZA</t>
        </is>
      </c>
      <c r="E876" s="9" t="n">
        <v>113.89</v>
      </c>
      <c r="F876" s="8" t="inlineStr">
        <is>
          <t>Pendiente visible en hojas Banco no Flexxus</t>
        </is>
      </c>
      <c r="G876" s="8" t="inlineStr"/>
    </row>
    <row r="877">
      <c r="A877" s="8" t="inlineStr">
        <is>
          <t>Banco</t>
        </is>
      </c>
      <c r="B877" s="8" t="inlineStr">
        <is>
          <t>20/04/2026</t>
        </is>
      </c>
      <c r="C877" s="8" t="inlineStr">
        <is>
          <t>107431</t>
        </is>
      </c>
      <c r="D877" s="8" t="inlineStr">
        <is>
          <t>GRAVAMEN LEY 25413 S/CRED</t>
        </is>
      </c>
      <c r="E877" s="9" t="n">
        <v>68.33</v>
      </c>
      <c r="F877" s="8" t="inlineStr">
        <is>
          <t>Pendiente visible en hojas Banco no Flexxus</t>
        </is>
      </c>
      <c r="G877" s="8" t="inlineStr"/>
    </row>
    <row r="878">
      <c r="A878" s="8" t="inlineStr">
        <is>
          <t>Banco</t>
        </is>
      </c>
      <c r="B878" s="8" t="inlineStr">
        <is>
          <t>20/04/2026</t>
        </is>
      </c>
      <c r="C878" s="8" t="inlineStr">
        <is>
          <t>107430</t>
        </is>
      </c>
      <c r="D878" s="8" t="inlineStr">
        <is>
          <t>INGRESOS BRUTOS MENDOZA</t>
        </is>
      </c>
      <c r="E878" s="9" t="n">
        <v>530.8099999999999</v>
      </c>
      <c r="F878" s="8" t="inlineStr">
        <is>
          <t>Pendiente visible en hojas Banco no Flexxus</t>
        </is>
      </c>
      <c r="G878" s="8" t="inlineStr"/>
    </row>
    <row r="879">
      <c r="A879" s="8" t="inlineStr">
        <is>
          <t>Banco</t>
        </is>
      </c>
      <c r="B879" s="8" t="inlineStr">
        <is>
          <t>20/04/2026</t>
        </is>
      </c>
      <c r="C879" s="8" t="inlineStr">
        <is>
          <t>107430</t>
        </is>
      </c>
      <c r="D879" s="8" t="inlineStr">
        <is>
          <t>GRAVAMEN LEY 25413 S/CRED</t>
        </is>
      </c>
      <c r="E879" s="9" t="n">
        <v>318.49</v>
      </c>
      <c r="F879" s="8" t="inlineStr">
        <is>
          <t>Pendiente visible en hojas Banco no Flexxus</t>
        </is>
      </c>
      <c r="G879" s="8" t="inlineStr"/>
    </row>
    <row r="880">
      <c r="A880" s="8" t="inlineStr">
        <is>
          <t>Banco</t>
        </is>
      </c>
      <c r="B880" s="8" t="inlineStr">
        <is>
          <t>20/04/2026</t>
        </is>
      </c>
      <c r="C880" s="8" t="inlineStr">
        <is>
          <t>107429</t>
        </is>
      </c>
      <c r="D880" s="8" t="inlineStr">
        <is>
          <t>INGRESOS BRUTOS MENDOZA</t>
        </is>
      </c>
      <c r="E880" s="9" t="n">
        <v>475.35</v>
      </c>
      <c r="F880" s="8" t="inlineStr">
        <is>
          <t>Pendiente visible en hojas Banco no Flexxus</t>
        </is>
      </c>
      <c r="G880" s="8" t="inlineStr"/>
    </row>
    <row r="881">
      <c r="A881" s="8" t="inlineStr">
        <is>
          <t>Banco</t>
        </is>
      </c>
      <c r="B881" s="8" t="inlineStr">
        <is>
          <t>20/04/2026</t>
        </is>
      </c>
      <c r="C881" s="8" t="inlineStr">
        <is>
          <t>107429</t>
        </is>
      </c>
      <c r="D881" s="8" t="inlineStr">
        <is>
          <t>GRAVAMEN LEY 25413 S/CRED</t>
        </is>
      </c>
      <c r="E881" s="9" t="n">
        <v>285.21</v>
      </c>
      <c r="F881" s="8" t="inlineStr">
        <is>
          <t>Pendiente visible en hojas Banco no Flexxus</t>
        </is>
      </c>
      <c r="G881" s="8" t="inlineStr"/>
    </row>
    <row r="882">
      <c r="A882" s="8" t="inlineStr">
        <is>
          <t>Banco</t>
        </is>
      </c>
      <c r="B882" s="8" t="inlineStr">
        <is>
          <t>20/04/2026</t>
        </is>
      </c>
      <c r="C882" s="8" t="inlineStr">
        <is>
          <t>107428</t>
        </is>
      </c>
      <c r="D882" s="8" t="inlineStr">
        <is>
          <t>INGRESOS BRUTOS MENDOZA</t>
        </is>
      </c>
      <c r="E882" s="9" t="n">
        <v>472.38</v>
      </c>
      <c r="F882" s="8" t="inlineStr">
        <is>
          <t>Pendiente visible en hojas Banco no Flexxus</t>
        </is>
      </c>
      <c r="G882" s="8" t="inlineStr"/>
    </row>
    <row r="883">
      <c r="A883" s="8" t="inlineStr">
        <is>
          <t>Banco</t>
        </is>
      </c>
      <c r="B883" s="8" t="inlineStr">
        <is>
          <t>20/04/2026</t>
        </is>
      </c>
      <c r="C883" s="8" t="inlineStr">
        <is>
          <t>107428</t>
        </is>
      </c>
      <c r="D883" s="8" t="inlineStr">
        <is>
          <t>GRAVAMEN LEY 25413 S/CRED</t>
        </is>
      </c>
      <c r="E883" s="9" t="n">
        <v>283.43</v>
      </c>
      <c r="F883" s="8" t="inlineStr">
        <is>
          <t>Pendiente visible en hojas Banco no Flexxus</t>
        </is>
      </c>
      <c r="G883" s="8" t="inlineStr"/>
    </row>
    <row r="884">
      <c r="A884" s="8" t="inlineStr">
        <is>
          <t>Banco</t>
        </is>
      </c>
      <c r="B884" s="8" t="inlineStr">
        <is>
          <t>20/04/2026</t>
        </is>
      </c>
      <c r="C884" s="8" t="inlineStr">
        <is>
          <t>107427</t>
        </is>
      </c>
      <c r="D884" s="8" t="inlineStr">
        <is>
          <t>INGRESOS BRUTOS MENDOZA</t>
        </is>
      </c>
      <c r="E884" s="9" t="n">
        <v>331.76</v>
      </c>
      <c r="F884" s="8" t="inlineStr">
        <is>
          <t>Pendiente visible en hojas Banco no Flexxus</t>
        </is>
      </c>
      <c r="G884" s="8" t="inlineStr"/>
    </row>
    <row r="885">
      <c r="A885" s="8" t="inlineStr">
        <is>
          <t>Banco</t>
        </is>
      </c>
      <c r="B885" s="8" t="inlineStr">
        <is>
          <t>20/04/2026</t>
        </is>
      </c>
      <c r="C885" s="8" t="inlineStr">
        <is>
          <t>107427</t>
        </is>
      </c>
      <c r="D885" s="8" t="inlineStr">
        <is>
          <t>GRAVAMEN LEY 25413 S/CRED</t>
        </is>
      </c>
      <c r="E885" s="9" t="n">
        <v>199.05</v>
      </c>
      <c r="F885" s="8" t="inlineStr">
        <is>
          <t>Pendiente visible en hojas Banco no Flexxus</t>
        </is>
      </c>
      <c r="G885" s="8" t="inlineStr"/>
    </row>
    <row r="886">
      <c r="A886" s="8" t="inlineStr">
        <is>
          <t>Banco</t>
        </is>
      </c>
      <c r="B886" s="8" t="inlineStr">
        <is>
          <t>20/04/2026</t>
        </is>
      </c>
      <c r="C886" s="8" t="inlineStr">
        <is>
          <t>107426</t>
        </is>
      </c>
      <c r="D886" s="8" t="inlineStr">
        <is>
          <t>INGRESOS BRUTOS MENDOZA</t>
        </is>
      </c>
      <c r="E886" s="9" t="n">
        <v>341.66</v>
      </c>
      <c r="F886" s="8" t="inlineStr">
        <is>
          <t>Pendiente visible en hojas Banco no Flexxus</t>
        </is>
      </c>
      <c r="G886" s="8" t="inlineStr"/>
    </row>
    <row r="887">
      <c r="A887" s="8" t="inlineStr">
        <is>
          <t>Banco</t>
        </is>
      </c>
      <c r="B887" s="8" t="inlineStr">
        <is>
          <t>20/04/2026</t>
        </is>
      </c>
      <c r="C887" s="8" t="inlineStr">
        <is>
          <t>107426</t>
        </is>
      </c>
      <c r="D887" s="8" t="inlineStr">
        <is>
          <t>GRAVAMEN LEY 25413 S/CRED</t>
        </is>
      </c>
      <c r="E887" s="9" t="n">
        <v>205</v>
      </c>
      <c r="F887" s="8" t="inlineStr">
        <is>
          <t>Pendiente visible en hojas Banco no Flexxus</t>
        </is>
      </c>
      <c r="G887" s="8" t="inlineStr"/>
    </row>
    <row r="888">
      <c r="A888" s="8" t="inlineStr">
        <is>
          <t>Banco</t>
        </is>
      </c>
      <c r="B888" s="8" t="inlineStr">
        <is>
          <t>20/04/2026</t>
        </is>
      </c>
      <c r="C888" s="8" t="inlineStr">
        <is>
          <t>107425</t>
        </is>
      </c>
      <c r="D888" s="8" t="inlineStr">
        <is>
          <t>INGRESOS BRUTOS MENDOZA</t>
        </is>
      </c>
      <c r="E888" s="9" t="n">
        <v>287.19</v>
      </c>
      <c r="F888" s="8" t="inlineStr">
        <is>
          <t>Pendiente visible en hojas Banco no Flexxus</t>
        </is>
      </c>
      <c r="G888" s="8" t="inlineStr"/>
    </row>
    <row r="889">
      <c r="A889" s="8" t="inlineStr">
        <is>
          <t>Banco</t>
        </is>
      </c>
      <c r="B889" s="8" t="inlineStr">
        <is>
          <t>20/04/2026</t>
        </is>
      </c>
      <c r="C889" s="8" t="inlineStr">
        <is>
          <t>107425</t>
        </is>
      </c>
      <c r="D889" s="8" t="inlineStr">
        <is>
          <t>GRAVAMEN LEY 25413 S/CRED</t>
        </is>
      </c>
      <c r="E889" s="9" t="n">
        <v>172.32</v>
      </c>
      <c r="F889" s="8" t="inlineStr">
        <is>
          <t>Pendiente visible en hojas Banco no Flexxus</t>
        </is>
      </c>
      <c r="G889" s="8" t="inlineStr"/>
    </row>
    <row r="890">
      <c r="A890" s="8" t="inlineStr">
        <is>
          <t>Banco</t>
        </is>
      </c>
      <c r="B890" s="8" t="inlineStr">
        <is>
          <t>20/04/2026</t>
        </is>
      </c>
      <c r="C890" s="8" t="inlineStr">
        <is>
          <t>107424</t>
        </is>
      </c>
      <c r="D890" s="8" t="inlineStr">
        <is>
          <t>INGRESOS BRUTOS MENDOZA</t>
        </is>
      </c>
      <c r="E890" s="9" t="n">
        <v>220.84</v>
      </c>
      <c r="F890" s="8" t="inlineStr">
        <is>
          <t>Pendiente visible en hojas Banco no Flexxus</t>
        </is>
      </c>
      <c r="G890" s="8" t="inlineStr"/>
    </row>
    <row r="891">
      <c r="A891" s="8" t="inlineStr">
        <is>
          <t>Banco</t>
        </is>
      </c>
      <c r="B891" s="8" t="inlineStr">
        <is>
          <t>20/04/2026</t>
        </is>
      </c>
      <c r="C891" s="8" t="inlineStr">
        <is>
          <t>107424</t>
        </is>
      </c>
      <c r="D891" s="8" t="inlineStr">
        <is>
          <t>GRAVAMEN LEY 25413 S/CRED</t>
        </is>
      </c>
      <c r="E891" s="9" t="n">
        <v>132.5</v>
      </c>
      <c r="F891" s="8" t="inlineStr">
        <is>
          <t>Pendiente visible en hojas Banco no Flexxus</t>
        </is>
      </c>
      <c r="G891" s="8" t="inlineStr"/>
    </row>
    <row r="892">
      <c r="A892" s="8" t="inlineStr">
        <is>
          <t>Banco</t>
        </is>
      </c>
      <c r="B892" s="8" t="inlineStr">
        <is>
          <t>20/04/2026</t>
        </is>
      </c>
      <c r="C892" s="8" t="inlineStr">
        <is>
          <t>107423</t>
        </is>
      </c>
      <c r="D892" s="8" t="inlineStr">
        <is>
          <t>INGRESOS BRUTOS MENDOZA</t>
        </is>
      </c>
      <c r="E892" s="9" t="n">
        <v>79.23</v>
      </c>
      <c r="F892" s="8" t="inlineStr">
        <is>
          <t>Pendiente visible en hojas Banco no Flexxus</t>
        </is>
      </c>
      <c r="G892" s="8" t="inlineStr"/>
    </row>
    <row r="893">
      <c r="A893" s="8" t="inlineStr">
        <is>
          <t>Banco</t>
        </is>
      </c>
      <c r="B893" s="8" t="inlineStr">
        <is>
          <t>20/04/2026</t>
        </is>
      </c>
      <c r="C893" s="8" t="inlineStr">
        <is>
          <t>107423</t>
        </is>
      </c>
      <c r="D893" s="8" t="inlineStr">
        <is>
          <t>GRAVAMEN LEY 25413 S/CRED</t>
        </is>
      </c>
      <c r="E893" s="9" t="n">
        <v>47.54</v>
      </c>
      <c r="F893" s="8" t="inlineStr">
        <is>
          <t>Pendiente visible en hojas Banco no Flexxus</t>
        </is>
      </c>
      <c r="G893" s="8" t="inlineStr"/>
    </row>
    <row r="894">
      <c r="A894" s="8" t="inlineStr">
        <is>
          <t>Banco</t>
        </is>
      </c>
      <c r="B894" s="8" t="inlineStr">
        <is>
          <t>20/04/2026</t>
        </is>
      </c>
      <c r="C894" s="8" t="inlineStr">
        <is>
          <t>107422</t>
        </is>
      </c>
      <c r="D894" s="8" t="inlineStr">
        <is>
          <t>INGRESOS BRUTOS MENDOZA</t>
        </is>
      </c>
      <c r="E894" s="9" t="n">
        <v>154.49</v>
      </c>
      <c r="F894" s="8" t="inlineStr">
        <is>
          <t>Pendiente visible en hojas Banco no Flexxus</t>
        </is>
      </c>
      <c r="G894" s="8" t="inlineStr"/>
    </row>
    <row r="895">
      <c r="A895" s="8" t="inlineStr">
        <is>
          <t>Banco</t>
        </is>
      </c>
      <c r="B895" s="8" t="inlineStr">
        <is>
          <t>20/04/2026</t>
        </is>
      </c>
      <c r="C895" s="8" t="inlineStr">
        <is>
          <t>107422</t>
        </is>
      </c>
      <c r="D895" s="8" t="inlineStr">
        <is>
          <t>GRAVAMEN LEY 25413 S/CRED</t>
        </is>
      </c>
      <c r="E895" s="9" t="n">
        <v>92.69</v>
      </c>
      <c r="F895" s="8" t="inlineStr">
        <is>
          <t>Pendiente visible en hojas Banco no Flexxus</t>
        </is>
      </c>
      <c r="G895" s="8" t="inlineStr"/>
    </row>
    <row r="896">
      <c r="A896" s="8" t="inlineStr">
        <is>
          <t>Banco</t>
        </is>
      </c>
      <c r="B896" s="8" t="inlineStr">
        <is>
          <t>20/04/2026</t>
        </is>
      </c>
      <c r="C896" s="8" t="inlineStr">
        <is>
          <t>107421</t>
        </is>
      </c>
      <c r="D896" s="8" t="inlineStr">
        <is>
          <t>INGRESOS BRUTOS MENDOZA</t>
        </is>
      </c>
      <c r="E896" s="9" t="n">
        <v>267.39</v>
      </c>
      <c r="F896" s="8" t="inlineStr">
        <is>
          <t>Pendiente visible en hojas Banco no Flexxus</t>
        </is>
      </c>
      <c r="G896" s="8" t="inlineStr"/>
    </row>
    <row r="897">
      <c r="A897" s="8" t="inlineStr">
        <is>
          <t>Banco</t>
        </is>
      </c>
      <c r="B897" s="8" t="inlineStr">
        <is>
          <t>20/04/2026</t>
        </is>
      </c>
      <c r="C897" s="8" t="inlineStr">
        <is>
          <t>107421</t>
        </is>
      </c>
      <c r="D897" s="8" t="inlineStr">
        <is>
          <t>GRAVAMEN LEY 25413 S/CRED</t>
        </is>
      </c>
      <c r="E897" s="9" t="n">
        <v>160.43</v>
      </c>
      <c r="F897" s="8" t="inlineStr">
        <is>
          <t>Pendiente visible en hojas Banco no Flexxus</t>
        </is>
      </c>
      <c r="G897" s="8" t="inlineStr"/>
    </row>
    <row r="898">
      <c r="A898" s="8" t="inlineStr">
        <is>
          <t>Banco</t>
        </is>
      </c>
      <c r="B898" s="8" t="inlineStr">
        <is>
          <t>20/04/2026</t>
        </is>
      </c>
      <c r="C898" s="8" t="inlineStr">
        <is>
          <t>107420</t>
        </is>
      </c>
      <c r="D898" s="8" t="inlineStr">
        <is>
          <t>INGRESOS BRUTOS MENDOZA</t>
        </is>
      </c>
      <c r="E898" s="9" t="n">
        <v>349.58</v>
      </c>
      <c r="F898" s="8" t="inlineStr">
        <is>
          <t>Pendiente visible en hojas Banco no Flexxus</t>
        </is>
      </c>
      <c r="G898" s="8" t="inlineStr"/>
    </row>
    <row r="899">
      <c r="A899" s="8" t="inlineStr">
        <is>
          <t>Banco</t>
        </is>
      </c>
      <c r="B899" s="8" t="inlineStr">
        <is>
          <t>20/04/2026</t>
        </is>
      </c>
      <c r="C899" s="8" t="inlineStr">
        <is>
          <t>107420</t>
        </is>
      </c>
      <c r="D899" s="8" t="inlineStr">
        <is>
          <t>GRAVAMEN LEY 25413 S/CRED</t>
        </is>
      </c>
      <c r="E899" s="9" t="n">
        <v>209.75</v>
      </c>
      <c r="F899" s="8" t="inlineStr">
        <is>
          <t>Pendiente visible en hojas Banco no Flexxus</t>
        </is>
      </c>
      <c r="G899" s="8" t="inlineStr"/>
    </row>
    <row r="900">
      <c r="A900" s="8" t="inlineStr">
        <is>
          <t>Banco</t>
        </is>
      </c>
      <c r="B900" s="8" t="inlineStr">
        <is>
          <t>20/04/2026</t>
        </is>
      </c>
      <c r="C900" s="8" t="inlineStr">
        <is>
          <t>107419</t>
        </is>
      </c>
      <c r="D900" s="8" t="inlineStr">
        <is>
          <t>INGRESOS BRUTOS MENDOZA</t>
        </is>
      </c>
      <c r="E900" s="9" t="n">
        <v>790.28</v>
      </c>
      <c r="F900" s="8" t="inlineStr">
        <is>
          <t>Pendiente visible en hojas Banco no Flexxus</t>
        </is>
      </c>
      <c r="G900" s="8" t="inlineStr"/>
    </row>
    <row r="901">
      <c r="A901" s="8" t="inlineStr">
        <is>
          <t>Banco</t>
        </is>
      </c>
      <c r="B901" s="8" t="inlineStr">
        <is>
          <t>20/04/2026</t>
        </is>
      </c>
      <c r="C901" s="8" t="inlineStr">
        <is>
          <t>107419</t>
        </is>
      </c>
      <c r="D901" s="8" t="inlineStr">
        <is>
          <t>GRAVAMEN LEY 25413 S/CRED</t>
        </is>
      </c>
      <c r="E901" s="9" t="n">
        <v>474.17</v>
      </c>
      <c r="F901" s="8" t="inlineStr">
        <is>
          <t>Pendiente visible en hojas Banco no Flexxus</t>
        </is>
      </c>
      <c r="G901" s="8" t="inlineStr"/>
    </row>
    <row r="902">
      <c r="A902" s="8" t="inlineStr">
        <is>
          <t>Banco</t>
        </is>
      </c>
      <c r="B902" s="8" t="inlineStr">
        <is>
          <t>20/04/2026</t>
        </is>
      </c>
      <c r="C902" s="8" t="inlineStr">
        <is>
          <t>107418</t>
        </is>
      </c>
      <c r="D902" s="8" t="inlineStr">
        <is>
          <t>INGRESOS BRUTOS MENDOZA</t>
        </is>
      </c>
      <c r="E902" s="9" t="n">
        <v>44.56</v>
      </c>
      <c r="F902" s="8" t="inlineStr">
        <is>
          <t>Pendiente visible en hojas Banco no Flexxus</t>
        </is>
      </c>
      <c r="G902" s="8" t="inlineStr"/>
    </row>
    <row r="903">
      <c r="A903" s="8" t="inlineStr">
        <is>
          <t>Banco</t>
        </is>
      </c>
      <c r="B903" s="8" t="inlineStr">
        <is>
          <t>20/04/2026</t>
        </is>
      </c>
      <c r="C903" s="8" t="inlineStr">
        <is>
          <t>107418</t>
        </is>
      </c>
      <c r="D903" s="8" t="inlineStr">
        <is>
          <t>GRAVAMEN LEY 25413 S/CRED</t>
        </is>
      </c>
      <c r="E903" s="9" t="n">
        <v>26.74</v>
      </c>
      <c r="F903" s="8" t="inlineStr">
        <is>
          <t>Pendiente visible en hojas Banco no Flexxus</t>
        </is>
      </c>
      <c r="G903" s="8" t="inlineStr"/>
    </row>
    <row r="904">
      <c r="A904" s="8" t="inlineStr">
        <is>
          <t>Banco</t>
        </is>
      </c>
      <c r="B904" s="8" t="inlineStr">
        <is>
          <t>20/04/2026</t>
        </is>
      </c>
      <c r="C904" s="8" t="inlineStr">
        <is>
          <t>107417</t>
        </is>
      </c>
      <c r="D904" s="8" t="inlineStr">
        <is>
          <t>INGRESOS BRUTOS MENDOZA</t>
        </is>
      </c>
      <c r="E904" s="9" t="n">
        <v>227.77</v>
      </c>
      <c r="F904" s="8" t="inlineStr">
        <is>
          <t>Pendiente visible en hojas Banco no Flexxus</t>
        </is>
      </c>
      <c r="G904" s="8" t="inlineStr"/>
    </row>
    <row r="905">
      <c r="A905" s="8" t="inlineStr">
        <is>
          <t>Banco</t>
        </is>
      </c>
      <c r="B905" s="8" t="inlineStr">
        <is>
          <t>20/04/2026</t>
        </is>
      </c>
      <c r="C905" s="8" t="inlineStr">
        <is>
          <t>107417</t>
        </is>
      </c>
      <c r="D905" s="8" t="inlineStr">
        <is>
          <t>GRAVAMEN LEY 25413 S/CRED</t>
        </is>
      </c>
      <c r="E905" s="9" t="n">
        <v>136.66</v>
      </c>
      <c r="F905" s="8" t="inlineStr">
        <is>
          <t>Pendiente visible en hojas Banco no Flexxus</t>
        </is>
      </c>
      <c r="G905" s="8" t="inlineStr"/>
    </row>
    <row r="906">
      <c r="A906" s="8" t="inlineStr">
        <is>
          <t>Banco</t>
        </is>
      </c>
      <c r="B906" s="8" t="inlineStr">
        <is>
          <t>20/04/2026</t>
        </is>
      </c>
      <c r="C906" s="8" t="inlineStr">
        <is>
          <t>107416</t>
        </is>
      </c>
      <c r="D906" s="8" t="inlineStr">
        <is>
          <t>INGRESOS BRUTOS MENDOZA</t>
        </is>
      </c>
      <c r="E906" s="9" t="n">
        <v>649.65</v>
      </c>
      <c r="F906" s="8" t="inlineStr">
        <is>
          <t>Pendiente visible en hojas Banco no Flexxus</t>
        </is>
      </c>
      <c r="G906" s="8" t="inlineStr"/>
    </row>
    <row r="907">
      <c r="A907" s="8" t="inlineStr">
        <is>
          <t>Banco</t>
        </is>
      </c>
      <c r="B907" s="8" t="inlineStr">
        <is>
          <t>20/04/2026</t>
        </is>
      </c>
      <c r="C907" s="8" t="inlineStr">
        <is>
          <t>107416</t>
        </is>
      </c>
      <c r="D907" s="8" t="inlineStr">
        <is>
          <t>GRAVAMEN LEY 25413 S/CRED</t>
        </is>
      </c>
      <c r="E907" s="9" t="n">
        <v>389.79</v>
      </c>
      <c r="F907" s="8" t="inlineStr">
        <is>
          <t>Pendiente visible en hojas Banco no Flexxus</t>
        </is>
      </c>
      <c r="G907" s="8" t="inlineStr"/>
    </row>
    <row r="908">
      <c r="A908" s="8" t="inlineStr">
        <is>
          <t>Banco</t>
        </is>
      </c>
      <c r="B908" s="8" t="inlineStr">
        <is>
          <t>20/04/2026</t>
        </is>
      </c>
      <c r="C908" s="8" t="inlineStr">
        <is>
          <t>107415</t>
        </is>
      </c>
      <c r="D908" s="8" t="inlineStr">
        <is>
          <t>INGRESOS BRUTOS MENDOZA</t>
        </is>
      </c>
      <c r="E908" s="9" t="n">
        <v>287.19</v>
      </c>
      <c r="F908" s="8" t="inlineStr">
        <is>
          <t>Pendiente visible en hojas Banco no Flexxus</t>
        </is>
      </c>
      <c r="G908" s="8" t="inlineStr"/>
    </row>
    <row r="909">
      <c r="A909" s="8" t="inlineStr">
        <is>
          <t>Banco</t>
        </is>
      </c>
      <c r="B909" s="8" t="inlineStr">
        <is>
          <t>20/04/2026</t>
        </is>
      </c>
      <c r="C909" s="8" t="inlineStr">
        <is>
          <t>107415</t>
        </is>
      </c>
      <c r="D909" s="8" t="inlineStr">
        <is>
          <t>GRAVAMEN LEY 25413 S/CRED</t>
        </is>
      </c>
      <c r="E909" s="9" t="n">
        <v>172.32</v>
      </c>
      <c r="F909" s="8" t="inlineStr">
        <is>
          <t>Pendiente visible en hojas Banco no Flexxus</t>
        </is>
      </c>
      <c r="G909" s="8" t="inlineStr"/>
    </row>
    <row r="910">
      <c r="A910" s="8" t="inlineStr">
        <is>
          <t>Banco</t>
        </is>
      </c>
      <c r="B910" s="8" t="inlineStr">
        <is>
          <t>20/04/2026</t>
        </is>
      </c>
      <c r="C910" s="8" t="inlineStr">
        <is>
          <t>107414</t>
        </is>
      </c>
      <c r="D910" s="8" t="inlineStr">
        <is>
          <t>INGRESOS BRUTOS MENDOZA</t>
        </is>
      </c>
      <c r="E910" s="9" t="n">
        <v>237.68</v>
      </c>
      <c r="F910" s="8" t="inlineStr">
        <is>
          <t>Pendiente visible en hojas Banco no Flexxus</t>
        </is>
      </c>
      <c r="G910" s="8" t="inlineStr"/>
    </row>
    <row r="911">
      <c r="A911" s="8" t="inlineStr">
        <is>
          <t>Banco</t>
        </is>
      </c>
      <c r="B911" s="8" t="inlineStr">
        <is>
          <t>20/04/2026</t>
        </is>
      </c>
      <c r="C911" s="8" t="inlineStr">
        <is>
          <t>107414</t>
        </is>
      </c>
      <c r="D911" s="8" t="inlineStr">
        <is>
          <t>GRAVAMEN LEY 25413 S/CRED</t>
        </is>
      </c>
      <c r="E911" s="9" t="n">
        <v>142.61</v>
      </c>
      <c r="F911" s="8" t="inlineStr">
        <is>
          <t>Pendiente visible en hojas Banco no Flexxus</t>
        </is>
      </c>
      <c r="G911" s="8" t="inlineStr"/>
    </row>
    <row r="912">
      <c r="A912" s="8" t="inlineStr">
        <is>
          <t>Banco</t>
        </is>
      </c>
      <c r="B912" s="8" t="inlineStr">
        <is>
          <t>20/04/2026</t>
        </is>
      </c>
      <c r="C912" s="8" t="inlineStr">
        <is>
          <t>107413</t>
        </is>
      </c>
      <c r="D912" s="8" t="inlineStr">
        <is>
          <t>INGRESOS BRUTOS MENDOZA</t>
        </is>
      </c>
      <c r="E912" s="9" t="n">
        <v>247.58</v>
      </c>
      <c r="F912" s="8" t="inlineStr">
        <is>
          <t>Pendiente visible en hojas Banco no Flexxus</t>
        </is>
      </c>
      <c r="G912" s="8" t="inlineStr"/>
    </row>
    <row r="913">
      <c r="A913" s="8" t="inlineStr">
        <is>
          <t>Banco</t>
        </is>
      </c>
      <c r="B913" s="8" t="inlineStr">
        <is>
          <t>20/04/2026</t>
        </is>
      </c>
      <c r="C913" s="8" t="inlineStr">
        <is>
          <t>107413</t>
        </is>
      </c>
      <c r="D913" s="8" t="inlineStr">
        <is>
          <t>GRAVAMEN LEY 25413 S/CRED</t>
        </is>
      </c>
      <c r="E913" s="9" t="n">
        <v>148.55</v>
      </c>
      <c r="F913" s="8" t="inlineStr">
        <is>
          <t>Pendiente visible en hojas Banco no Flexxus</t>
        </is>
      </c>
      <c r="G913" s="8" t="inlineStr"/>
    </row>
    <row r="914">
      <c r="A914" s="8" t="inlineStr">
        <is>
          <t>Banco</t>
        </is>
      </c>
      <c r="B914" s="8" t="inlineStr">
        <is>
          <t>20/04/2026</t>
        </is>
      </c>
      <c r="C914" s="8" t="inlineStr">
        <is>
          <t>107412</t>
        </is>
      </c>
      <c r="D914" s="8" t="inlineStr">
        <is>
          <t>INGRESOS BRUTOS MENDOZA</t>
        </is>
      </c>
      <c r="E914" s="9" t="n">
        <v>228.76</v>
      </c>
      <c r="F914" s="8" t="inlineStr">
        <is>
          <t>Pendiente visible en hojas Banco no Flexxus</t>
        </is>
      </c>
      <c r="G914" s="8" t="inlineStr"/>
    </row>
    <row r="915">
      <c r="A915" s="8" t="inlineStr">
        <is>
          <t>Banco</t>
        </is>
      </c>
      <c r="B915" s="8" t="inlineStr">
        <is>
          <t>20/04/2026</t>
        </is>
      </c>
      <c r="C915" s="8" t="inlineStr">
        <is>
          <t>107412</t>
        </is>
      </c>
      <c r="D915" s="8" t="inlineStr">
        <is>
          <t>GRAVAMEN LEY 25413 S/CRED</t>
        </is>
      </c>
      <c r="E915" s="9" t="n">
        <v>137.26</v>
      </c>
      <c r="F915" s="8" t="inlineStr">
        <is>
          <t>Pendiente visible en hojas Banco no Flexxus</t>
        </is>
      </c>
      <c r="G915" s="8" t="inlineStr"/>
    </row>
    <row r="916">
      <c r="A916" s="8" t="inlineStr">
        <is>
          <t>Banco</t>
        </is>
      </c>
      <c r="B916" s="8" t="inlineStr">
        <is>
          <t>20/04/2026</t>
        </is>
      </c>
      <c r="C916" s="8" t="inlineStr">
        <is>
          <t>107411</t>
        </is>
      </c>
      <c r="D916" s="8" t="inlineStr">
        <is>
          <t>INGRESOS BRUTOS MENDOZA</t>
        </is>
      </c>
      <c r="E916" s="9" t="n">
        <v>369.39</v>
      </c>
      <c r="F916" s="8" t="inlineStr">
        <is>
          <t>Pendiente visible en hojas Banco no Flexxus</t>
        </is>
      </c>
      <c r="G916" s="8" t="inlineStr"/>
    </row>
    <row r="917">
      <c r="A917" s="8" t="inlineStr">
        <is>
          <t>Banco</t>
        </is>
      </c>
      <c r="B917" s="8" t="inlineStr">
        <is>
          <t>20/04/2026</t>
        </is>
      </c>
      <c r="C917" s="8" t="inlineStr">
        <is>
          <t>107411</t>
        </is>
      </c>
      <c r="D917" s="8" t="inlineStr">
        <is>
          <t>GRAVAMEN LEY 25413 S/CRED</t>
        </is>
      </c>
      <c r="E917" s="9" t="n">
        <v>221.63</v>
      </c>
      <c r="F917" s="8" t="inlineStr">
        <is>
          <t>Pendiente visible en hojas Banco no Flexxus</t>
        </is>
      </c>
      <c r="G917" s="8" t="inlineStr"/>
    </row>
    <row r="918">
      <c r="A918" s="8" t="inlineStr">
        <is>
          <t>Banco</t>
        </is>
      </c>
      <c r="B918" s="8" t="inlineStr">
        <is>
          <t>20/04/2026</t>
        </is>
      </c>
      <c r="C918" s="8" t="inlineStr">
        <is>
          <t>107410</t>
        </is>
      </c>
      <c r="D918" s="8" t="inlineStr">
        <is>
          <t>INGRESOS BRUTOS MENDOZA</t>
        </is>
      </c>
      <c r="E918" s="9" t="n">
        <v>295.12</v>
      </c>
      <c r="F918" s="8" t="inlineStr">
        <is>
          <t>Pendiente visible en hojas Banco no Flexxus</t>
        </is>
      </c>
      <c r="G918" s="8" t="inlineStr"/>
    </row>
    <row r="919">
      <c r="A919" s="8" t="inlineStr">
        <is>
          <t>Banco</t>
        </is>
      </c>
      <c r="B919" s="8" t="inlineStr">
        <is>
          <t>20/04/2026</t>
        </is>
      </c>
      <c r="C919" s="8" t="inlineStr">
        <is>
          <t>107410</t>
        </is>
      </c>
      <c r="D919" s="8" t="inlineStr">
        <is>
          <t>GRAVAMEN LEY 25413 S/CRED</t>
        </is>
      </c>
      <c r="E919" s="9" t="n">
        <v>177.07</v>
      </c>
      <c r="F919" s="8" t="inlineStr">
        <is>
          <t>Pendiente visible en hojas Banco no Flexxus</t>
        </is>
      </c>
      <c r="G919" s="8" t="inlineStr"/>
    </row>
    <row r="920">
      <c r="A920" s="8" t="inlineStr">
        <is>
          <t>Banco</t>
        </is>
      </c>
      <c r="B920" s="8" t="inlineStr">
        <is>
          <t>20/04/2026</t>
        </is>
      </c>
      <c r="C920" s="8" t="inlineStr">
        <is>
          <t>107409</t>
        </is>
      </c>
      <c r="D920" s="8" t="inlineStr">
        <is>
          <t>INGRESOS BRUTOS MENDOZA</t>
        </is>
      </c>
      <c r="E920" s="9" t="n">
        <v>154.49</v>
      </c>
      <c r="F920" s="8" t="inlineStr">
        <is>
          <t>Pendiente visible en hojas Banco no Flexxus</t>
        </is>
      </c>
      <c r="G920" s="8" t="inlineStr"/>
    </row>
    <row r="921">
      <c r="A921" s="8" t="inlineStr">
        <is>
          <t>Banco</t>
        </is>
      </c>
      <c r="B921" s="8" t="inlineStr">
        <is>
          <t>20/04/2026</t>
        </is>
      </c>
      <c r="C921" s="8" t="inlineStr">
        <is>
          <t>107409</t>
        </is>
      </c>
      <c r="D921" s="8" t="inlineStr">
        <is>
          <t>GRAVAMEN LEY 25413 S/CRED</t>
        </is>
      </c>
      <c r="E921" s="9" t="n">
        <v>92.69</v>
      </c>
      <c r="F921" s="8" t="inlineStr">
        <is>
          <t>Pendiente visible en hojas Banco no Flexxus</t>
        </is>
      </c>
      <c r="G921" s="8" t="inlineStr"/>
    </row>
    <row r="922">
      <c r="A922" s="8" t="inlineStr">
        <is>
          <t>Banco</t>
        </is>
      </c>
      <c r="B922" s="8" t="inlineStr">
        <is>
          <t>20/04/2026</t>
        </is>
      </c>
      <c r="C922" s="8" t="inlineStr">
        <is>
          <t>107408</t>
        </is>
      </c>
      <c r="D922" s="8" t="inlineStr">
        <is>
          <t>INGRESOS BRUTOS MENDOZA</t>
        </is>
      </c>
      <c r="E922" s="9" t="n">
        <v>161.42</v>
      </c>
      <c r="F922" s="8" t="inlineStr">
        <is>
          <t>Pendiente visible en hojas Banco no Flexxus</t>
        </is>
      </c>
      <c r="G922" s="8" t="inlineStr"/>
    </row>
    <row r="923">
      <c r="A923" s="8" t="inlineStr">
        <is>
          <t>Banco</t>
        </is>
      </c>
      <c r="B923" s="8" t="inlineStr">
        <is>
          <t>20/04/2026</t>
        </is>
      </c>
      <c r="C923" s="8" t="inlineStr">
        <is>
          <t>107408</t>
        </is>
      </c>
      <c r="D923" s="8" t="inlineStr">
        <is>
          <t>GRAVAMEN LEY 25413 S/CRED</t>
        </is>
      </c>
      <c r="E923" s="9" t="n">
        <v>96.84999999999999</v>
      </c>
      <c r="F923" s="8" t="inlineStr">
        <is>
          <t>Pendiente visible en hojas Banco no Flexxus</t>
        </is>
      </c>
      <c r="G923" s="8" t="inlineStr"/>
    </row>
    <row r="924">
      <c r="A924" s="8" t="inlineStr">
        <is>
          <t>Banco</t>
        </is>
      </c>
      <c r="B924" s="8" t="inlineStr">
        <is>
          <t>20/04/2026</t>
        </is>
      </c>
      <c r="C924" s="8" t="inlineStr">
        <is>
          <t>107407</t>
        </is>
      </c>
      <c r="D924" s="8" t="inlineStr">
        <is>
          <t>INGRESOS BRUTOS MENDOZA</t>
        </is>
      </c>
      <c r="E924" s="9" t="n">
        <v>199.05</v>
      </c>
      <c r="F924" s="8" t="inlineStr">
        <is>
          <t>Pendiente visible en hojas Banco no Flexxus</t>
        </is>
      </c>
      <c r="G924" s="8" t="inlineStr"/>
    </row>
    <row r="925">
      <c r="A925" s="8" t="inlineStr">
        <is>
          <t>Banco</t>
        </is>
      </c>
      <c r="B925" s="8" t="inlineStr">
        <is>
          <t>20/04/2026</t>
        </is>
      </c>
      <c r="C925" s="8" t="inlineStr">
        <is>
          <t>107407</t>
        </is>
      </c>
      <c r="D925" s="8" t="inlineStr">
        <is>
          <t>GRAVAMEN LEY 25413 S/CRED</t>
        </is>
      </c>
      <c r="E925" s="9" t="n">
        <v>119.43</v>
      </c>
      <c r="F925" s="8" t="inlineStr">
        <is>
          <t>Pendiente visible en hojas Banco no Flexxus</t>
        </is>
      </c>
      <c r="G925" s="8" t="inlineStr"/>
    </row>
    <row r="926">
      <c r="A926" s="8" t="inlineStr">
        <is>
          <t>Banco</t>
        </is>
      </c>
      <c r="B926" s="8" t="inlineStr">
        <is>
          <t>20/04/2026</t>
        </is>
      </c>
      <c r="C926" s="8" t="inlineStr">
        <is>
          <t>107406</t>
        </is>
      </c>
      <c r="D926" s="8" t="inlineStr">
        <is>
          <t>INGRESOS BRUTOS MENDOZA</t>
        </is>
      </c>
      <c r="E926" s="9" t="n">
        <v>189.15</v>
      </c>
      <c r="F926" s="8" t="inlineStr">
        <is>
          <t>Pendiente visible en hojas Banco no Flexxus</t>
        </is>
      </c>
      <c r="G926" s="8" t="inlineStr"/>
    </row>
    <row r="927">
      <c r="A927" s="8" t="inlineStr">
        <is>
          <t>Banco</t>
        </is>
      </c>
      <c r="B927" s="8" t="inlineStr">
        <is>
          <t>20/04/2026</t>
        </is>
      </c>
      <c r="C927" s="8" t="inlineStr">
        <is>
          <t>107406</t>
        </is>
      </c>
      <c r="D927" s="8" t="inlineStr">
        <is>
          <t>GRAVAMEN LEY 25413 S/CRED</t>
        </is>
      </c>
      <c r="E927" s="9" t="n">
        <v>113.49</v>
      </c>
      <c r="F927" s="8" t="inlineStr">
        <is>
          <t>Pendiente visible en hojas Banco no Flexxus</t>
        </is>
      </c>
      <c r="G927" s="8" t="inlineStr"/>
    </row>
    <row r="928">
      <c r="A928" s="8" t="inlineStr">
        <is>
          <t>Banco</t>
        </is>
      </c>
      <c r="B928" s="8" t="inlineStr">
        <is>
          <t>20/04/2026</t>
        </is>
      </c>
      <c r="C928" s="8" t="inlineStr">
        <is>
          <t>107405</t>
        </is>
      </c>
      <c r="D928" s="8" t="inlineStr">
        <is>
          <t>INGRESOS BRUTOS MENDOZA</t>
        </is>
      </c>
      <c r="E928" s="9" t="n">
        <v>148.55</v>
      </c>
      <c r="F928" s="8" t="inlineStr">
        <is>
          <t>Pendiente visible en hojas Banco no Flexxus</t>
        </is>
      </c>
      <c r="G928" s="8" t="inlineStr"/>
    </row>
    <row r="929">
      <c r="A929" s="8" t="inlineStr">
        <is>
          <t>Banco</t>
        </is>
      </c>
      <c r="B929" s="8" t="inlineStr">
        <is>
          <t>20/04/2026</t>
        </is>
      </c>
      <c r="C929" s="8" t="inlineStr">
        <is>
          <t>107405</t>
        </is>
      </c>
      <c r="D929" s="8" t="inlineStr">
        <is>
          <t>GRAVAMEN LEY 25413 S/CRED</t>
        </is>
      </c>
      <c r="E929" s="9" t="n">
        <v>89.13</v>
      </c>
      <c r="F929" s="8" t="inlineStr">
        <is>
          <t>Pendiente visible en hojas Banco no Flexxus</t>
        </is>
      </c>
      <c r="G929" s="8" t="inlineStr"/>
    </row>
    <row r="930">
      <c r="A930" s="8" t="inlineStr">
        <is>
          <t>Banco</t>
        </is>
      </c>
      <c r="B930" s="8" t="inlineStr">
        <is>
          <t>20/04/2026</t>
        </is>
      </c>
      <c r="C930" s="8" t="inlineStr">
        <is>
          <t>107404</t>
        </is>
      </c>
      <c r="D930" s="8" t="inlineStr">
        <is>
          <t>INGRESOS BRUTOS MENDOZA</t>
        </is>
      </c>
      <c r="E930" s="9" t="n">
        <v>724.91</v>
      </c>
      <c r="F930" s="8" t="inlineStr">
        <is>
          <t>Pendiente visible en hojas Banco no Flexxus</t>
        </is>
      </c>
      <c r="G930" s="8" t="inlineStr"/>
    </row>
    <row r="931">
      <c r="A931" s="8" t="inlineStr">
        <is>
          <t>Banco</t>
        </is>
      </c>
      <c r="B931" s="8" t="inlineStr">
        <is>
          <t>20/04/2026</t>
        </is>
      </c>
      <c r="C931" s="8" t="inlineStr">
        <is>
          <t>107404</t>
        </is>
      </c>
      <c r="D931" s="8" t="inlineStr">
        <is>
          <t>GRAVAMEN LEY 25413 S/CRED</t>
        </is>
      </c>
      <c r="E931" s="9" t="n">
        <v>434.95</v>
      </c>
      <c r="F931" s="8" t="inlineStr">
        <is>
          <t>Pendiente visible en hojas Banco no Flexxus</t>
        </is>
      </c>
      <c r="G931" s="8" t="inlineStr"/>
    </row>
    <row r="932">
      <c r="A932" s="8" t="inlineStr">
        <is>
          <t>Banco</t>
        </is>
      </c>
      <c r="B932" s="8" t="inlineStr">
        <is>
          <t>20/04/2026</t>
        </is>
      </c>
      <c r="C932" s="8" t="inlineStr">
        <is>
          <t>107403</t>
        </is>
      </c>
      <c r="D932" s="8" t="inlineStr">
        <is>
          <t>INGRESOS BRUTOS MENDOZA</t>
        </is>
      </c>
      <c r="E932" s="9" t="n">
        <v>668.47</v>
      </c>
      <c r="F932" s="8" t="inlineStr">
        <is>
          <t>Pendiente visible en hojas Banco no Flexxus</t>
        </is>
      </c>
      <c r="G932" s="8" t="inlineStr"/>
    </row>
    <row r="933">
      <c r="A933" s="8" t="inlineStr">
        <is>
          <t>Banco</t>
        </is>
      </c>
      <c r="B933" s="8" t="inlineStr">
        <is>
          <t>20/04/2026</t>
        </is>
      </c>
      <c r="C933" s="8" t="inlineStr">
        <is>
          <t>107403</t>
        </is>
      </c>
      <c r="D933" s="8" t="inlineStr">
        <is>
          <t>GRAVAMEN LEY 25413 S/CRED</t>
        </is>
      </c>
      <c r="E933" s="9" t="n">
        <v>401.08</v>
      </c>
      <c r="F933" s="8" t="inlineStr">
        <is>
          <t>Pendiente visible en hojas Banco no Flexxus</t>
        </is>
      </c>
      <c r="G933" s="8" t="inlineStr"/>
    </row>
    <row r="934">
      <c r="A934" s="8" t="inlineStr">
        <is>
          <t>Banco</t>
        </is>
      </c>
      <c r="B934" s="8" t="inlineStr">
        <is>
          <t>20/04/2026</t>
        </is>
      </c>
      <c r="C934" s="8" t="inlineStr">
        <is>
          <t>107402</t>
        </is>
      </c>
      <c r="D934" s="8" t="inlineStr">
        <is>
          <t>INGRESOS BRUTOS MENDOZA</t>
        </is>
      </c>
      <c r="E934" s="9" t="n">
        <v>589.24</v>
      </c>
      <c r="F934" s="8" t="inlineStr">
        <is>
          <t>Pendiente visible en hojas Banco no Flexxus</t>
        </is>
      </c>
      <c r="G934" s="8" t="inlineStr"/>
    </row>
    <row r="935">
      <c r="A935" s="8" t="inlineStr">
        <is>
          <t>Banco</t>
        </is>
      </c>
      <c r="B935" s="8" t="inlineStr">
        <is>
          <t>20/04/2026</t>
        </is>
      </c>
      <c r="C935" s="8" t="inlineStr">
        <is>
          <t>107402</t>
        </is>
      </c>
      <c r="D935" s="8" t="inlineStr">
        <is>
          <t>GRAVAMEN LEY 25413 S/CRED</t>
        </is>
      </c>
      <c r="E935" s="9" t="n">
        <v>353.54</v>
      </c>
      <c r="F935" s="8" t="inlineStr">
        <is>
          <t>Pendiente visible en hojas Banco no Flexxus</t>
        </is>
      </c>
      <c r="G935" s="8" t="inlineStr"/>
    </row>
    <row r="936">
      <c r="A936" s="8" t="inlineStr">
        <is>
          <t>Banco</t>
        </is>
      </c>
      <c r="B936" s="8" t="inlineStr">
        <is>
          <t>20/04/2026</t>
        </is>
      </c>
      <c r="C936" s="8" t="inlineStr">
        <is>
          <t>107401</t>
        </is>
      </c>
      <c r="D936" s="8" t="inlineStr">
        <is>
          <t>INGRESOS BRUTOS MENDOZA</t>
        </is>
      </c>
      <c r="E936" s="9" t="n">
        <v>1099.26</v>
      </c>
      <c r="F936" s="8" t="inlineStr">
        <is>
          <t>Pendiente visible en hojas Banco no Flexxus</t>
        </is>
      </c>
      <c r="G936" s="8" t="inlineStr"/>
    </row>
    <row r="937">
      <c r="A937" s="8" t="inlineStr">
        <is>
          <t>Banco</t>
        </is>
      </c>
      <c r="B937" s="8" t="inlineStr">
        <is>
          <t>20/04/2026</t>
        </is>
      </c>
      <c r="C937" s="8" t="inlineStr">
        <is>
          <t>107401</t>
        </is>
      </c>
      <c r="D937" s="8" t="inlineStr">
        <is>
          <t>GRAVAMEN LEY 25413 S/CRED</t>
        </is>
      </c>
      <c r="E937" s="9" t="n">
        <v>659.55</v>
      </c>
      <c r="F937" s="8" t="inlineStr">
        <is>
          <t>Pendiente visible en hojas Banco no Flexxus</t>
        </is>
      </c>
      <c r="G937" s="8" t="inlineStr"/>
    </row>
    <row r="938">
      <c r="A938" s="8" t="inlineStr">
        <is>
          <t>Banco</t>
        </is>
      </c>
      <c r="B938" s="8" t="inlineStr">
        <is>
          <t>20/04/2026</t>
        </is>
      </c>
      <c r="C938" s="8" t="inlineStr">
        <is>
          <t>107400</t>
        </is>
      </c>
      <c r="D938" s="8" t="inlineStr">
        <is>
          <t>INGRESOS BRUTOS MENDOZA</t>
        </is>
      </c>
      <c r="E938" s="9" t="n">
        <v>514.97</v>
      </c>
      <c r="F938" s="8" t="inlineStr">
        <is>
          <t>Pendiente visible en hojas Banco no Flexxus</t>
        </is>
      </c>
      <c r="G938" s="8" t="inlineStr"/>
    </row>
    <row r="939">
      <c r="A939" s="8" t="inlineStr">
        <is>
          <t>Banco</t>
        </is>
      </c>
      <c r="B939" s="8" t="inlineStr">
        <is>
          <t>20/04/2026</t>
        </is>
      </c>
      <c r="C939" s="8" t="inlineStr">
        <is>
          <t>107400</t>
        </is>
      </c>
      <c r="D939" s="8" t="inlineStr">
        <is>
          <t>GRAVAMEN LEY 25413 S/CRED</t>
        </is>
      </c>
      <c r="E939" s="9" t="n">
        <v>308.98</v>
      </c>
      <c r="F939" s="8" t="inlineStr">
        <is>
          <t>Pendiente visible en hojas Banco no Flexxus</t>
        </is>
      </c>
      <c r="G939" s="8" t="inlineStr"/>
    </row>
    <row r="940">
      <c r="A940" s="8" t="inlineStr">
        <is>
          <t>Banco</t>
        </is>
      </c>
      <c r="B940" s="8" t="inlineStr">
        <is>
          <t>20/04/2026</t>
        </is>
      </c>
      <c r="C940" s="8" t="inlineStr">
        <is>
          <t>107399</t>
        </is>
      </c>
      <c r="D940" s="8" t="inlineStr">
        <is>
          <t>INGRESOS BRUTOS MENDOZA</t>
        </is>
      </c>
      <c r="E940" s="9" t="n">
        <v>554.58</v>
      </c>
      <c r="F940" s="8" t="inlineStr">
        <is>
          <t>Pendiente visible en hojas Banco no Flexxus</t>
        </is>
      </c>
      <c r="G940" s="8" t="inlineStr"/>
    </row>
    <row r="941">
      <c r="A941" s="8" t="inlineStr">
        <is>
          <t>Banco</t>
        </is>
      </c>
      <c r="B941" s="8" t="inlineStr">
        <is>
          <t>20/04/2026</t>
        </is>
      </c>
      <c r="C941" s="8" t="inlineStr">
        <is>
          <t>107399</t>
        </is>
      </c>
      <c r="D941" s="8" t="inlineStr">
        <is>
          <t>GRAVAMEN LEY 25413 S/CRED</t>
        </is>
      </c>
      <c r="E941" s="9" t="n">
        <v>332.75</v>
      </c>
      <c r="F941" s="8" t="inlineStr">
        <is>
          <t>Pendiente visible en hojas Banco no Flexxus</t>
        </is>
      </c>
      <c r="G941" s="8" t="inlineStr"/>
    </row>
    <row r="942">
      <c r="A942" s="8" t="inlineStr">
        <is>
          <t>Banco</t>
        </is>
      </c>
      <c r="B942" s="8" t="inlineStr">
        <is>
          <t>20/04/2026</t>
        </is>
      </c>
      <c r="C942" s="8" t="inlineStr">
        <is>
          <t>107398</t>
        </is>
      </c>
      <c r="D942" s="8" t="inlineStr">
        <is>
          <t>INGRESOS BRUTOS MENDOZA</t>
        </is>
      </c>
      <c r="E942" s="9" t="n">
        <v>321.85</v>
      </c>
      <c r="F942" s="8" t="inlineStr">
        <is>
          <t>Pendiente visible en hojas Banco no Flexxus</t>
        </is>
      </c>
      <c r="G942" s="8" t="inlineStr"/>
    </row>
    <row r="943">
      <c r="A943" s="8" t="inlineStr">
        <is>
          <t>Banco</t>
        </is>
      </c>
      <c r="B943" s="8" t="inlineStr">
        <is>
          <t>20/04/2026</t>
        </is>
      </c>
      <c r="C943" s="8" t="inlineStr">
        <is>
          <t>107398</t>
        </is>
      </c>
      <c r="D943" s="8" t="inlineStr">
        <is>
          <t>GRAVAMEN LEY 25413 S/CRED</t>
        </is>
      </c>
      <c r="E943" s="9" t="n">
        <v>193.11</v>
      </c>
      <c r="F943" s="8" t="inlineStr">
        <is>
          <t>Pendiente visible en hojas Banco no Flexxus</t>
        </is>
      </c>
      <c r="G943" s="8" t="inlineStr"/>
    </row>
    <row r="944">
      <c r="A944" s="8" t="inlineStr">
        <is>
          <t>Banco</t>
        </is>
      </c>
      <c r="B944" s="8" t="inlineStr">
        <is>
          <t>20/04/2026</t>
        </is>
      </c>
      <c r="C944" s="8" t="inlineStr">
        <is>
          <t>107397</t>
        </is>
      </c>
      <c r="D944" s="8" t="inlineStr">
        <is>
          <t>INGRESOS BRUTOS MENDOZA</t>
        </is>
      </c>
      <c r="E944" s="9" t="n">
        <v>83.19</v>
      </c>
      <c r="F944" s="8" t="inlineStr">
        <is>
          <t>Pendiente visible en hojas Banco no Flexxus</t>
        </is>
      </c>
      <c r="G944" s="8" t="inlineStr"/>
    </row>
    <row r="945">
      <c r="A945" s="8" t="inlineStr">
        <is>
          <t>Banco</t>
        </is>
      </c>
      <c r="B945" s="8" t="inlineStr">
        <is>
          <t>20/04/2026</t>
        </is>
      </c>
      <c r="C945" s="8" t="inlineStr">
        <is>
          <t>107397</t>
        </is>
      </c>
      <c r="D945" s="8" t="inlineStr">
        <is>
          <t>GRAVAMEN LEY 25413 S/CRED</t>
        </is>
      </c>
      <c r="E945" s="9" t="n">
        <v>49.91</v>
      </c>
      <c r="F945" s="8" t="inlineStr">
        <is>
          <t>Pendiente visible en hojas Banco no Flexxus</t>
        </is>
      </c>
      <c r="G945" s="8" t="inlineStr"/>
    </row>
    <row r="946">
      <c r="A946" s="8" t="inlineStr">
        <is>
          <t>Banco</t>
        </is>
      </c>
      <c r="B946" s="8" t="inlineStr">
        <is>
          <t>20/04/2026</t>
        </is>
      </c>
      <c r="C946" s="8" t="inlineStr">
        <is>
          <t>107396</t>
        </is>
      </c>
      <c r="D946" s="8" t="inlineStr">
        <is>
          <t>INGRESOS BRUTOS MENDOZA</t>
        </is>
      </c>
      <c r="E946" s="9" t="n">
        <v>133.69</v>
      </c>
      <c r="F946" s="8" t="inlineStr">
        <is>
          <t>Pendiente visible en hojas Banco no Flexxus</t>
        </is>
      </c>
      <c r="G946" s="8" t="inlineStr"/>
    </row>
    <row r="947">
      <c r="A947" s="8" t="inlineStr">
        <is>
          <t>Banco</t>
        </is>
      </c>
      <c r="B947" s="8" t="inlineStr">
        <is>
          <t>20/04/2026</t>
        </is>
      </c>
      <c r="C947" s="8" t="inlineStr">
        <is>
          <t>107396</t>
        </is>
      </c>
      <c r="D947" s="8" t="inlineStr">
        <is>
          <t>GRAVAMEN LEY 25413 S/CRED</t>
        </is>
      </c>
      <c r="E947" s="9" t="n">
        <v>80.22</v>
      </c>
      <c r="F947" s="8" t="inlineStr">
        <is>
          <t>Pendiente visible en hojas Banco no Flexxus</t>
        </is>
      </c>
      <c r="G947" s="8" t="inlineStr"/>
    </row>
    <row r="948">
      <c r="A948" s="8" t="inlineStr">
        <is>
          <t>Banco</t>
        </is>
      </c>
      <c r="B948" s="8" t="inlineStr">
        <is>
          <t>20/04/2026</t>
        </is>
      </c>
      <c r="C948" s="8" t="inlineStr">
        <is>
          <t>107395</t>
        </is>
      </c>
      <c r="D948" s="8" t="inlineStr">
        <is>
          <t>INGRESOS BRUTOS MENDOZA</t>
        </is>
      </c>
      <c r="E948" s="9" t="n">
        <v>113.89</v>
      </c>
      <c r="F948" s="8" t="inlineStr">
        <is>
          <t>Pendiente visible en hojas Banco no Flexxus</t>
        </is>
      </c>
      <c r="G948" s="8" t="inlineStr"/>
    </row>
    <row r="949">
      <c r="A949" s="8" t="inlineStr">
        <is>
          <t>Banco</t>
        </is>
      </c>
      <c r="B949" s="8" t="inlineStr">
        <is>
          <t>20/04/2026</t>
        </is>
      </c>
      <c r="C949" s="8" t="inlineStr">
        <is>
          <t>107395</t>
        </is>
      </c>
      <c r="D949" s="8" t="inlineStr">
        <is>
          <t>GRAVAMEN LEY 25413 S/CRED</t>
        </is>
      </c>
      <c r="E949" s="9" t="n">
        <v>68.33</v>
      </c>
      <c r="F949" s="8" t="inlineStr">
        <is>
          <t>Pendiente visible en hojas Banco no Flexxus</t>
        </is>
      </c>
      <c r="G949" s="8" t="inlineStr"/>
    </row>
    <row r="950">
      <c r="A950" s="8" t="inlineStr">
        <is>
          <t>Banco</t>
        </is>
      </c>
      <c r="B950" s="8" t="inlineStr">
        <is>
          <t>20/04/2026</t>
        </is>
      </c>
      <c r="C950" s="8" t="inlineStr">
        <is>
          <t>107394</t>
        </is>
      </c>
      <c r="D950" s="8" t="inlineStr">
        <is>
          <t>INGRESOS BRUTOS MENDOZA</t>
        </is>
      </c>
      <c r="E950" s="9" t="n">
        <v>401.08</v>
      </c>
      <c r="F950" s="8" t="inlineStr">
        <is>
          <t>Pendiente visible en hojas Banco no Flexxus</t>
        </is>
      </c>
      <c r="G950" s="8" t="inlineStr"/>
    </row>
    <row r="951">
      <c r="A951" s="8" t="inlineStr">
        <is>
          <t>Banco</t>
        </is>
      </c>
      <c r="B951" s="8" t="inlineStr">
        <is>
          <t>20/04/2026</t>
        </is>
      </c>
      <c r="C951" s="8" t="inlineStr">
        <is>
          <t>107394</t>
        </is>
      </c>
      <c r="D951" s="8" t="inlineStr">
        <is>
          <t>GRAVAMEN LEY 25413 S/CRED</t>
        </is>
      </c>
      <c r="E951" s="9" t="n">
        <v>240.65</v>
      </c>
      <c r="F951" s="8" t="inlineStr">
        <is>
          <t>Pendiente visible en hojas Banco no Flexxus</t>
        </is>
      </c>
      <c r="G951" s="8" t="inlineStr"/>
    </row>
    <row r="952">
      <c r="A952" s="8" t="inlineStr">
        <is>
          <t>Banco</t>
        </is>
      </c>
      <c r="B952" s="8" t="inlineStr">
        <is>
          <t>20/04/2026</t>
        </is>
      </c>
      <c r="C952" s="8" t="inlineStr">
        <is>
          <t>107393</t>
        </is>
      </c>
      <c r="D952" s="8" t="inlineStr">
        <is>
          <t>INGRESOS BRUTOS MENDOZA</t>
        </is>
      </c>
      <c r="E952" s="9" t="n">
        <v>68.33</v>
      </c>
      <c r="F952" s="8" t="inlineStr">
        <is>
          <t>Pendiente visible en hojas Banco no Flexxus</t>
        </is>
      </c>
      <c r="G952" s="8" t="inlineStr"/>
    </row>
    <row r="953">
      <c r="A953" s="8" t="inlineStr">
        <is>
          <t>Banco</t>
        </is>
      </c>
      <c r="B953" s="8" t="inlineStr">
        <is>
          <t>20/04/2026</t>
        </is>
      </c>
      <c r="C953" s="8" t="inlineStr">
        <is>
          <t>107393</t>
        </is>
      </c>
      <c r="D953" s="8" t="inlineStr">
        <is>
          <t>GRAVAMEN LEY 25413 S/CRED</t>
        </is>
      </c>
      <c r="E953" s="9" t="n">
        <v>41</v>
      </c>
      <c r="F953" s="8" t="inlineStr">
        <is>
          <t>Pendiente visible en hojas Banco no Flexxus</t>
        </is>
      </c>
      <c r="G953" s="8" t="inlineStr"/>
    </row>
    <row r="954">
      <c r="A954" s="8" t="inlineStr">
        <is>
          <t>Banco</t>
        </is>
      </c>
      <c r="B954" s="8" t="inlineStr">
        <is>
          <t>20/04/2026</t>
        </is>
      </c>
      <c r="C954" s="8" t="inlineStr">
        <is>
          <t>107392</t>
        </is>
      </c>
      <c r="D954" s="8" t="inlineStr">
        <is>
          <t>INGRESOS BRUTOS MENDOZA</t>
        </is>
      </c>
      <c r="E954" s="9" t="n">
        <v>227.77</v>
      </c>
      <c r="F954" s="8" t="inlineStr">
        <is>
          <t>Pendiente visible en hojas Banco no Flexxus</t>
        </is>
      </c>
      <c r="G954" s="8" t="inlineStr"/>
    </row>
    <row r="955">
      <c r="A955" s="8" t="inlineStr">
        <is>
          <t>Banco</t>
        </is>
      </c>
      <c r="B955" s="8" t="inlineStr">
        <is>
          <t>20/04/2026</t>
        </is>
      </c>
      <c r="C955" s="8" t="inlineStr">
        <is>
          <t>107392</t>
        </is>
      </c>
      <c r="D955" s="8" t="inlineStr">
        <is>
          <t>GRAVAMEN LEY 25413 S/CRED</t>
        </is>
      </c>
      <c r="E955" s="9" t="n">
        <v>136.66</v>
      </c>
      <c r="F955" s="8" t="inlineStr">
        <is>
          <t>Pendiente visible en hojas Banco no Flexxus</t>
        </is>
      </c>
      <c r="G955" s="8" t="inlineStr"/>
    </row>
    <row r="956">
      <c r="A956" s="8" t="inlineStr">
        <is>
          <t>Banco</t>
        </is>
      </c>
      <c r="B956" s="8" t="inlineStr">
        <is>
          <t>20/04/2026</t>
        </is>
      </c>
      <c r="C956" s="8" t="inlineStr">
        <is>
          <t>107391</t>
        </is>
      </c>
      <c r="D956" s="8" t="inlineStr">
        <is>
          <t>INGRESOS BRUTOS MENDOZA</t>
        </is>
      </c>
      <c r="E956" s="9" t="n">
        <v>711.05</v>
      </c>
      <c r="F956" s="8" t="inlineStr">
        <is>
          <t>Pendiente visible en hojas Banco no Flexxus</t>
        </is>
      </c>
      <c r="G956" s="8" t="inlineStr"/>
    </row>
    <row r="957">
      <c r="A957" s="8" t="inlineStr">
        <is>
          <t>Banco</t>
        </is>
      </c>
      <c r="B957" s="8" t="inlineStr">
        <is>
          <t>20/04/2026</t>
        </is>
      </c>
      <c r="C957" s="8" t="inlineStr">
        <is>
          <t>107391</t>
        </is>
      </c>
      <c r="D957" s="8" t="inlineStr">
        <is>
          <t>GRAVAMEN LEY 25413 S/CRED</t>
        </is>
      </c>
      <c r="E957" s="9" t="n">
        <v>426.63</v>
      </c>
      <c r="F957" s="8" t="inlineStr">
        <is>
          <t>Pendiente visible en hojas Banco no Flexxus</t>
        </is>
      </c>
      <c r="G957" s="8" t="inlineStr"/>
    </row>
    <row r="958">
      <c r="A958" s="8" t="inlineStr">
        <is>
          <t>Banco</t>
        </is>
      </c>
      <c r="B958" s="8" t="inlineStr">
        <is>
          <t>20/04/2026</t>
        </is>
      </c>
      <c r="C958" s="8" t="inlineStr">
        <is>
          <t>107390</t>
        </is>
      </c>
      <c r="D958" s="8" t="inlineStr">
        <is>
          <t>INGRESOS BRUTOS MENDOZA</t>
        </is>
      </c>
      <c r="E958" s="9" t="n">
        <v>227.77</v>
      </c>
      <c r="F958" s="8" t="inlineStr">
        <is>
          <t>Pendiente visible en hojas Banco no Flexxus</t>
        </is>
      </c>
      <c r="G958" s="8" t="inlineStr"/>
    </row>
    <row r="959">
      <c r="A959" s="8" t="inlineStr">
        <is>
          <t>Banco</t>
        </is>
      </c>
      <c r="B959" s="8" t="inlineStr">
        <is>
          <t>20/04/2026</t>
        </is>
      </c>
      <c r="C959" s="8" t="inlineStr">
        <is>
          <t>107390</t>
        </is>
      </c>
      <c r="D959" s="8" t="inlineStr">
        <is>
          <t>GRAVAMEN LEY 25413 S/CRED</t>
        </is>
      </c>
      <c r="E959" s="9" t="n">
        <v>136.66</v>
      </c>
      <c r="F959" s="8" t="inlineStr">
        <is>
          <t>Pendiente visible en hojas Banco no Flexxus</t>
        </is>
      </c>
      <c r="G959" s="8" t="inlineStr"/>
    </row>
    <row r="960">
      <c r="A960" s="8" t="inlineStr">
        <is>
          <t>Banco</t>
        </is>
      </c>
      <c r="B960" s="8" t="inlineStr">
        <is>
          <t>20/04/2026</t>
        </is>
      </c>
      <c r="C960" s="8" t="inlineStr">
        <is>
          <t>107389</t>
        </is>
      </c>
      <c r="D960" s="8" t="inlineStr">
        <is>
          <t>INGRESOS BRUTOS MENDOZA</t>
        </is>
      </c>
      <c r="E960" s="9" t="n">
        <v>713.03</v>
      </c>
      <c r="F960" s="8" t="inlineStr">
        <is>
          <t>Pendiente visible en hojas Banco no Flexxus</t>
        </is>
      </c>
      <c r="G960" s="8" t="inlineStr"/>
    </row>
    <row r="961">
      <c r="A961" s="8" t="inlineStr">
        <is>
          <t>Banco</t>
        </is>
      </c>
      <c r="B961" s="8" t="inlineStr">
        <is>
          <t>20/04/2026</t>
        </is>
      </c>
      <c r="C961" s="8" t="inlineStr">
        <is>
          <t>107389</t>
        </is>
      </c>
      <c r="D961" s="8" t="inlineStr">
        <is>
          <t>GRAVAMEN LEY 25413 S/CRED</t>
        </is>
      </c>
      <c r="E961" s="9" t="n">
        <v>427.82</v>
      </c>
      <c r="F961" s="8" t="inlineStr">
        <is>
          <t>Pendiente visible en hojas Banco no Flexxus</t>
        </is>
      </c>
      <c r="G961" s="8" t="inlineStr"/>
    </row>
    <row r="962">
      <c r="A962" s="8" t="inlineStr">
        <is>
          <t>Banco</t>
        </is>
      </c>
      <c r="B962" s="8" t="inlineStr">
        <is>
          <t>20/04/2026</t>
        </is>
      </c>
      <c r="C962" s="8" t="inlineStr">
        <is>
          <t>107388</t>
        </is>
      </c>
      <c r="D962" s="8" t="inlineStr">
        <is>
          <t>INGRESOS BRUTOS MENDOZA</t>
        </is>
      </c>
      <c r="E962" s="9" t="n">
        <v>413.95</v>
      </c>
      <c r="F962" s="8" t="inlineStr">
        <is>
          <t>Pendiente visible en hojas Banco no Flexxus</t>
        </is>
      </c>
      <c r="G962" s="8" t="inlineStr"/>
    </row>
    <row r="963">
      <c r="A963" s="8" t="inlineStr">
        <is>
          <t>Banco</t>
        </is>
      </c>
      <c r="B963" s="8" t="inlineStr">
        <is>
          <t>20/04/2026</t>
        </is>
      </c>
      <c r="C963" s="8" t="inlineStr">
        <is>
          <t>107388</t>
        </is>
      </c>
      <c r="D963" s="8" t="inlineStr">
        <is>
          <t>GRAVAMEN LEY 25413 S/CRED</t>
        </is>
      </c>
      <c r="E963" s="9" t="n">
        <v>248.37</v>
      </c>
      <c r="F963" s="8" t="inlineStr">
        <is>
          <t>Pendiente visible en hojas Banco no Flexxus</t>
        </is>
      </c>
      <c r="G963" s="8" t="inlineStr"/>
    </row>
    <row r="964">
      <c r="A964" s="8" t="inlineStr">
        <is>
          <t>Banco</t>
        </is>
      </c>
      <c r="B964" s="8" t="inlineStr">
        <is>
          <t>20/04/2026</t>
        </is>
      </c>
      <c r="C964" s="8" t="inlineStr">
        <is>
          <t>107387</t>
        </is>
      </c>
      <c r="D964" s="8" t="inlineStr">
        <is>
          <t>INGRESOS BRUTOS MENDOZA</t>
        </is>
      </c>
      <c r="E964" s="9" t="n">
        <v>83.19</v>
      </c>
      <c r="F964" s="8" t="inlineStr">
        <is>
          <t>Pendiente visible en hojas Banco no Flexxus</t>
        </is>
      </c>
      <c r="G964" s="8" t="inlineStr"/>
    </row>
    <row r="965">
      <c r="A965" s="8" t="inlineStr">
        <is>
          <t>Banco</t>
        </is>
      </c>
      <c r="B965" s="8" t="inlineStr">
        <is>
          <t>20/04/2026</t>
        </is>
      </c>
      <c r="C965" s="8" t="inlineStr">
        <is>
          <t>107387</t>
        </is>
      </c>
      <c r="D965" s="8" t="inlineStr">
        <is>
          <t>GRAVAMEN LEY 25413 S/CRED</t>
        </is>
      </c>
      <c r="E965" s="9" t="n">
        <v>49.91</v>
      </c>
      <c r="F965" s="8" t="inlineStr">
        <is>
          <t>Pendiente visible en hojas Banco no Flexxus</t>
        </is>
      </c>
      <c r="G965" s="8" t="inlineStr"/>
    </row>
    <row r="966">
      <c r="A966" s="8" t="inlineStr">
        <is>
          <t>Banco</t>
        </is>
      </c>
      <c r="B966" s="8" t="inlineStr">
        <is>
          <t>20/04/2026</t>
        </is>
      </c>
      <c r="C966" s="8" t="inlineStr">
        <is>
          <t>107386</t>
        </is>
      </c>
      <c r="D966" s="8" t="inlineStr">
        <is>
          <t>INGRESOS BRUTOS MENDOZA</t>
        </is>
      </c>
      <c r="E966" s="9" t="n">
        <v>314.92</v>
      </c>
      <c r="F966" s="8" t="inlineStr">
        <is>
          <t>Pendiente visible en hojas Banco no Flexxus</t>
        </is>
      </c>
      <c r="G966" s="8" t="inlineStr"/>
    </row>
    <row r="967">
      <c r="A967" s="8" t="inlineStr">
        <is>
          <t>Banco</t>
        </is>
      </c>
      <c r="B967" s="8" t="inlineStr">
        <is>
          <t>20/04/2026</t>
        </is>
      </c>
      <c r="C967" s="8" t="inlineStr">
        <is>
          <t>107386</t>
        </is>
      </c>
      <c r="D967" s="8" t="inlineStr">
        <is>
          <t>GRAVAMEN LEY 25413 S/CRED</t>
        </is>
      </c>
      <c r="E967" s="9" t="n">
        <v>188.95</v>
      </c>
      <c r="F967" s="8" t="inlineStr">
        <is>
          <t>Pendiente visible en hojas Banco no Flexxus</t>
        </is>
      </c>
      <c r="G967" s="8" t="inlineStr"/>
    </row>
    <row r="968">
      <c r="A968" s="8" t="inlineStr">
        <is>
          <t>Banco</t>
        </is>
      </c>
      <c r="B968" s="8" t="inlineStr">
        <is>
          <t>20/04/2026</t>
        </is>
      </c>
      <c r="C968" s="8" t="inlineStr">
        <is>
          <t>107385</t>
        </is>
      </c>
      <c r="D968" s="8" t="inlineStr">
        <is>
          <t>INGRESOS BRUTOS MENDOZA</t>
        </is>
      </c>
      <c r="E968" s="9" t="n">
        <v>247.58</v>
      </c>
      <c r="F968" s="8" t="inlineStr">
        <is>
          <t>Pendiente visible en hojas Banco no Flexxus</t>
        </is>
      </c>
      <c r="G968" s="8" t="inlineStr"/>
    </row>
    <row r="969">
      <c r="A969" s="8" t="inlineStr">
        <is>
          <t>Banco</t>
        </is>
      </c>
      <c r="B969" s="8" t="inlineStr">
        <is>
          <t>20/04/2026</t>
        </is>
      </c>
      <c r="C969" s="8" t="inlineStr">
        <is>
          <t>107385</t>
        </is>
      </c>
      <c r="D969" s="8" t="inlineStr">
        <is>
          <t>GRAVAMEN LEY 25413 S/CRED</t>
        </is>
      </c>
      <c r="E969" s="9" t="n">
        <v>148.55</v>
      </c>
      <c r="F969" s="8" t="inlineStr">
        <is>
          <t>Pendiente visible en hojas Banco no Flexxus</t>
        </is>
      </c>
      <c r="G969" s="8" t="inlineStr"/>
    </row>
    <row r="970">
      <c r="A970" s="8" t="inlineStr">
        <is>
          <t>Banco</t>
        </is>
      </c>
      <c r="B970" s="8" t="inlineStr">
        <is>
          <t>20/04/2026</t>
        </is>
      </c>
      <c r="C970" s="8" t="inlineStr">
        <is>
          <t>107384</t>
        </is>
      </c>
      <c r="D970" s="8" t="inlineStr">
        <is>
          <t>INGRESOS BRUTOS MENDOZA</t>
        </is>
      </c>
      <c r="E970" s="9" t="n">
        <v>267.39</v>
      </c>
      <c r="F970" s="8" t="inlineStr">
        <is>
          <t>Pendiente visible en hojas Banco no Flexxus</t>
        </is>
      </c>
      <c r="G970" s="8" t="inlineStr"/>
    </row>
    <row r="971">
      <c r="A971" s="8" t="inlineStr">
        <is>
          <t>Banco</t>
        </is>
      </c>
      <c r="B971" s="8" t="inlineStr">
        <is>
          <t>20/04/2026</t>
        </is>
      </c>
      <c r="C971" s="8" t="inlineStr">
        <is>
          <t>107384</t>
        </is>
      </c>
      <c r="D971" s="8" t="inlineStr">
        <is>
          <t>GRAVAMEN LEY 25413 S/CRED</t>
        </is>
      </c>
      <c r="E971" s="9" t="n">
        <v>160.43</v>
      </c>
      <c r="F971" s="8" t="inlineStr">
        <is>
          <t>Pendiente visible en hojas Banco no Flexxus</t>
        </is>
      </c>
      <c r="G971" s="8" t="inlineStr"/>
    </row>
    <row r="972">
      <c r="A972" s="8" t="inlineStr">
        <is>
          <t>Banco</t>
        </is>
      </c>
      <c r="B972" s="8" t="inlineStr">
        <is>
          <t>20/04/2026</t>
        </is>
      </c>
      <c r="C972" s="8" t="inlineStr">
        <is>
          <t>107383</t>
        </is>
      </c>
      <c r="D972" s="8" t="inlineStr">
        <is>
          <t>INGRESOS BRUTOS MENDOZA</t>
        </is>
      </c>
      <c r="E972" s="9" t="n">
        <v>77.25</v>
      </c>
      <c r="F972" s="8" t="inlineStr">
        <is>
          <t>Pendiente visible en hojas Banco no Flexxus</t>
        </is>
      </c>
      <c r="G972" s="8" t="inlineStr"/>
    </row>
    <row r="973">
      <c r="A973" s="8" t="inlineStr">
        <is>
          <t>Banco</t>
        </is>
      </c>
      <c r="B973" s="8" t="inlineStr">
        <is>
          <t>20/04/2026</t>
        </is>
      </c>
      <c r="C973" s="8" t="inlineStr">
        <is>
          <t>107383</t>
        </is>
      </c>
      <c r="D973" s="8" t="inlineStr">
        <is>
          <t>GRAVAMEN LEY 25413 S/CRED</t>
        </is>
      </c>
      <c r="E973" s="9" t="n">
        <v>46.35</v>
      </c>
      <c r="F973" s="8" t="inlineStr">
        <is>
          <t>Pendiente visible en hojas Banco no Flexxus</t>
        </is>
      </c>
      <c r="G973" s="8" t="inlineStr"/>
    </row>
    <row r="974">
      <c r="A974" s="8" t="inlineStr">
        <is>
          <t>Banco</t>
        </is>
      </c>
      <c r="B974" s="8" t="inlineStr">
        <is>
          <t>20/04/2026</t>
        </is>
      </c>
      <c r="C974" s="8" t="inlineStr">
        <is>
          <t>107382</t>
        </is>
      </c>
      <c r="D974" s="8" t="inlineStr">
        <is>
          <t>INGRESOS BRUTOS MENDOZA</t>
        </is>
      </c>
      <c r="E974" s="9" t="n">
        <v>267.39</v>
      </c>
      <c r="F974" s="8" t="inlineStr">
        <is>
          <t>Pendiente visible en hojas Banco no Flexxus</t>
        </is>
      </c>
      <c r="G974" s="8" t="inlineStr"/>
    </row>
    <row r="975">
      <c r="A975" s="8" t="inlineStr">
        <is>
          <t>Banco</t>
        </is>
      </c>
      <c r="B975" s="8" t="inlineStr">
        <is>
          <t>20/04/2026</t>
        </is>
      </c>
      <c r="C975" s="8" t="inlineStr">
        <is>
          <t>107382</t>
        </is>
      </c>
      <c r="D975" s="8" t="inlineStr">
        <is>
          <t>GRAVAMEN LEY 25413 S/CRED</t>
        </is>
      </c>
      <c r="E975" s="9" t="n">
        <v>160.43</v>
      </c>
      <c r="F975" s="8" t="inlineStr">
        <is>
          <t>Pendiente visible en hojas Banco no Flexxus</t>
        </is>
      </c>
      <c r="G975" s="8" t="inlineStr"/>
    </row>
    <row r="976">
      <c r="A976" s="8" t="inlineStr">
        <is>
          <t>Banco</t>
        </is>
      </c>
      <c r="B976" s="8" t="inlineStr">
        <is>
          <t>20/04/2026</t>
        </is>
      </c>
      <c r="C976" s="8" t="inlineStr">
        <is>
          <t>107381</t>
        </is>
      </c>
      <c r="D976" s="8" t="inlineStr">
        <is>
          <t>INGRESOS BRUTOS MENDOZA</t>
        </is>
      </c>
      <c r="E976" s="9" t="n">
        <v>267.39</v>
      </c>
      <c r="F976" s="8" t="inlineStr">
        <is>
          <t>Pendiente visible en hojas Banco no Flexxus</t>
        </is>
      </c>
      <c r="G976" s="8" t="inlineStr"/>
    </row>
    <row r="977">
      <c r="A977" s="8" t="inlineStr">
        <is>
          <t>Banco</t>
        </is>
      </c>
      <c r="B977" s="8" t="inlineStr">
        <is>
          <t>20/04/2026</t>
        </is>
      </c>
      <c r="C977" s="8" t="inlineStr">
        <is>
          <t>107381</t>
        </is>
      </c>
      <c r="D977" s="8" t="inlineStr">
        <is>
          <t>GRAVAMEN LEY 25413 S/CRED</t>
        </is>
      </c>
      <c r="E977" s="9" t="n">
        <v>160.43</v>
      </c>
      <c r="F977" s="8" t="inlineStr">
        <is>
          <t>Pendiente visible en hojas Banco no Flexxus</t>
        </is>
      </c>
      <c r="G977" s="8" t="inlineStr"/>
    </row>
    <row r="978">
      <c r="A978" s="8" t="inlineStr">
        <is>
          <t>Banco</t>
        </is>
      </c>
      <c r="B978" s="8" t="inlineStr">
        <is>
          <t>20/04/2026</t>
        </is>
      </c>
      <c r="C978" s="8" t="inlineStr">
        <is>
          <t>107380</t>
        </is>
      </c>
      <c r="D978" s="8" t="inlineStr">
        <is>
          <t>INGRESOS BRUTOS MENDOZA</t>
        </is>
      </c>
      <c r="E978" s="9" t="n">
        <v>267.39</v>
      </c>
      <c r="F978" s="8" t="inlineStr">
        <is>
          <t>Pendiente visible en hojas Banco no Flexxus</t>
        </is>
      </c>
      <c r="G978" s="8" t="inlineStr"/>
    </row>
    <row r="979">
      <c r="A979" s="8" t="inlineStr">
        <is>
          <t>Banco</t>
        </is>
      </c>
      <c r="B979" s="8" t="inlineStr">
        <is>
          <t>20/04/2026</t>
        </is>
      </c>
      <c r="C979" s="8" t="inlineStr">
        <is>
          <t>107380</t>
        </is>
      </c>
      <c r="D979" s="8" t="inlineStr">
        <is>
          <t>GRAVAMEN LEY 25413 S/CRED</t>
        </is>
      </c>
      <c r="E979" s="9" t="n">
        <v>160.43</v>
      </c>
      <c r="F979" s="8" t="inlineStr">
        <is>
          <t>Pendiente visible en hojas Banco no Flexxus</t>
        </is>
      </c>
      <c r="G979" s="8" t="inlineStr"/>
    </row>
    <row r="980">
      <c r="A980" s="8" t="inlineStr">
        <is>
          <t>Banco</t>
        </is>
      </c>
      <c r="B980" s="8" t="inlineStr">
        <is>
          <t>20/04/2026</t>
        </is>
      </c>
      <c r="C980" s="8" t="inlineStr">
        <is>
          <t>107379</t>
        </is>
      </c>
      <c r="D980" s="8" t="inlineStr">
        <is>
          <t>INGRESOS BRUTOS MENDOZA</t>
        </is>
      </c>
      <c r="E980" s="9" t="n">
        <v>113.89</v>
      </c>
      <c r="F980" s="8" t="inlineStr">
        <is>
          <t>Pendiente visible en hojas Banco no Flexxus</t>
        </is>
      </c>
      <c r="G980" s="8" t="inlineStr"/>
    </row>
    <row r="981">
      <c r="A981" s="8" t="inlineStr">
        <is>
          <t>Banco</t>
        </is>
      </c>
      <c r="B981" s="8" t="inlineStr">
        <is>
          <t>20/04/2026</t>
        </is>
      </c>
      <c r="C981" s="8" t="inlineStr">
        <is>
          <t>107379</t>
        </is>
      </c>
      <c r="D981" s="8" t="inlineStr">
        <is>
          <t>GRAVAMEN LEY 25413 S/CRED</t>
        </is>
      </c>
      <c r="E981" s="9" t="n">
        <v>68.33</v>
      </c>
      <c r="F981" s="8" t="inlineStr">
        <is>
          <t>Pendiente visible en hojas Banco no Flexxus</t>
        </is>
      </c>
      <c r="G981" s="8" t="inlineStr"/>
    </row>
    <row r="982">
      <c r="A982" s="8" t="inlineStr">
        <is>
          <t>Banco</t>
        </is>
      </c>
      <c r="B982" s="8" t="inlineStr">
        <is>
          <t>20/04/2026</t>
        </is>
      </c>
      <c r="C982" s="8" t="inlineStr">
        <is>
          <t>107378</t>
        </is>
      </c>
      <c r="D982" s="8" t="inlineStr">
        <is>
          <t>INGRESOS BRUTOS MENDOZA</t>
        </is>
      </c>
      <c r="E982" s="9" t="n">
        <v>263.33</v>
      </c>
      <c r="F982" s="8" t="inlineStr">
        <is>
          <t>Pendiente visible en hojas Banco no Flexxus</t>
        </is>
      </c>
      <c r="G982" s="8" t="inlineStr"/>
    </row>
    <row r="983">
      <c r="A983" s="8" t="inlineStr">
        <is>
          <t>Banco</t>
        </is>
      </c>
      <c r="B983" s="8" t="inlineStr">
        <is>
          <t>20/04/2026</t>
        </is>
      </c>
      <c r="C983" s="8" t="inlineStr">
        <is>
          <t>107378</t>
        </is>
      </c>
      <c r="D983" s="8" t="inlineStr">
        <is>
          <t>GRAVAMEN LEY 25413 S/CRED</t>
        </is>
      </c>
      <c r="E983" s="9" t="n">
        <v>158</v>
      </c>
      <c r="F983" s="8" t="inlineStr">
        <is>
          <t>Pendiente visible en hojas Banco no Flexxus</t>
        </is>
      </c>
      <c r="G983" s="8" t="inlineStr"/>
    </row>
    <row r="984">
      <c r="A984" s="8" t="inlineStr">
        <is>
          <t>Banco</t>
        </is>
      </c>
      <c r="B984" s="8" t="inlineStr">
        <is>
          <t>20/04/2026</t>
        </is>
      </c>
      <c r="C984" s="8" t="inlineStr">
        <is>
          <t>107377</t>
        </is>
      </c>
      <c r="D984" s="8" t="inlineStr">
        <is>
          <t>INGRESOS BRUTOS MENDOZA</t>
        </is>
      </c>
      <c r="E984" s="9" t="n">
        <v>267.39</v>
      </c>
      <c r="F984" s="8" t="inlineStr">
        <is>
          <t>Pendiente visible en hojas Banco no Flexxus</t>
        </is>
      </c>
      <c r="G984" s="8" t="inlineStr"/>
    </row>
    <row r="985">
      <c r="A985" s="8" t="inlineStr">
        <is>
          <t>Banco</t>
        </is>
      </c>
      <c r="B985" s="8" t="inlineStr">
        <is>
          <t>20/04/2026</t>
        </is>
      </c>
      <c r="C985" s="8" t="inlineStr">
        <is>
          <t>107377</t>
        </is>
      </c>
      <c r="D985" s="8" t="inlineStr">
        <is>
          <t>GRAVAMEN LEY 25413 S/CRED</t>
        </is>
      </c>
      <c r="E985" s="9" t="n">
        <v>160.43</v>
      </c>
      <c r="F985" s="8" t="inlineStr">
        <is>
          <t>Pendiente visible en hojas Banco no Flexxus</t>
        </is>
      </c>
      <c r="G985" s="8" t="inlineStr"/>
    </row>
    <row r="986">
      <c r="A986" s="8" t="inlineStr">
        <is>
          <t>Banco</t>
        </is>
      </c>
      <c r="B986" s="8" t="inlineStr">
        <is>
          <t>20/04/2026</t>
        </is>
      </c>
      <c r="C986" s="8" t="inlineStr">
        <is>
          <t>107376</t>
        </is>
      </c>
      <c r="D986" s="8" t="inlineStr">
        <is>
          <t>INGRESOS BRUTOS MENDOZA</t>
        </is>
      </c>
      <c r="E986" s="9" t="n">
        <v>697.1900000000001</v>
      </c>
      <c r="F986" s="8" t="inlineStr">
        <is>
          <t>Pendiente visible en hojas Banco no Flexxus</t>
        </is>
      </c>
      <c r="G986" s="8" t="inlineStr"/>
    </row>
    <row r="987">
      <c r="A987" s="8" t="inlineStr">
        <is>
          <t>Banco</t>
        </is>
      </c>
      <c r="B987" s="8" t="inlineStr">
        <is>
          <t>20/04/2026</t>
        </is>
      </c>
      <c r="C987" s="8" t="inlineStr">
        <is>
          <t>107376</t>
        </is>
      </c>
      <c r="D987" s="8" t="inlineStr">
        <is>
          <t>GRAVAMEN LEY 25413 S/CRED</t>
        </is>
      </c>
      <c r="E987" s="9" t="n">
        <v>418.31</v>
      </c>
      <c r="F987" s="8" t="inlineStr">
        <is>
          <t>Pendiente visible en hojas Banco no Flexxus</t>
        </is>
      </c>
      <c r="G987" s="8" t="inlineStr"/>
    </row>
    <row r="988">
      <c r="A988" s="8" t="inlineStr">
        <is>
          <t>Banco</t>
        </is>
      </c>
      <c r="B988" s="8" t="inlineStr">
        <is>
          <t>20/04/2026</t>
        </is>
      </c>
      <c r="C988" s="8" t="inlineStr">
        <is>
          <t>107375</t>
        </is>
      </c>
      <c r="D988" s="8" t="inlineStr">
        <is>
          <t>INGRESOS BRUTOS MENDOZA</t>
        </is>
      </c>
      <c r="E988" s="9" t="n">
        <v>320.86</v>
      </c>
      <c r="F988" s="8" t="inlineStr">
        <is>
          <t>Pendiente visible en hojas Banco no Flexxus</t>
        </is>
      </c>
      <c r="G988" s="8" t="inlineStr"/>
    </row>
    <row r="989">
      <c r="A989" s="8" t="inlineStr">
        <is>
          <t>Banco</t>
        </is>
      </c>
      <c r="B989" s="8" t="inlineStr">
        <is>
          <t>20/04/2026</t>
        </is>
      </c>
      <c r="C989" s="8" t="inlineStr">
        <is>
          <t>107375</t>
        </is>
      </c>
      <c r="D989" s="8" t="inlineStr">
        <is>
          <t>GRAVAMEN LEY 25413 S/CRED</t>
        </is>
      </c>
      <c r="E989" s="9" t="n">
        <v>192.52</v>
      </c>
      <c r="F989" s="8" t="inlineStr">
        <is>
          <t>Pendiente visible en hojas Banco no Flexxus</t>
        </is>
      </c>
      <c r="G989" s="8" t="inlineStr"/>
    </row>
    <row r="990">
      <c r="A990" s="8" t="inlineStr">
        <is>
          <t>Banco</t>
        </is>
      </c>
      <c r="B990" s="8" t="inlineStr">
        <is>
          <t>20/04/2026</t>
        </is>
      </c>
      <c r="C990" s="8" t="inlineStr">
        <is>
          <t>107374</t>
        </is>
      </c>
      <c r="D990" s="8" t="inlineStr">
        <is>
          <t>INGRESOS BRUTOS MENDOZA</t>
        </is>
      </c>
      <c r="E990" s="9" t="n">
        <v>113.89</v>
      </c>
      <c r="F990" s="8" t="inlineStr">
        <is>
          <t>Pendiente visible en hojas Banco no Flexxus</t>
        </is>
      </c>
      <c r="G990" s="8" t="inlineStr"/>
    </row>
    <row r="991">
      <c r="A991" s="8" t="inlineStr">
        <is>
          <t>Banco</t>
        </is>
      </c>
      <c r="B991" s="8" t="inlineStr">
        <is>
          <t>20/04/2026</t>
        </is>
      </c>
      <c r="C991" s="8" t="inlineStr">
        <is>
          <t>107374</t>
        </is>
      </c>
      <c r="D991" s="8" t="inlineStr">
        <is>
          <t>GRAVAMEN LEY 25413 S/CRED</t>
        </is>
      </c>
      <c r="E991" s="9" t="n">
        <v>68.33</v>
      </c>
      <c r="F991" s="8" t="inlineStr">
        <is>
          <t>Pendiente visible en hojas Banco no Flexxus</t>
        </is>
      </c>
      <c r="G991" s="8" t="inlineStr"/>
    </row>
    <row r="992">
      <c r="A992" s="8" t="inlineStr">
        <is>
          <t>Banco</t>
        </is>
      </c>
      <c r="B992" s="8" t="inlineStr">
        <is>
          <t>20/04/2026</t>
        </is>
      </c>
      <c r="C992" s="8" t="inlineStr">
        <is>
          <t>107373</t>
        </is>
      </c>
      <c r="D992" s="8" t="inlineStr">
        <is>
          <t>INGRESOS BRUTOS MENDOZA</t>
        </is>
      </c>
      <c r="E992" s="9" t="n">
        <v>603.1</v>
      </c>
      <c r="F992" s="8" t="inlineStr">
        <is>
          <t>Pendiente visible en hojas Banco no Flexxus</t>
        </is>
      </c>
      <c r="G992" s="8" t="inlineStr"/>
    </row>
    <row r="993">
      <c r="A993" s="8" t="inlineStr">
        <is>
          <t>Banco</t>
        </is>
      </c>
      <c r="B993" s="8" t="inlineStr">
        <is>
          <t>20/04/2026</t>
        </is>
      </c>
      <c r="C993" s="8" t="inlineStr">
        <is>
          <t>107373</t>
        </is>
      </c>
      <c r="D993" s="8" t="inlineStr">
        <is>
          <t>GRAVAMEN LEY 25413 S/CRED</t>
        </is>
      </c>
      <c r="E993" s="9" t="n">
        <v>361.86</v>
      </c>
      <c r="F993" s="8" t="inlineStr">
        <is>
          <t>Pendiente visible en hojas Banco no Flexxus</t>
        </is>
      </c>
      <c r="G993" s="8" t="inlineStr"/>
    </row>
    <row r="994">
      <c r="A994" s="8" t="inlineStr">
        <is>
          <t>Banco</t>
        </is>
      </c>
      <c r="B994" s="8" t="inlineStr">
        <is>
          <t>20/04/2026</t>
        </is>
      </c>
      <c r="C994" s="8" t="inlineStr">
        <is>
          <t>107372</t>
        </is>
      </c>
      <c r="D994" s="8" t="inlineStr">
        <is>
          <t>INGRESOS BRUTOS MENDOZA</t>
        </is>
      </c>
      <c r="E994" s="9" t="n">
        <v>330.77</v>
      </c>
      <c r="F994" s="8" t="inlineStr">
        <is>
          <t>Pendiente visible en hojas Banco no Flexxus</t>
        </is>
      </c>
      <c r="G994" s="8" t="inlineStr"/>
    </row>
    <row r="995">
      <c r="A995" s="8" t="inlineStr">
        <is>
          <t>Banco</t>
        </is>
      </c>
      <c r="B995" s="8" t="inlineStr">
        <is>
          <t>20/04/2026</t>
        </is>
      </c>
      <c r="C995" s="8" t="inlineStr">
        <is>
          <t>107372</t>
        </is>
      </c>
      <c r="D995" s="8" t="inlineStr">
        <is>
          <t>GRAVAMEN LEY 25413 S/CRED</t>
        </is>
      </c>
      <c r="E995" s="9" t="n">
        <v>198.46</v>
      </c>
      <c r="F995" s="8" t="inlineStr">
        <is>
          <t>Pendiente visible en hojas Banco no Flexxus</t>
        </is>
      </c>
      <c r="G995" s="8" t="inlineStr"/>
    </row>
    <row r="996">
      <c r="A996" s="8" t="inlineStr">
        <is>
          <t>Banco</t>
        </is>
      </c>
      <c r="B996" s="8" t="inlineStr">
        <is>
          <t>20/04/2026</t>
        </is>
      </c>
      <c r="C996" s="8" t="inlineStr">
        <is>
          <t>107371</t>
        </is>
      </c>
      <c r="D996" s="8" t="inlineStr">
        <is>
          <t>INGRESOS BRUTOS MENDOZA</t>
        </is>
      </c>
      <c r="E996" s="9" t="n">
        <v>159.44</v>
      </c>
      <c r="F996" s="8" t="inlineStr">
        <is>
          <t>Pendiente visible en hojas Banco no Flexxus</t>
        </is>
      </c>
      <c r="G996" s="8" t="inlineStr"/>
    </row>
    <row r="997">
      <c r="A997" s="8" t="inlineStr">
        <is>
          <t>Banco</t>
        </is>
      </c>
      <c r="B997" s="8" t="inlineStr">
        <is>
          <t>20/04/2026</t>
        </is>
      </c>
      <c r="C997" s="8" t="inlineStr">
        <is>
          <t>107371</t>
        </is>
      </c>
      <c r="D997" s="8" t="inlineStr">
        <is>
          <t>GRAVAMEN LEY 25413 S/CRED</t>
        </is>
      </c>
      <c r="E997" s="9" t="n">
        <v>95.66</v>
      </c>
      <c r="F997" s="8" t="inlineStr">
        <is>
          <t>Pendiente visible en hojas Banco no Flexxus</t>
        </is>
      </c>
      <c r="G997" s="8" t="inlineStr"/>
    </row>
    <row r="998">
      <c r="A998" s="8" t="inlineStr">
        <is>
          <t>Banco</t>
        </is>
      </c>
      <c r="B998" s="8" t="inlineStr">
        <is>
          <t>20/04/2026</t>
        </is>
      </c>
      <c r="C998" s="8" t="inlineStr">
        <is>
          <t>107370</t>
        </is>
      </c>
      <c r="D998" s="8" t="inlineStr">
        <is>
          <t>INGRESOS BRUTOS MENDOZA</t>
        </is>
      </c>
      <c r="E998" s="9" t="n">
        <v>76.25</v>
      </c>
      <c r="F998" s="8" t="inlineStr">
        <is>
          <t>Pendiente visible en hojas Banco no Flexxus</t>
        </is>
      </c>
      <c r="G998" s="8" t="inlineStr"/>
    </row>
    <row r="999">
      <c r="A999" s="8" t="inlineStr">
        <is>
          <t>Banco</t>
        </is>
      </c>
      <c r="B999" s="8" t="inlineStr">
        <is>
          <t>20/04/2026</t>
        </is>
      </c>
      <c r="C999" s="8" t="inlineStr">
        <is>
          <t>107370</t>
        </is>
      </c>
      <c r="D999" s="8" t="inlineStr">
        <is>
          <t>GRAVAMEN LEY 25413 S/CRED</t>
        </is>
      </c>
      <c r="E999" s="9" t="n">
        <v>45.75</v>
      </c>
      <c r="F999" s="8" t="inlineStr">
        <is>
          <t>Pendiente visible en hojas Banco no Flexxus</t>
        </is>
      </c>
      <c r="G999" s="8" t="inlineStr"/>
    </row>
    <row r="1000">
      <c r="A1000" s="8" t="inlineStr">
        <is>
          <t>Banco</t>
        </is>
      </c>
      <c r="B1000" s="8" t="inlineStr">
        <is>
          <t>20/04/2026</t>
        </is>
      </c>
      <c r="C1000" s="8" t="inlineStr">
        <is>
          <t>107369</t>
        </is>
      </c>
      <c r="D1000" s="8" t="inlineStr">
        <is>
          <t>INGRESOS BRUTOS MENDOZA</t>
        </is>
      </c>
      <c r="E1000" s="9" t="n">
        <v>232.73</v>
      </c>
      <c r="F1000" s="8" t="inlineStr">
        <is>
          <t>Pendiente visible en hojas Banco no Flexxus</t>
        </is>
      </c>
      <c r="G1000" s="8" t="inlineStr"/>
    </row>
    <row r="1001">
      <c r="A1001" s="8" t="inlineStr">
        <is>
          <t>Banco</t>
        </is>
      </c>
      <c r="B1001" s="8" t="inlineStr">
        <is>
          <t>20/04/2026</t>
        </is>
      </c>
      <c r="C1001" s="8" t="inlineStr">
        <is>
          <t>107369</t>
        </is>
      </c>
      <c r="D1001" s="8" t="inlineStr">
        <is>
          <t>GRAVAMEN LEY 25413 S/CRED</t>
        </is>
      </c>
      <c r="E1001" s="9" t="n">
        <v>139.64</v>
      </c>
      <c r="F1001" s="8" t="inlineStr">
        <is>
          <t>Pendiente visible en hojas Banco no Flexxus</t>
        </is>
      </c>
      <c r="G1001" s="8" t="inlineStr"/>
    </row>
    <row r="1002">
      <c r="A1002" s="8" t="inlineStr">
        <is>
          <t>Banco</t>
        </is>
      </c>
      <c r="B1002" s="8" t="inlineStr">
        <is>
          <t>20/04/2026</t>
        </is>
      </c>
      <c r="C1002" s="8" t="inlineStr">
        <is>
          <t>107368</t>
        </is>
      </c>
      <c r="D1002" s="8" t="inlineStr">
        <is>
          <t>INGRESOS BRUTOS MENDOZA</t>
        </is>
      </c>
      <c r="E1002" s="9" t="n">
        <v>273.33</v>
      </c>
      <c r="F1002" s="8" t="inlineStr">
        <is>
          <t>Pendiente visible en hojas Banco no Flexxus</t>
        </is>
      </c>
      <c r="G1002" s="8" t="inlineStr"/>
    </row>
    <row r="1003">
      <c r="A1003" s="8" t="inlineStr">
        <is>
          <t>Banco</t>
        </is>
      </c>
      <c r="B1003" s="8" t="inlineStr">
        <is>
          <t>20/04/2026</t>
        </is>
      </c>
      <c r="C1003" s="8" t="inlineStr">
        <is>
          <t>107368</t>
        </is>
      </c>
      <c r="D1003" s="8" t="inlineStr">
        <is>
          <t>GRAVAMEN LEY 25413 S/CRED</t>
        </is>
      </c>
      <c r="E1003" s="9" t="n">
        <v>164</v>
      </c>
      <c r="F1003" s="8" t="inlineStr">
        <is>
          <t>Pendiente visible en hojas Banco no Flexxus</t>
        </is>
      </c>
      <c r="G1003" s="8" t="inlineStr"/>
    </row>
    <row r="1004">
      <c r="A1004" s="8" t="inlineStr">
        <is>
          <t>Banco</t>
        </is>
      </c>
      <c r="B1004" s="8" t="inlineStr">
        <is>
          <t>20/04/2026</t>
        </is>
      </c>
      <c r="C1004" s="8" t="inlineStr">
        <is>
          <t>107367</t>
        </is>
      </c>
      <c r="D1004" s="8" t="inlineStr">
        <is>
          <t>INGRESOS BRUTOS MENDOZA</t>
        </is>
      </c>
      <c r="E1004" s="9" t="n">
        <v>482.19</v>
      </c>
      <c r="F1004" s="8" t="inlineStr">
        <is>
          <t>Pendiente visible en hojas Banco no Flexxus</t>
        </is>
      </c>
      <c r="G1004" s="8" t="inlineStr"/>
    </row>
    <row r="1005">
      <c r="A1005" s="8" t="inlineStr">
        <is>
          <t>Banco</t>
        </is>
      </c>
      <c r="B1005" s="8" t="inlineStr">
        <is>
          <t>20/04/2026</t>
        </is>
      </c>
      <c r="C1005" s="8" t="inlineStr">
        <is>
          <t>107367</t>
        </is>
      </c>
      <c r="D1005" s="8" t="inlineStr">
        <is>
          <t>GRAVAMEN LEY 25413 S/CRED</t>
        </is>
      </c>
      <c r="E1005" s="9" t="n">
        <v>289.31</v>
      </c>
      <c r="F1005" s="8" t="inlineStr">
        <is>
          <t>Pendiente visible en hojas Banco no Flexxus</t>
        </is>
      </c>
      <c r="G1005" s="8" t="inlineStr"/>
    </row>
    <row r="1006">
      <c r="A1006" s="8" t="inlineStr">
        <is>
          <t>Banco</t>
        </is>
      </c>
      <c r="B1006" s="8" t="inlineStr">
        <is>
          <t>20/04/2026</t>
        </is>
      </c>
      <c r="C1006" s="8" t="inlineStr">
        <is>
          <t>107366</t>
        </is>
      </c>
      <c r="D1006" s="8" t="inlineStr">
        <is>
          <t>INGRESOS BRUTOS MENDOZA</t>
        </is>
      </c>
      <c r="E1006" s="9" t="n">
        <v>113.89</v>
      </c>
      <c r="F1006" s="8" t="inlineStr">
        <is>
          <t>Pendiente visible en hojas Banco no Flexxus</t>
        </is>
      </c>
      <c r="G1006" s="8" t="inlineStr"/>
    </row>
    <row r="1007">
      <c r="A1007" s="8" t="inlineStr">
        <is>
          <t>Banco</t>
        </is>
      </c>
      <c r="B1007" s="8" t="inlineStr">
        <is>
          <t>20/04/2026</t>
        </is>
      </c>
      <c r="C1007" s="8" t="inlineStr">
        <is>
          <t>107366</t>
        </is>
      </c>
      <c r="D1007" s="8" t="inlineStr">
        <is>
          <t>GRAVAMEN LEY 25413 S/CRED</t>
        </is>
      </c>
      <c r="E1007" s="9" t="n">
        <v>68.33</v>
      </c>
      <c r="F1007" s="8" t="inlineStr">
        <is>
          <t>Pendiente visible en hojas Banco no Flexxus</t>
        </is>
      </c>
      <c r="G1007" s="8" t="inlineStr"/>
    </row>
    <row r="1008">
      <c r="A1008" s="8" t="inlineStr">
        <is>
          <t>Banco</t>
        </is>
      </c>
      <c r="B1008" s="8" t="inlineStr">
        <is>
          <t>20/04/2026</t>
        </is>
      </c>
      <c r="C1008" s="8" t="inlineStr">
        <is>
          <t>107365</t>
        </is>
      </c>
      <c r="D1008" s="8" t="inlineStr">
        <is>
          <t>INGRESOS BRUTOS MENDOZA</t>
        </is>
      </c>
      <c r="E1008" s="9" t="n">
        <v>407.02</v>
      </c>
      <c r="F1008" s="8" t="inlineStr">
        <is>
          <t>Pendiente visible en hojas Banco no Flexxus</t>
        </is>
      </c>
      <c r="G1008" s="8" t="inlineStr"/>
    </row>
    <row r="1009">
      <c r="A1009" s="8" t="inlineStr">
        <is>
          <t>Banco</t>
        </is>
      </c>
      <c r="B1009" s="8" t="inlineStr">
        <is>
          <t>20/04/2026</t>
        </is>
      </c>
      <c r="C1009" s="8" t="inlineStr">
        <is>
          <t>107365</t>
        </is>
      </c>
      <c r="D1009" s="8" t="inlineStr">
        <is>
          <t>GRAVAMEN LEY 25413 S/CRED</t>
        </is>
      </c>
      <c r="E1009" s="9" t="n">
        <v>244.21</v>
      </c>
      <c r="F1009" s="8" t="inlineStr">
        <is>
          <t>Pendiente visible en hojas Banco no Flexxus</t>
        </is>
      </c>
      <c r="G1009" s="8" t="inlineStr"/>
    </row>
    <row r="1010">
      <c r="A1010" s="8" t="inlineStr">
        <is>
          <t>Banco</t>
        </is>
      </c>
      <c r="B1010" s="8" t="inlineStr">
        <is>
          <t>20/04/2026</t>
        </is>
      </c>
      <c r="C1010" s="8" t="inlineStr">
        <is>
          <t>107364</t>
        </is>
      </c>
      <c r="D1010" s="8" t="inlineStr">
        <is>
          <t>INGRESOS BRUTOS MENDOZA</t>
        </is>
      </c>
      <c r="E1010" s="9" t="n">
        <v>341.66</v>
      </c>
      <c r="F1010" s="8" t="inlineStr">
        <is>
          <t>Pendiente visible en hojas Banco no Flexxus</t>
        </is>
      </c>
      <c r="G1010" s="8" t="inlineStr"/>
    </row>
    <row r="1011">
      <c r="A1011" s="8" t="inlineStr">
        <is>
          <t>Banco</t>
        </is>
      </c>
      <c r="B1011" s="8" t="inlineStr">
        <is>
          <t>20/04/2026</t>
        </is>
      </c>
      <c r="C1011" s="8" t="inlineStr">
        <is>
          <t>107364</t>
        </is>
      </c>
      <c r="D1011" s="8" t="inlineStr">
        <is>
          <t>GRAVAMEN LEY 25413 S/CRED</t>
        </is>
      </c>
      <c r="E1011" s="9" t="n">
        <v>205</v>
      </c>
      <c r="F1011" s="8" t="inlineStr">
        <is>
          <t>Pendiente visible en hojas Banco no Flexxus</t>
        </is>
      </c>
      <c r="G1011" s="8" t="inlineStr"/>
    </row>
    <row r="1012">
      <c r="A1012" s="8" t="inlineStr">
        <is>
          <t>Banco</t>
        </is>
      </c>
      <c r="B1012" s="8" t="inlineStr">
        <is>
          <t>20/04/2026</t>
        </is>
      </c>
      <c r="C1012" s="8" t="inlineStr">
        <is>
          <t>107363</t>
        </is>
      </c>
      <c r="D1012" s="8" t="inlineStr">
        <is>
          <t>INGRESOS BRUTOS MENDOZA</t>
        </is>
      </c>
      <c r="E1012" s="9" t="n">
        <v>608.0599999999999</v>
      </c>
      <c r="F1012" s="8" t="inlineStr">
        <is>
          <t>Pendiente visible en hojas Banco no Flexxus</t>
        </is>
      </c>
      <c r="G1012" s="8" t="inlineStr"/>
    </row>
    <row r="1013">
      <c r="A1013" s="8" t="inlineStr">
        <is>
          <t>Banco</t>
        </is>
      </c>
      <c r="B1013" s="8" t="inlineStr">
        <is>
          <t>20/04/2026</t>
        </is>
      </c>
      <c r="C1013" s="8" t="inlineStr">
        <is>
          <t>107363</t>
        </is>
      </c>
      <c r="D1013" s="8" t="inlineStr">
        <is>
          <t>GRAVAMEN LEY 25413 S/CRED</t>
        </is>
      </c>
      <c r="E1013" s="9" t="n">
        <v>364.83</v>
      </c>
      <c r="F1013" s="8" t="inlineStr">
        <is>
          <t>Pendiente visible en hojas Banco no Flexxus</t>
        </is>
      </c>
      <c r="G1013" s="8" t="inlineStr"/>
    </row>
    <row r="1014">
      <c r="A1014" s="8" t="inlineStr">
        <is>
          <t>Banco</t>
        </is>
      </c>
      <c r="B1014" s="8" t="inlineStr">
        <is>
          <t>20/04/2026</t>
        </is>
      </c>
      <c r="C1014" s="8" t="inlineStr">
        <is>
          <t>107362</t>
        </is>
      </c>
      <c r="D1014" s="8" t="inlineStr">
        <is>
          <t>INGRESOS BRUTOS MENDOZA</t>
        </is>
      </c>
      <c r="E1014" s="9" t="n">
        <v>198.06</v>
      </c>
      <c r="F1014" s="8" t="inlineStr">
        <is>
          <t>Pendiente visible en hojas Banco no Flexxus</t>
        </is>
      </c>
      <c r="G1014" s="8" t="inlineStr"/>
    </row>
    <row r="1015">
      <c r="A1015" s="8" t="inlineStr">
        <is>
          <t>Banco</t>
        </is>
      </c>
      <c r="B1015" s="8" t="inlineStr">
        <is>
          <t>20/04/2026</t>
        </is>
      </c>
      <c r="C1015" s="8" t="inlineStr">
        <is>
          <t>107362</t>
        </is>
      </c>
      <c r="D1015" s="8" t="inlineStr">
        <is>
          <t>GRAVAMEN LEY 25413 S/CRED</t>
        </is>
      </c>
      <c r="E1015" s="9" t="n">
        <v>118.84</v>
      </c>
      <c r="F1015" s="8" t="inlineStr">
        <is>
          <t>Pendiente visible en hojas Banco no Flexxus</t>
        </is>
      </c>
      <c r="G1015" s="8" t="inlineStr"/>
    </row>
    <row r="1016">
      <c r="A1016" s="8" t="inlineStr">
        <is>
          <t>Banco</t>
        </is>
      </c>
      <c r="B1016" s="8" t="inlineStr">
        <is>
          <t>20/04/2026</t>
        </is>
      </c>
      <c r="C1016" s="8" t="inlineStr">
        <is>
          <t>107361</t>
        </is>
      </c>
      <c r="D1016" s="8" t="inlineStr">
        <is>
          <t>INGRESOS BRUTOS MENDOZA</t>
        </is>
      </c>
      <c r="E1016" s="9" t="n">
        <v>974.47</v>
      </c>
      <c r="F1016" s="8" t="inlineStr">
        <is>
          <t>Pendiente visible en hojas Banco no Flexxus</t>
        </is>
      </c>
      <c r="G1016" s="8" t="inlineStr"/>
    </row>
    <row r="1017">
      <c r="A1017" s="8" t="inlineStr">
        <is>
          <t>Banco</t>
        </is>
      </c>
      <c r="B1017" s="8" t="inlineStr">
        <is>
          <t>20/04/2026</t>
        </is>
      </c>
      <c r="C1017" s="8" t="inlineStr">
        <is>
          <t>107361</t>
        </is>
      </c>
      <c r="D1017" s="8" t="inlineStr">
        <is>
          <t>GRAVAMEN LEY 25413 S/CRED</t>
        </is>
      </c>
      <c r="E1017" s="9" t="n">
        <v>584.6799999999999</v>
      </c>
      <c r="F1017" s="8" t="inlineStr">
        <is>
          <t>Pendiente visible en hojas Banco no Flexxus</t>
        </is>
      </c>
      <c r="G1017" s="8" t="inlineStr"/>
    </row>
    <row r="1018">
      <c r="A1018" s="8" t="inlineStr">
        <is>
          <t>Banco</t>
        </is>
      </c>
      <c r="B1018" s="8" t="inlineStr">
        <is>
          <t>20/04/2026</t>
        </is>
      </c>
      <c r="C1018" s="8" t="inlineStr">
        <is>
          <t>107360</t>
        </is>
      </c>
      <c r="D1018" s="8" t="inlineStr">
        <is>
          <t>INGRESOS BRUTOS MENDOZA</t>
        </is>
      </c>
      <c r="E1018" s="9" t="n">
        <v>678.37</v>
      </c>
      <c r="F1018" s="8" t="inlineStr">
        <is>
          <t>Pendiente visible en hojas Banco no Flexxus</t>
        </is>
      </c>
      <c r="G1018" s="8" t="inlineStr"/>
    </row>
    <row r="1019">
      <c r="A1019" s="8" t="inlineStr">
        <is>
          <t>Banco</t>
        </is>
      </c>
      <c r="B1019" s="8" t="inlineStr">
        <is>
          <t>20/04/2026</t>
        </is>
      </c>
      <c r="C1019" s="8" t="inlineStr">
        <is>
          <t>107360</t>
        </is>
      </c>
      <c r="D1019" s="8" t="inlineStr">
        <is>
          <t>GRAVAMEN LEY 25413 S/CRED</t>
        </is>
      </c>
      <c r="E1019" s="9" t="n">
        <v>407.02</v>
      </c>
      <c r="F1019" s="8" t="inlineStr">
        <is>
          <t>Pendiente visible en hojas Banco no Flexxus</t>
        </is>
      </c>
      <c r="G1019" s="8" t="inlineStr"/>
    </row>
    <row r="1020">
      <c r="A1020" s="8" t="inlineStr">
        <is>
          <t>Banco</t>
        </is>
      </c>
      <c r="B1020" s="8" t="inlineStr">
        <is>
          <t>20/04/2026</t>
        </is>
      </c>
      <c r="C1020" s="8" t="inlineStr">
        <is>
          <t>107359</t>
        </is>
      </c>
      <c r="D1020" s="8" t="inlineStr">
        <is>
          <t>INGRESOS BRUTOS MENDOZA</t>
        </is>
      </c>
      <c r="E1020" s="9" t="n">
        <v>326.81</v>
      </c>
      <c r="F1020" s="8" t="inlineStr">
        <is>
          <t>Pendiente visible en hojas Banco no Flexxus</t>
        </is>
      </c>
      <c r="G1020" s="8" t="inlineStr"/>
    </row>
    <row r="1021">
      <c r="A1021" s="8" t="inlineStr">
        <is>
          <t>Banco</t>
        </is>
      </c>
      <c r="B1021" s="8" t="inlineStr">
        <is>
          <t>20/04/2026</t>
        </is>
      </c>
      <c r="C1021" s="8" t="inlineStr">
        <is>
          <t>107359</t>
        </is>
      </c>
      <c r="D1021" s="8" t="inlineStr">
        <is>
          <t>GRAVAMEN LEY 25413 S/CRED</t>
        </is>
      </c>
      <c r="E1021" s="9" t="n">
        <v>196.08</v>
      </c>
      <c r="F1021" s="8" t="inlineStr">
        <is>
          <t>Pendiente visible en hojas Banco no Flexxus</t>
        </is>
      </c>
      <c r="G1021" s="8" t="inlineStr"/>
    </row>
    <row r="1022">
      <c r="A1022" s="8" t="inlineStr">
        <is>
          <t>Banco</t>
        </is>
      </c>
      <c r="B1022" s="8" t="inlineStr">
        <is>
          <t>20/04/2026</t>
        </is>
      </c>
      <c r="C1022" s="8" t="inlineStr">
        <is>
          <t>107358</t>
        </is>
      </c>
      <c r="D1022" s="8" t="inlineStr">
        <is>
          <t>INGRESOS BRUTOS MENDOZA</t>
        </is>
      </c>
      <c r="E1022" s="9" t="n">
        <v>308.98</v>
      </c>
      <c r="F1022" s="8" t="inlineStr">
        <is>
          <t>Pendiente visible en hojas Banco no Flexxus</t>
        </is>
      </c>
      <c r="G1022" s="8" t="inlineStr"/>
    </row>
    <row r="1023">
      <c r="A1023" s="8" t="inlineStr">
        <is>
          <t>Banco</t>
        </is>
      </c>
      <c r="B1023" s="8" t="inlineStr">
        <is>
          <t>20/04/2026</t>
        </is>
      </c>
      <c r="C1023" s="8" t="inlineStr">
        <is>
          <t>107358</t>
        </is>
      </c>
      <c r="D1023" s="8" t="inlineStr">
        <is>
          <t>GRAVAMEN LEY 25413 S/CRED</t>
        </is>
      </c>
      <c r="E1023" s="9" t="n">
        <v>185.39</v>
      </c>
      <c r="F1023" s="8" t="inlineStr">
        <is>
          <t>Pendiente visible en hojas Banco no Flexxus</t>
        </is>
      </c>
      <c r="G1023" s="8" t="inlineStr"/>
    </row>
    <row r="1024">
      <c r="A1024" s="8" t="inlineStr">
        <is>
          <t>Banco</t>
        </is>
      </c>
      <c r="B1024" s="8" t="inlineStr">
        <is>
          <t>20/04/2026</t>
        </is>
      </c>
      <c r="C1024" s="8" t="inlineStr">
        <is>
          <t>107357</t>
        </is>
      </c>
      <c r="D1024" s="8" t="inlineStr">
        <is>
          <t>INGRESOS BRUTOS MENDOZA</t>
        </is>
      </c>
      <c r="E1024" s="9" t="n">
        <v>295.12</v>
      </c>
      <c r="F1024" s="8" t="inlineStr">
        <is>
          <t>Pendiente visible en hojas Banco no Flexxus</t>
        </is>
      </c>
      <c r="G1024" s="8" t="inlineStr"/>
    </row>
    <row r="1025">
      <c r="A1025" s="8" t="inlineStr">
        <is>
          <t>Banco</t>
        </is>
      </c>
      <c r="B1025" s="8" t="inlineStr">
        <is>
          <t>20/04/2026</t>
        </is>
      </c>
      <c r="C1025" s="8" t="inlineStr">
        <is>
          <t>107357</t>
        </is>
      </c>
      <c r="D1025" s="8" t="inlineStr">
        <is>
          <t>GRAVAMEN LEY 25413 S/CRED</t>
        </is>
      </c>
      <c r="E1025" s="9" t="n">
        <v>177.07</v>
      </c>
      <c r="F1025" s="8" t="inlineStr">
        <is>
          <t>Pendiente visible en hojas Banco no Flexxus</t>
        </is>
      </c>
      <c r="G1025" s="8" t="inlineStr"/>
    </row>
    <row r="1026">
      <c r="A1026" s="8" t="inlineStr">
        <is>
          <t>Banco</t>
        </is>
      </c>
      <c r="B1026" s="8" t="inlineStr">
        <is>
          <t>20/04/2026</t>
        </is>
      </c>
      <c r="C1026" s="8" t="inlineStr">
        <is>
          <t>107356</t>
        </is>
      </c>
      <c r="D1026" s="8" t="inlineStr">
        <is>
          <t>INGRESOS BRUTOS MENDOZA</t>
        </is>
      </c>
      <c r="E1026" s="9" t="n">
        <v>346.61</v>
      </c>
      <c r="F1026" s="8" t="inlineStr">
        <is>
          <t>Pendiente visible en hojas Banco no Flexxus</t>
        </is>
      </c>
      <c r="G1026" s="8" t="inlineStr"/>
    </row>
    <row r="1027">
      <c r="A1027" s="8" t="inlineStr">
        <is>
          <t>Banco</t>
        </is>
      </c>
      <c r="B1027" s="8" t="inlineStr">
        <is>
          <t>20/04/2026</t>
        </is>
      </c>
      <c r="C1027" s="8" t="inlineStr">
        <is>
          <t>107356</t>
        </is>
      </c>
      <c r="D1027" s="8" t="inlineStr">
        <is>
          <t>GRAVAMEN LEY 25413 S/CRED</t>
        </is>
      </c>
      <c r="E1027" s="9" t="n">
        <v>207.97</v>
      </c>
      <c r="F1027" s="8" t="inlineStr">
        <is>
          <t>Pendiente visible en hojas Banco no Flexxus</t>
        </is>
      </c>
      <c r="G1027" s="8" t="inlineStr"/>
    </row>
    <row r="1028">
      <c r="A1028" s="8" t="inlineStr">
        <is>
          <t>Banco</t>
        </is>
      </c>
      <c r="B1028" s="8" t="inlineStr">
        <is>
          <t>20/04/2026</t>
        </is>
      </c>
      <c r="C1028" s="8" t="inlineStr">
        <is>
          <t>107355</t>
        </is>
      </c>
      <c r="D1028" s="8" t="inlineStr">
        <is>
          <t>INGRESOS BRUTOS MENDOZA</t>
        </is>
      </c>
      <c r="E1028" s="9" t="n">
        <v>719.96</v>
      </c>
      <c r="F1028" s="8" t="inlineStr">
        <is>
          <t>Pendiente visible en hojas Banco no Flexxus</t>
        </is>
      </c>
      <c r="G1028" s="8" t="inlineStr"/>
    </row>
    <row r="1029">
      <c r="A1029" s="8" t="inlineStr">
        <is>
          <t>Banco</t>
        </is>
      </c>
      <c r="B1029" s="8" t="inlineStr">
        <is>
          <t>20/04/2026</t>
        </is>
      </c>
      <c r="C1029" s="8" t="inlineStr">
        <is>
          <t>107355</t>
        </is>
      </c>
      <c r="D1029" s="8" t="inlineStr">
        <is>
          <t>GRAVAMEN LEY 25413 S/CRED</t>
        </is>
      </c>
      <c r="E1029" s="9" t="n">
        <v>431.98</v>
      </c>
      <c r="F1029" s="8" t="inlineStr">
        <is>
          <t>Pendiente visible en hojas Banco no Flexxus</t>
        </is>
      </c>
      <c r="G1029" s="8" t="inlineStr"/>
    </row>
    <row r="1030">
      <c r="A1030" s="8" t="inlineStr">
        <is>
          <t>Banco</t>
        </is>
      </c>
      <c r="B1030" s="8" t="inlineStr">
        <is>
          <t>20/04/2026</t>
        </is>
      </c>
      <c r="C1030" s="8" t="inlineStr">
        <is>
          <t>107354</t>
        </is>
      </c>
      <c r="D1030" s="8" t="inlineStr">
        <is>
          <t>INGRESOS BRUTOS MENDOZA</t>
        </is>
      </c>
      <c r="E1030" s="9" t="n">
        <v>301.06</v>
      </c>
      <c r="F1030" s="8" t="inlineStr">
        <is>
          <t>Pendiente visible en hojas Banco no Flexxus</t>
        </is>
      </c>
      <c r="G1030" s="8" t="inlineStr"/>
    </row>
    <row r="1031">
      <c r="A1031" s="8" t="inlineStr">
        <is>
          <t>Banco</t>
        </is>
      </c>
      <c r="B1031" s="8" t="inlineStr">
        <is>
          <t>20/04/2026</t>
        </is>
      </c>
      <c r="C1031" s="8" t="inlineStr">
        <is>
          <t>107354</t>
        </is>
      </c>
      <c r="D1031" s="8" t="inlineStr">
        <is>
          <t>GRAVAMEN LEY 25413 S/CRED</t>
        </is>
      </c>
      <c r="E1031" s="9" t="n">
        <v>180.63</v>
      </c>
      <c r="F1031" s="8" t="inlineStr">
        <is>
          <t>Pendiente visible en hojas Banco no Flexxus</t>
        </is>
      </c>
      <c r="G1031" s="8" t="inlineStr"/>
    </row>
    <row r="1032">
      <c r="A1032" s="8" t="inlineStr">
        <is>
          <t>Banco</t>
        </is>
      </c>
      <c r="B1032" s="8" t="inlineStr">
        <is>
          <t>20/04/2026</t>
        </is>
      </c>
      <c r="C1032" s="8" t="inlineStr">
        <is>
          <t>107353</t>
        </is>
      </c>
      <c r="D1032" s="8" t="inlineStr">
        <is>
          <t>INGRESOS BRUTOS MENDOZA</t>
        </is>
      </c>
      <c r="E1032" s="9" t="n">
        <v>260.45</v>
      </c>
      <c r="F1032" s="8" t="inlineStr">
        <is>
          <t>Pendiente visible en hojas Banco no Flexxus</t>
        </is>
      </c>
      <c r="G1032" s="8" t="inlineStr"/>
    </row>
    <row r="1033">
      <c r="A1033" s="8" t="inlineStr">
        <is>
          <t>Banco</t>
        </is>
      </c>
      <c r="B1033" s="8" t="inlineStr">
        <is>
          <t>20/04/2026</t>
        </is>
      </c>
      <c r="C1033" s="8" t="inlineStr">
        <is>
          <t>107353</t>
        </is>
      </c>
      <c r="D1033" s="8" t="inlineStr">
        <is>
          <t>GRAVAMEN LEY 25413 S/CRED</t>
        </is>
      </c>
      <c r="E1033" s="9" t="n">
        <v>156.27</v>
      </c>
      <c r="F1033" s="8" t="inlineStr">
        <is>
          <t>Pendiente visible en hojas Banco no Flexxus</t>
        </is>
      </c>
      <c r="G1033" s="8" t="inlineStr"/>
    </row>
    <row r="1034">
      <c r="A1034" s="8" t="inlineStr">
        <is>
          <t>Banco</t>
        </is>
      </c>
      <c r="B1034" s="8" t="inlineStr">
        <is>
          <t>20/04/2026</t>
        </is>
      </c>
      <c r="C1034" s="8" t="inlineStr">
        <is>
          <t>107352</t>
        </is>
      </c>
      <c r="D1034" s="8" t="inlineStr">
        <is>
          <t>INGRESOS BRUTOS MENDOZA</t>
        </is>
      </c>
      <c r="E1034" s="9" t="n">
        <v>647.67</v>
      </c>
      <c r="F1034" s="8" t="inlineStr">
        <is>
          <t>Pendiente visible en hojas Banco no Flexxus</t>
        </is>
      </c>
      <c r="G1034" s="8" t="inlineStr"/>
    </row>
    <row r="1035">
      <c r="A1035" s="8" t="inlineStr">
        <is>
          <t>Banco</t>
        </is>
      </c>
      <c r="B1035" s="8" t="inlineStr">
        <is>
          <t>20/04/2026</t>
        </is>
      </c>
      <c r="C1035" s="8" t="inlineStr">
        <is>
          <t>107352</t>
        </is>
      </c>
      <c r="D1035" s="8" t="inlineStr">
        <is>
          <t>GRAVAMEN LEY 25413 S/CRED</t>
        </is>
      </c>
      <c r="E1035" s="9" t="n">
        <v>388.6</v>
      </c>
      <c r="F1035" s="8" t="inlineStr">
        <is>
          <t>Pendiente visible en hojas Banco no Flexxus</t>
        </is>
      </c>
      <c r="G1035" s="8" t="inlineStr"/>
    </row>
    <row r="1036">
      <c r="A1036" s="8" t="inlineStr">
        <is>
          <t>Banco</t>
        </is>
      </c>
      <c r="B1036" s="8" t="inlineStr">
        <is>
          <t>20/04/2026</t>
        </is>
      </c>
      <c r="C1036" s="8" t="inlineStr">
        <is>
          <t>107351</t>
        </is>
      </c>
      <c r="D1036" s="8" t="inlineStr">
        <is>
          <t>INGRESOS BRUTOS MENDOZA</t>
        </is>
      </c>
      <c r="E1036" s="9" t="n">
        <v>145.58</v>
      </c>
      <c r="F1036" s="8" t="inlineStr">
        <is>
          <t>Pendiente visible en hojas Banco no Flexxus</t>
        </is>
      </c>
      <c r="G1036" s="8" t="inlineStr"/>
    </row>
    <row r="1037">
      <c r="A1037" s="8" t="inlineStr">
        <is>
          <t>Banco</t>
        </is>
      </c>
      <c r="B1037" s="8" t="inlineStr">
        <is>
          <t>20/04/2026</t>
        </is>
      </c>
      <c r="C1037" s="8" t="inlineStr">
        <is>
          <t>107351</t>
        </is>
      </c>
      <c r="D1037" s="8" t="inlineStr">
        <is>
          <t>GRAVAMEN LEY 25413 S/CRED</t>
        </is>
      </c>
      <c r="E1037" s="9" t="n">
        <v>87.34999999999999</v>
      </c>
      <c r="F1037" s="8" t="inlineStr">
        <is>
          <t>Pendiente visible en hojas Banco no Flexxus</t>
        </is>
      </c>
      <c r="G1037" s="8" t="inlineStr"/>
    </row>
    <row r="1038">
      <c r="A1038" s="8" t="inlineStr">
        <is>
          <t>Banco</t>
        </is>
      </c>
      <c r="B1038" s="8" t="inlineStr">
        <is>
          <t>20/04/2026</t>
        </is>
      </c>
      <c r="C1038" s="8" t="inlineStr">
        <is>
          <t>107350</t>
        </is>
      </c>
      <c r="D1038" s="8" t="inlineStr">
        <is>
          <t>INGRESOS BRUTOS MENDOZA</t>
        </is>
      </c>
      <c r="E1038" s="9" t="n">
        <v>350.57</v>
      </c>
      <c r="F1038" s="8" t="inlineStr">
        <is>
          <t>Pendiente visible en hojas Banco no Flexxus</t>
        </is>
      </c>
      <c r="G1038" s="8" t="inlineStr"/>
    </row>
    <row r="1039">
      <c r="A1039" s="8" t="inlineStr">
        <is>
          <t>Banco</t>
        </is>
      </c>
      <c r="B1039" s="8" t="inlineStr">
        <is>
          <t>20/04/2026</t>
        </is>
      </c>
      <c r="C1039" s="8" t="inlineStr">
        <is>
          <t>107350</t>
        </is>
      </c>
      <c r="D1039" s="8" t="inlineStr">
        <is>
          <t>GRAVAMEN LEY 25413 S/CRED</t>
        </is>
      </c>
      <c r="E1039" s="9" t="n">
        <v>210.34</v>
      </c>
      <c r="F1039" s="8" t="inlineStr">
        <is>
          <t>Pendiente visible en hojas Banco no Flexxus</t>
        </is>
      </c>
      <c r="G1039" s="8" t="inlineStr"/>
    </row>
    <row r="1040">
      <c r="A1040" s="8" t="inlineStr">
        <is>
          <t>Banco</t>
        </is>
      </c>
      <c r="B1040" s="8" t="inlineStr">
        <is>
          <t>20/04/2026</t>
        </is>
      </c>
      <c r="C1040" s="8" t="inlineStr">
        <is>
          <t>107349</t>
        </is>
      </c>
      <c r="D1040" s="8" t="inlineStr">
        <is>
          <t>INGRESOS BRUTOS MENDOZA</t>
        </is>
      </c>
      <c r="E1040" s="9" t="n">
        <v>113.89</v>
      </c>
      <c r="F1040" s="8" t="inlineStr">
        <is>
          <t>Pendiente visible en hojas Banco no Flexxus</t>
        </is>
      </c>
      <c r="G1040" s="8" t="inlineStr"/>
    </row>
    <row r="1041">
      <c r="A1041" s="8" t="inlineStr">
        <is>
          <t>Banco</t>
        </is>
      </c>
      <c r="B1041" s="8" t="inlineStr">
        <is>
          <t>20/04/2026</t>
        </is>
      </c>
      <c r="C1041" s="8" t="inlineStr">
        <is>
          <t>107349</t>
        </is>
      </c>
      <c r="D1041" s="8" t="inlineStr">
        <is>
          <t>GRAVAMEN LEY 25413 S/CRED</t>
        </is>
      </c>
      <c r="E1041" s="9" t="n">
        <v>68.33</v>
      </c>
      <c r="F1041" s="8" t="inlineStr">
        <is>
          <t>Pendiente visible en hojas Banco no Flexxus</t>
        </is>
      </c>
      <c r="G1041" s="8" t="inlineStr"/>
    </row>
    <row r="1042">
      <c r="A1042" s="8" t="inlineStr">
        <is>
          <t>Banco</t>
        </is>
      </c>
      <c r="B1042" s="8" t="inlineStr">
        <is>
          <t>20/04/2026</t>
        </is>
      </c>
      <c r="C1042" s="8" t="inlineStr">
        <is>
          <t>107348</t>
        </is>
      </c>
      <c r="D1042" s="8" t="inlineStr">
        <is>
          <t>INGRESOS BRUTOS MENDOZA</t>
        </is>
      </c>
      <c r="E1042" s="9" t="n">
        <v>133.69</v>
      </c>
      <c r="F1042" s="8" t="inlineStr">
        <is>
          <t>Pendiente visible en hojas Banco no Flexxus</t>
        </is>
      </c>
      <c r="G1042" s="8" t="inlineStr"/>
    </row>
    <row r="1043">
      <c r="A1043" s="8" t="inlineStr">
        <is>
          <t>Banco</t>
        </is>
      </c>
      <c r="B1043" s="8" t="inlineStr">
        <is>
          <t>20/04/2026</t>
        </is>
      </c>
      <c r="C1043" s="8" t="inlineStr">
        <is>
          <t>107348</t>
        </is>
      </c>
      <c r="D1043" s="8" t="inlineStr">
        <is>
          <t>GRAVAMEN LEY 25413 S/CRED</t>
        </is>
      </c>
      <c r="E1043" s="9" t="n">
        <v>80.22</v>
      </c>
      <c r="F1043" s="8" t="inlineStr">
        <is>
          <t>Pendiente visible en hojas Banco no Flexxus</t>
        </is>
      </c>
      <c r="G1043" s="8" t="inlineStr"/>
    </row>
    <row r="1044">
      <c r="A1044" s="8" t="inlineStr">
        <is>
          <t>Banco</t>
        </is>
      </c>
      <c r="B1044" s="8" t="inlineStr">
        <is>
          <t>20/04/2026</t>
        </is>
      </c>
      <c r="C1044" s="8" t="inlineStr">
        <is>
          <t>107347</t>
        </is>
      </c>
      <c r="D1044" s="8" t="inlineStr">
        <is>
          <t>INGRESOS BRUTOS MENDOZA</t>
        </is>
      </c>
      <c r="E1044" s="9" t="n">
        <v>361.47</v>
      </c>
      <c r="F1044" s="8" t="inlineStr">
        <is>
          <t>Pendiente visible en hojas Banco no Flexxus</t>
        </is>
      </c>
      <c r="G1044" s="8" t="inlineStr"/>
    </row>
    <row r="1045">
      <c r="A1045" s="8" t="inlineStr">
        <is>
          <t>Banco</t>
        </is>
      </c>
      <c r="B1045" s="8" t="inlineStr">
        <is>
          <t>20/04/2026</t>
        </is>
      </c>
      <c r="C1045" s="8" t="inlineStr">
        <is>
          <t>107347</t>
        </is>
      </c>
      <c r="D1045" s="8" t="inlineStr">
        <is>
          <t>GRAVAMEN LEY 25413 S/CRED</t>
        </is>
      </c>
      <c r="E1045" s="9" t="n">
        <v>216.88</v>
      </c>
      <c r="F1045" s="8" t="inlineStr">
        <is>
          <t>Pendiente visible en hojas Banco no Flexxus</t>
        </is>
      </c>
      <c r="G1045" s="8" t="inlineStr"/>
    </row>
    <row r="1046">
      <c r="A1046" s="8" t="inlineStr">
        <is>
          <t>Banco</t>
        </is>
      </c>
      <c r="B1046" s="8" t="inlineStr">
        <is>
          <t>20/04/2026</t>
        </is>
      </c>
      <c r="C1046" s="8" t="inlineStr">
        <is>
          <t>107346</t>
        </is>
      </c>
      <c r="D1046" s="8" t="inlineStr">
        <is>
          <t>INGRESOS BRUTOS MENDOZA</t>
        </is>
      </c>
      <c r="E1046" s="9" t="n">
        <v>418.01</v>
      </c>
      <c r="F1046" s="8" t="inlineStr">
        <is>
          <t>Pendiente visible en hojas Banco no Flexxus</t>
        </is>
      </c>
      <c r="G1046" s="8" t="inlineStr"/>
    </row>
    <row r="1047">
      <c r="A1047" s="8" t="inlineStr">
        <is>
          <t>Banco</t>
        </is>
      </c>
      <c r="B1047" s="8" t="inlineStr">
        <is>
          <t>20/04/2026</t>
        </is>
      </c>
      <c r="C1047" s="8" t="inlineStr">
        <is>
          <t>107346</t>
        </is>
      </c>
      <c r="D1047" s="8" t="inlineStr">
        <is>
          <t>GRAVAMEN LEY 25413 S/CRED</t>
        </is>
      </c>
      <c r="E1047" s="9" t="n">
        <v>250.81</v>
      </c>
      <c r="F1047" s="8" t="inlineStr">
        <is>
          <t>Pendiente visible en hojas Banco no Flexxus</t>
        </is>
      </c>
      <c r="G1047" s="8" t="inlineStr"/>
    </row>
    <row r="1048">
      <c r="A1048" s="8" t="inlineStr">
        <is>
          <t>Banco</t>
        </is>
      </c>
      <c r="B1048" s="8" t="inlineStr">
        <is>
          <t>20/04/2026</t>
        </is>
      </c>
      <c r="C1048" s="8" t="inlineStr">
        <is>
          <t>107345</t>
        </is>
      </c>
      <c r="D1048" s="8" t="inlineStr">
        <is>
          <t>INGRESOS BRUTOS MENDOZA</t>
        </is>
      </c>
      <c r="E1048" s="9" t="n">
        <v>320.86</v>
      </c>
      <c r="F1048" s="8" t="inlineStr">
        <is>
          <t>Pendiente visible en hojas Banco no Flexxus</t>
        </is>
      </c>
      <c r="G1048" s="8" t="inlineStr"/>
    </row>
    <row r="1049">
      <c r="A1049" s="8" t="inlineStr">
        <is>
          <t>Banco</t>
        </is>
      </c>
      <c r="B1049" s="8" t="inlineStr">
        <is>
          <t>20/04/2026</t>
        </is>
      </c>
      <c r="C1049" s="8" t="inlineStr">
        <is>
          <t>107345</t>
        </is>
      </c>
      <c r="D1049" s="8" t="inlineStr">
        <is>
          <t>GRAVAMEN LEY 25413 S/CRED</t>
        </is>
      </c>
      <c r="E1049" s="9" t="n">
        <v>192.52</v>
      </c>
      <c r="F1049" s="8" t="inlineStr">
        <is>
          <t>Pendiente visible en hojas Banco no Flexxus</t>
        </is>
      </c>
      <c r="G1049" s="8" t="inlineStr"/>
    </row>
    <row r="1050">
      <c r="A1050" s="8" t="inlineStr">
        <is>
          <t>Banco</t>
        </is>
      </c>
      <c r="B1050" s="8" t="inlineStr">
        <is>
          <t>20/04/2026</t>
        </is>
      </c>
      <c r="C1050" s="8" t="inlineStr">
        <is>
          <t>107344</t>
        </is>
      </c>
      <c r="D1050" s="8" t="inlineStr">
        <is>
          <t>INGRESOS BRUTOS MENDOZA</t>
        </is>
      </c>
      <c r="E1050" s="9" t="n">
        <v>60.31</v>
      </c>
      <c r="F1050" s="8" t="inlineStr">
        <is>
          <t>Pendiente visible en hojas Banco no Flexxus</t>
        </is>
      </c>
      <c r="G1050" s="8" t="inlineStr"/>
    </row>
    <row r="1051">
      <c r="A1051" s="8" t="inlineStr">
        <is>
          <t>Banco</t>
        </is>
      </c>
      <c r="B1051" s="8" t="inlineStr">
        <is>
          <t>20/04/2026</t>
        </is>
      </c>
      <c r="C1051" s="8" t="inlineStr">
        <is>
          <t>107344</t>
        </is>
      </c>
      <c r="D1051" s="8" t="inlineStr">
        <is>
          <t>GRAVAMEN LEY 25413 S/CRED</t>
        </is>
      </c>
      <c r="E1051" s="9" t="n">
        <v>36.19</v>
      </c>
      <c r="F1051" s="8" t="inlineStr">
        <is>
          <t>Pendiente visible en hojas Banco no Flexxus</t>
        </is>
      </c>
      <c r="G1051" s="8" t="inlineStr"/>
    </row>
    <row r="1052">
      <c r="A1052" s="8" t="inlineStr">
        <is>
          <t>Banco</t>
        </is>
      </c>
      <c r="B1052" s="8" t="inlineStr">
        <is>
          <t>20/04/2026</t>
        </is>
      </c>
      <c r="C1052" s="8" t="inlineStr">
        <is>
          <t>107343</t>
        </is>
      </c>
      <c r="D1052" s="8" t="inlineStr">
        <is>
          <t>INGRESOS BRUTOS MENDOZA</t>
        </is>
      </c>
      <c r="E1052" s="9" t="n">
        <v>173.7</v>
      </c>
      <c r="F1052" s="8" t="inlineStr">
        <is>
          <t>Pendiente visible en hojas Banco no Flexxus</t>
        </is>
      </c>
      <c r="G1052" s="8" t="inlineStr"/>
    </row>
    <row r="1053">
      <c r="A1053" s="8" t="inlineStr">
        <is>
          <t>Banco</t>
        </is>
      </c>
      <c r="B1053" s="8" t="inlineStr">
        <is>
          <t>20/04/2026</t>
        </is>
      </c>
      <c r="C1053" s="8" t="inlineStr">
        <is>
          <t>107343</t>
        </is>
      </c>
      <c r="D1053" s="8" t="inlineStr">
        <is>
          <t>GRAVAMEN LEY 25413 S/CRED</t>
        </is>
      </c>
      <c r="E1053" s="9" t="n">
        <v>104.22</v>
      </c>
      <c r="F1053" s="8" t="inlineStr">
        <is>
          <t>Pendiente visible en hojas Banco no Flexxus</t>
        </is>
      </c>
      <c r="G1053" s="8" t="inlineStr"/>
    </row>
    <row r="1054">
      <c r="A1054" s="8" t="inlineStr">
        <is>
          <t>Banco</t>
        </is>
      </c>
      <c r="B1054" s="8" t="inlineStr">
        <is>
          <t>20/04/2026</t>
        </is>
      </c>
      <c r="C1054" s="8" t="inlineStr">
        <is>
          <t>107342</t>
        </is>
      </c>
      <c r="D1054" s="8" t="inlineStr">
        <is>
          <t>INGRESOS BRUTOS MENDOZA</t>
        </is>
      </c>
      <c r="E1054" s="9" t="n">
        <v>113.89</v>
      </c>
      <c r="F1054" s="8" t="inlineStr">
        <is>
          <t>Pendiente visible en hojas Banco no Flexxus</t>
        </is>
      </c>
      <c r="G1054" s="8" t="inlineStr"/>
    </row>
    <row r="1055">
      <c r="A1055" s="8" t="inlineStr">
        <is>
          <t>Banco</t>
        </is>
      </c>
      <c r="B1055" s="8" t="inlineStr">
        <is>
          <t>20/04/2026</t>
        </is>
      </c>
      <c r="C1055" s="8" t="inlineStr">
        <is>
          <t>107342</t>
        </is>
      </c>
      <c r="D1055" s="8" t="inlineStr">
        <is>
          <t>GRAVAMEN LEY 25413 S/CRED</t>
        </is>
      </c>
      <c r="E1055" s="9" t="n">
        <v>68.33</v>
      </c>
      <c r="F1055" s="8" t="inlineStr">
        <is>
          <t>Pendiente visible en hojas Banco no Flexxus</t>
        </is>
      </c>
      <c r="G1055" s="8" t="inlineStr"/>
    </row>
    <row r="1056">
      <c r="A1056" s="8" t="inlineStr">
        <is>
          <t>Banco</t>
        </is>
      </c>
      <c r="B1056" s="8" t="inlineStr">
        <is>
          <t>20/04/2026</t>
        </is>
      </c>
      <c r="C1056" s="8" t="inlineStr">
        <is>
          <t>107341</t>
        </is>
      </c>
      <c r="D1056" s="8" t="inlineStr">
        <is>
          <t>INGRESOS BRUTOS MENDOZA</t>
        </is>
      </c>
      <c r="E1056" s="9" t="n">
        <v>121.81</v>
      </c>
      <c r="F1056" s="8" t="inlineStr">
        <is>
          <t>Pendiente visible en hojas Banco no Flexxus</t>
        </is>
      </c>
      <c r="G1056" s="8" t="inlineStr"/>
    </row>
    <row r="1057">
      <c r="A1057" s="8" t="inlineStr">
        <is>
          <t>Banco</t>
        </is>
      </c>
      <c r="B1057" s="8" t="inlineStr">
        <is>
          <t>20/04/2026</t>
        </is>
      </c>
      <c r="C1057" s="8" t="inlineStr">
        <is>
          <t>107341</t>
        </is>
      </c>
      <c r="D1057" s="8" t="inlineStr">
        <is>
          <t>GRAVAMEN LEY 25413 S/CRED</t>
        </is>
      </c>
      <c r="E1057" s="9" t="n">
        <v>73.09</v>
      </c>
      <c r="F1057" s="8" t="inlineStr">
        <is>
          <t>Pendiente visible en hojas Banco no Flexxus</t>
        </is>
      </c>
      <c r="G1057" s="8" t="inlineStr"/>
    </row>
    <row r="1058">
      <c r="A1058" s="8" t="inlineStr">
        <is>
          <t>Banco</t>
        </is>
      </c>
      <c r="B1058" s="8" t="inlineStr">
        <is>
          <t>20/04/2026</t>
        </is>
      </c>
      <c r="C1058" s="8" t="inlineStr">
        <is>
          <t>107340</t>
        </is>
      </c>
      <c r="D1058" s="8" t="inlineStr">
        <is>
          <t>INGRESOS BRUTOS MENDOZA</t>
        </is>
      </c>
      <c r="E1058" s="9" t="n">
        <v>133.69</v>
      </c>
      <c r="F1058" s="8" t="inlineStr">
        <is>
          <t>Pendiente visible en hojas Banco no Flexxus</t>
        </is>
      </c>
      <c r="G1058" s="8" t="inlineStr"/>
    </row>
    <row r="1059">
      <c r="A1059" s="8" t="inlineStr">
        <is>
          <t>Banco</t>
        </is>
      </c>
      <c r="B1059" s="8" t="inlineStr">
        <is>
          <t>20/04/2026</t>
        </is>
      </c>
      <c r="C1059" s="8" t="inlineStr">
        <is>
          <t>107340</t>
        </is>
      </c>
      <c r="D1059" s="8" t="inlineStr">
        <is>
          <t>GRAVAMEN LEY 25413 S/CRED</t>
        </is>
      </c>
      <c r="E1059" s="9" t="n">
        <v>80.22</v>
      </c>
      <c r="F1059" s="8" t="inlineStr">
        <is>
          <t>Pendiente visible en hojas Banco no Flexxus</t>
        </is>
      </c>
      <c r="G1059" s="8" t="inlineStr"/>
    </row>
    <row r="1060">
      <c r="A1060" s="8" t="inlineStr">
        <is>
          <t>Banco</t>
        </is>
      </c>
      <c r="B1060" s="8" t="inlineStr">
        <is>
          <t>20/04/2026</t>
        </is>
      </c>
      <c r="C1060" s="8" t="inlineStr">
        <is>
          <t>107339</t>
        </is>
      </c>
      <c r="D1060" s="8" t="inlineStr">
        <is>
          <t>INGRESOS BRUTOS MENDOZA</t>
        </is>
      </c>
      <c r="E1060" s="9" t="n">
        <v>117.85</v>
      </c>
      <c r="F1060" s="8" t="inlineStr">
        <is>
          <t>Pendiente visible en hojas Banco no Flexxus</t>
        </is>
      </c>
      <c r="G1060" s="8" t="inlineStr"/>
    </row>
    <row r="1061">
      <c r="A1061" s="8" t="inlineStr">
        <is>
          <t>Banco</t>
        </is>
      </c>
      <c r="B1061" s="8" t="inlineStr">
        <is>
          <t>20/04/2026</t>
        </is>
      </c>
      <c r="C1061" s="8" t="inlineStr">
        <is>
          <t>107339</t>
        </is>
      </c>
      <c r="D1061" s="8" t="inlineStr">
        <is>
          <t>GRAVAMEN LEY 25413 S/CRED</t>
        </is>
      </c>
      <c r="E1061" s="9" t="n">
        <v>70.70999999999999</v>
      </c>
      <c r="F1061" s="8" t="inlineStr">
        <is>
          <t>Pendiente visible en hojas Banco no Flexxus</t>
        </is>
      </c>
      <c r="G1061" s="8" t="inlineStr"/>
    </row>
    <row r="1062">
      <c r="A1062" s="8" t="inlineStr">
        <is>
          <t>Banco</t>
        </is>
      </c>
      <c r="B1062" s="8" t="inlineStr">
        <is>
          <t>20/04/2026</t>
        </is>
      </c>
      <c r="C1062" s="8" t="inlineStr">
        <is>
          <t>107337</t>
        </is>
      </c>
      <c r="D1062" s="8" t="inlineStr">
        <is>
          <t>INGRESOS BRUTOS MENDOZA</t>
        </is>
      </c>
      <c r="E1062" s="9" t="n">
        <v>544.6799999999999</v>
      </c>
      <c r="F1062" s="8" t="inlineStr">
        <is>
          <t>Pendiente visible en hojas Banco no Flexxus</t>
        </is>
      </c>
      <c r="G1062" s="8" t="inlineStr"/>
    </row>
    <row r="1063">
      <c r="A1063" s="8" t="inlineStr">
        <is>
          <t>Banco</t>
        </is>
      </c>
      <c r="B1063" s="8" t="inlineStr">
        <is>
          <t>20/04/2026</t>
        </is>
      </c>
      <c r="C1063" s="8" t="inlineStr">
        <is>
          <t>107337</t>
        </is>
      </c>
      <c r="D1063" s="8" t="inlineStr">
        <is>
          <t>GRAVAMEN LEY 25413 S/CRED</t>
        </is>
      </c>
      <c r="E1063" s="9" t="n">
        <v>326.81</v>
      </c>
      <c r="F1063" s="8" t="inlineStr">
        <is>
          <t>Pendiente visible en hojas Banco no Flexxus</t>
        </is>
      </c>
      <c r="G1063" s="8" t="inlineStr"/>
    </row>
    <row r="1064">
      <c r="A1064" s="8" t="inlineStr">
        <is>
          <t>Banco</t>
        </is>
      </c>
      <c r="B1064" s="8" t="inlineStr">
        <is>
          <t>20/04/2026</t>
        </is>
      </c>
      <c r="C1064" s="8" t="inlineStr">
        <is>
          <t>107336</t>
        </is>
      </c>
      <c r="D1064" s="8" t="inlineStr">
        <is>
          <t>INGRESOS BRUTOS MENDOZA</t>
        </is>
      </c>
      <c r="E1064" s="9" t="n">
        <v>84.18000000000001</v>
      </c>
      <c r="F1064" s="8" t="inlineStr">
        <is>
          <t>Pendiente visible en hojas Banco no Flexxus</t>
        </is>
      </c>
      <c r="G1064" s="8" t="inlineStr"/>
    </row>
    <row r="1065">
      <c r="A1065" s="8" t="inlineStr">
        <is>
          <t>Banco</t>
        </is>
      </c>
      <c r="B1065" s="8" t="inlineStr">
        <is>
          <t>20/04/2026</t>
        </is>
      </c>
      <c r="C1065" s="8" t="inlineStr">
        <is>
          <t>107336</t>
        </is>
      </c>
      <c r="D1065" s="8" t="inlineStr">
        <is>
          <t>GRAVAMEN LEY 25413 S/CRED</t>
        </is>
      </c>
      <c r="E1065" s="9" t="n">
        <v>50.51</v>
      </c>
      <c r="F1065" s="8" t="inlineStr">
        <is>
          <t>Pendiente visible en hojas Banco no Flexxus</t>
        </is>
      </c>
      <c r="G1065" s="8" t="inlineStr"/>
    </row>
    <row r="1066">
      <c r="A1066" s="8" t="inlineStr">
        <is>
          <t>Banco</t>
        </is>
      </c>
      <c r="B1066" s="8" t="inlineStr">
        <is>
          <t>20/04/2026</t>
        </is>
      </c>
      <c r="C1066" s="8" t="inlineStr">
        <is>
          <t>107335</t>
        </is>
      </c>
      <c r="D1066" s="8" t="inlineStr">
        <is>
          <t>INGRESOS BRUTOS MENDOZA</t>
        </is>
      </c>
      <c r="E1066" s="9" t="n">
        <v>674.41</v>
      </c>
      <c r="F1066" s="8" t="inlineStr">
        <is>
          <t>Pendiente visible en hojas Banco no Flexxus</t>
        </is>
      </c>
      <c r="G1066" s="8" t="inlineStr"/>
    </row>
    <row r="1067">
      <c r="A1067" s="8" t="inlineStr">
        <is>
          <t>Banco</t>
        </is>
      </c>
      <c r="B1067" s="8" t="inlineStr">
        <is>
          <t>20/04/2026</t>
        </is>
      </c>
      <c r="C1067" s="8" t="inlineStr">
        <is>
          <t>107335</t>
        </is>
      </c>
      <c r="D1067" s="8" t="inlineStr">
        <is>
          <t>GRAVAMEN LEY 25413 S/CRED</t>
        </is>
      </c>
      <c r="E1067" s="9" t="n">
        <v>404.64</v>
      </c>
      <c r="F1067" s="8" t="inlineStr">
        <is>
          <t>Pendiente visible en hojas Banco no Flexxus</t>
        </is>
      </c>
      <c r="G1067" s="8" t="inlineStr"/>
    </row>
    <row r="1068">
      <c r="A1068" s="8" t="inlineStr">
        <is>
          <t>Banco</t>
        </is>
      </c>
      <c r="B1068" s="8" t="inlineStr">
        <is>
          <t>20/04/2026</t>
        </is>
      </c>
      <c r="C1068" s="8" t="inlineStr">
        <is>
          <t>107334</t>
        </is>
      </c>
      <c r="D1068" s="8" t="inlineStr">
        <is>
          <t>INGRESOS BRUTOS MENDOZA</t>
        </is>
      </c>
      <c r="E1068" s="9" t="n">
        <v>918.03</v>
      </c>
      <c r="F1068" s="8" t="inlineStr">
        <is>
          <t>Pendiente visible en hojas Banco no Flexxus</t>
        </is>
      </c>
      <c r="G1068" s="8" t="inlineStr"/>
    </row>
    <row r="1069">
      <c r="A1069" s="8" t="inlineStr">
        <is>
          <t>Banco</t>
        </is>
      </c>
      <c r="B1069" s="8" t="inlineStr">
        <is>
          <t>20/04/2026</t>
        </is>
      </c>
      <c r="C1069" s="8" t="inlineStr">
        <is>
          <t>107334</t>
        </is>
      </c>
      <c r="D1069" s="8" t="inlineStr">
        <is>
          <t>GRAVAMEN LEY 25413 S/CRED</t>
        </is>
      </c>
      <c r="E1069" s="9" t="n">
        <v>550.8200000000001</v>
      </c>
      <c r="F1069" s="8" t="inlineStr">
        <is>
          <t>Pendiente visible en hojas Banco no Flexxus</t>
        </is>
      </c>
      <c r="G1069" s="8" t="inlineStr"/>
    </row>
    <row r="1070">
      <c r="A1070" s="8" t="inlineStr">
        <is>
          <t>Banco</t>
        </is>
      </c>
      <c r="B1070" s="8" t="inlineStr">
        <is>
          <t>20/04/2026</t>
        </is>
      </c>
      <c r="C1070" s="8" t="inlineStr">
        <is>
          <t>107333</t>
        </is>
      </c>
      <c r="D1070" s="8" t="inlineStr">
        <is>
          <t>INGRESOS BRUTOS MENDOZA</t>
        </is>
      </c>
      <c r="E1070" s="9" t="n">
        <v>346.61</v>
      </c>
      <c r="F1070" s="8" t="inlineStr">
        <is>
          <t>Pendiente visible en hojas Banco no Flexxus</t>
        </is>
      </c>
      <c r="G1070" s="8" t="inlineStr"/>
    </row>
    <row r="1071">
      <c r="A1071" s="8" t="inlineStr">
        <is>
          <t>Banco</t>
        </is>
      </c>
      <c r="B1071" s="8" t="inlineStr">
        <is>
          <t>20/04/2026</t>
        </is>
      </c>
      <c r="C1071" s="8" t="inlineStr">
        <is>
          <t>107333</t>
        </is>
      </c>
      <c r="D1071" s="8" t="inlineStr">
        <is>
          <t>GRAVAMEN LEY 25413 S/CRED</t>
        </is>
      </c>
      <c r="E1071" s="9" t="n">
        <v>207.97</v>
      </c>
      <c r="F1071" s="8" t="inlineStr">
        <is>
          <t>Pendiente visible en hojas Banco no Flexxus</t>
        </is>
      </c>
      <c r="G1071" s="8" t="inlineStr"/>
    </row>
    <row r="1072">
      <c r="A1072" s="8" t="inlineStr">
        <is>
          <t>Banco</t>
        </is>
      </c>
      <c r="B1072" s="8" t="inlineStr">
        <is>
          <t>20/04/2026</t>
        </is>
      </c>
      <c r="C1072" s="8" t="inlineStr">
        <is>
          <t>107332</t>
        </is>
      </c>
      <c r="D1072" s="8" t="inlineStr">
        <is>
          <t>INGRESOS BRUTOS MENDOZA</t>
        </is>
      </c>
      <c r="E1072" s="9" t="n">
        <v>732.84</v>
      </c>
      <c r="F1072" s="8" t="inlineStr">
        <is>
          <t>Pendiente visible en hojas Banco no Flexxus</t>
        </is>
      </c>
      <c r="G1072" s="8" t="inlineStr"/>
    </row>
    <row r="1073">
      <c r="A1073" s="8" t="inlineStr">
        <is>
          <t>Banco</t>
        </is>
      </c>
      <c r="B1073" s="8" t="inlineStr">
        <is>
          <t>20/04/2026</t>
        </is>
      </c>
      <c r="C1073" s="8" t="inlineStr">
        <is>
          <t>107332</t>
        </is>
      </c>
      <c r="D1073" s="8" t="inlineStr">
        <is>
          <t>GRAVAMEN LEY 25413 S/CRED</t>
        </is>
      </c>
      <c r="E1073" s="9" t="n">
        <v>439.7</v>
      </c>
      <c r="F1073" s="8" t="inlineStr">
        <is>
          <t>Pendiente visible en hojas Banco no Flexxus</t>
        </is>
      </c>
      <c r="G1073" s="8" t="inlineStr"/>
    </row>
    <row r="1074">
      <c r="A1074" s="8" t="inlineStr">
        <is>
          <t>Banco</t>
        </is>
      </c>
      <c r="B1074" s="8" t="inlineStr">
        <is>
          <t>20/04/2026</t>
        </is>
      </c>
      <c r="C1074" s="8" t="inlineStr">
        <is>
          <t>107331</t>
        </is>
      </c>
      <c r="D1074" s="8" t="inlineStr">
        <is>
          <t>INGRESOS BRUTOS MENDOZA</t>
        </is>
      </c>
      <c r="E1074" s="9" t="n">
        <v>583.3</v>
      </c>
      <c r="F1074" s="8" t="inlineStr">
        <is>
          <t>Pendiente visible en hojas Banco no Flexxus</t>
        </is>
      </c>
      <c r="G1074" s="8" t="inlineStr"/>
    </row>
    <row r="1075">
      <c r="A1075" s="8" t="inlineStr">
        <is>
          <t>Banco</t>
        </is>
      </c>
      <c r="B1075" s="8" t="inlineStr">
        <is>
          <t>20/04/2026</t>
        </is>
      </c>
      <c r="C1075" s="8" t="inlineStr">
        <is>
          <t>107331</t>
        </is>
      </c>
      <c r="D1075" s="8" t="inlineStr">
        <is>
          <t>GRAVAMEN LEY 25413 S/CRED</t>
        </is>
      </c>
      <c r="E1075" s="9" t="n">
        <v>349.98</v>
      </c>
      <c r="F1075" s="8" t="inlineStr">
        <is>
          <t>Pendiente visible en hojas Banco no Flexxus</t>
        </is>
      </c>
      <c r="G1075" s="8" t="inlineStr"/>
    </row>
    <row r="1076">
      <c r="A1076" s="8" t="inlineStr">
        <is>
          <t>Banco</t>
        </is>
      </c>
      <c r="B1076" s="8" t="inlineStr">
        <is>
          <t>20/04/2026</t>
        </is>
      </c>
      <c r="C1076" s="8" t="inlineStr">
        <is>
          <t>107330</t>
        </is>
      </c>
      <c r="D1076" s="8" t="inlineStr">
        <is>
          <t>INGRESOS BRUTOS MENDOZA</t>
        </is>
      </c>
      <c r="E1076" s="9" t="n">
        <v>665.99</v>
      </c>
      <c r="F1076" s="8" t="inlineStr">
        <is>
          <t>Pendiente visible en hojas Banco no Flexxus</t>
        </is>
      </c>
      <c r="G1076" s="8" t="inlineStr"/>
    </row>
    <row r="1077">
      <c r="A1077" s="8" t="inlineStr">
        <is>
          <t>Banco</t>
        </is>
      </c>
      <c r="B1077" s="8" t="inlineStr">
        <is>
          <t>20/04/2026</t>
        </is>
      </c>
      <c r="C1077" s="8" t="inlineStr">
        <is>
          <t>107330</t>
        </is>
      </c>
      <c r="D1077" s="8" t="inlineStr">
        <is>
          <t>GRAVAMEN LEY 25413 S/CRED</t>
        </is>
      </c>
      <c r="E1077" s="9" t="n">
        <v>399.59</v>
      </c>
      <c r="F1077" s="8" t="inlineStr">
        <is>
          <t>Pendiente visible en hojas Banco no Flexxus</t>
        </is>
      </c>
      <c r="G1077" s="8" t="inlineStr"/>
    </row>
    <row r="1078">
      <c r="A1078" s="8" t="inlineStr">
        <is>
          <t>Banco</t>
        </is>
      </c>
      <c r="B1078" s="8" t="inlineStr">
        <is>
          <t>20/04/2026</t>
        </is>
      </c>
      <c r="C1078" s="8" t="inlineStr">
        <is>
          <t>107506</t>
        </is>
      </c>
      <c r="D1078" s="8" t="inlineStr">
        <is>
          <t>I.V.A. BASE</t>
        </is>
      </c>
      <c r="E1078" s="9" t="n">
        <v>200.76</v>
      </c>
      <c r="F1078" s="8" t="inlineStr">
        <is>
          <t>Pendiente visible en hojas Banco no Flexxus</t>
        </is>
      </c>
      <c r="G1078" s="8" t="inlineStr"/>
    </row>
    <row r="1079">
      <c r="A1079" s="8" t="inlineStr">
        <is>
          <t>Banco</t>
        </is>
      </c>
      <c r="B1079" s="8" t="inlineStr">
        <is>
          <t>20/04/2026</t>
        </is>
      </c>
      <c r="C1079" s="8" t="inlineStr">
        <is>
          <t>107505</t>
        </is>
      </c>
      <c r="D1079" s="8" t="inlineStr">
        <is>
          <t>COM TRANSFE ELECTRONICA</t>
        </is>
      </c>
      <c r="E1079" s="9" t="n">
        <v>956</v>
      </c>
      <c r="F1079" s="8" t="inlineStr">
        <is>
          <t>Pendiente visible en hojas Banco no Flexxus</t>
        </is>
      </c>
      <c r="G1079" s="8" t="inlineStr"/>
    </row>
    <row r="1080">
      <c r="A1080" s="8" t="inlineStr">
        <is>
          <t>Banco</t>
        </is>
      </c>
      <c r="B1080" s="8" t="inlineStr">
        <is>
          <t>20/04/2026</t>
        </is>
      </c>
      <c r="C1080" s="8" t="inlineStr">
        <is>
          <t>31995644</t>
        </is>
      </c>
      <c r="D1080" s="8" t="inlineStr">
        <is>
          <t>DEB LIQ MASTERCARD 24H</t>
        </is>
      </c>
      <c r="E1080" s="9" t="n">
        <v>170.04</v>
      </c>
      <c r="F1080" s="8" t="inlineStr">
        <is>
          <t>Pendiente visible en hojas Banco no Flexxus</t>
        </is>
      </c>
      <c r="G1080" s="8" t="inlineStr"/>
    </row>
    <row r="1081">
      <c r="A1081" s="8" t="inlineStr">
        <is>
          <t>Banco</t>
        </is>
      </c>
      <c r="B1081" s="8" t="inlineStr">
        <is>
          <t>20/04/2026</t>
        </is>
      </c>
      <c r="C1081" s="8" t="inlineStr">
        <is>
          <t>29841705</t>
        </is>
      </c>
      <c r="D1081" s="8" t="inlineStr">
        <is>
          <t>DEB LIQ MASTERCARD 24H</t>
        </is>
      </c>
      <c r="E1081" s="9" t="n">
        <v>25.27</v>
      </c>
      <c r="F1081" s="8" t="inlineStr">
        <is>
          <t>Pendiente visible en hojas Banco no Flexxus</t>
        </is>
      </c>
      <c r="G1081" s="8" t="inlineStr"/>
    </row>
  </sheetData>
  <autoFilter ref="A1:G108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V5.8</t>
        </is>
      </c>
      <c r="B9" s="2" t="inlineStr">
        <is>
          <t>Versión final: separa saldo Flexxus real, saldo Flexxus ajustado para conciliación y total importado .xls; mantiene fórmulas reales y control de cobertura.</t>
        </is>
      </c>
    </row>
    <row r="10">
      <c r="A10" s="3" t="inlineStr">
        <is>
          <t>V5.6</t>
        </is>
      </c>
      <c r="B10" s="2" t="inlineStr">
        <is>
          <t>Separa pendientes reales abiertos de movimientos ya procesados/históricos en la pantalla principal y en el conteo del historial.</t>
        </is>
      </c>
    </row>
    <row r="11">
      <c r="A11" s="3" t="inlineStr">
        <is>
          <t>V5.5</t>
        </is>
      </c>
      <c r="B11" s="2" t="inlineStr">
        <is>
          <t>Corrige identificación de local/liquidación en Banco ingresos no Flexxus: usa TRX exacto, QR PCT y fallback por comprobante banco=código de comercio.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2026-04-30T20:11:44Z</dcterms:created>
  <dcterms:modified xsi:type="dcterms:W3CDTF">2026-04-30T20:11:50Z</dcterms:modified>
</cp:coreProperties>
</file>