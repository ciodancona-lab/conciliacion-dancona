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Banco'!$A$1:$L$4</definedName>
    <definedName name="_xlnm._FilterDatabase" localSheetId="3" hidden="1">'Banco ingresos no Flexxus'!$A$1:$R$50</definedName>
    <definedName name="_xlnm._FilterDatabase" localSheetId="4" hidden="1">'Banco egresos no Flexxus'!$A$1:$K$662</definedName>
    <definedName name="_xlnm._FilterDatabase" localSheetId="6" hidden="1">'Carga Flexxus'!$A$1:$I$53</definedName>
    <definedName name="_xlnm._FilterDatabase" localSheetId="7" hidden="1">'Auditoría QR PCT'!$A$1:$S$24</definedName>
    <definedName name="_xlnm._FilterDatabase" localSheetId="8" hidden="1">'Auditoría TRX Merchant'!$A$1:$H$30</definedName>
    <definedName name="_xlnm._FilterDatabase" localSheetId="9" hidden="1">'Resumen atraso por local'!$A$1:$I$724</definedName>
    <definedName name="_xlnm._FilterDatabase" localSheetId="10" hidden="1">'Control cobertura'!$A$1:$G$109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29/04/2026 (período 29/04/2026 al 29/04/2026; banco con movimientos hasta 29/04/2026)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29/04/2026</t>
        </is>
      </c>
      <c r="B6" s="4" t="n">
        <v>26540573.98</v>
      </c>
    </row>
    <row r="7">
      <c r="A7" s="2" t="inlineStr">
        <is>
          <t>Saldo S/FLEXXUS al 29/04/2026</t>
        </is>
      </c>
      <c r="B7" s="4" t="n">
        <v>26471213.17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29/04/2026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29/04/2026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3" t="inlineStr">
        <is>
          <t>Más: EGRESOS registrados en FLEXXUS que NO están en el Banco</t>
        </is>
      </c>
      <c r="E39" s="4">
        <f>B11</f>
        <v/>
      </c>
    </row>
    <row r="40">
      <c r="A40" s="3" t="inlineStr">
        <is>
          <t>Más: INGRESOS en el Banco pero NO registrados en FLEXXUS</t>
        </is>
      </c>
      <c r="E40" s="4">
        <f>B12</f>
        <v/>
      </c>
    </row>
    <row r="41">
      <c r="A41" s="8" t="inlineStr">
        <is>
          <t>Banco ingreso no Flexxus</t>
        </is>
      </c>
      <c r="B41" s="8" t="inlineStr"/>
      <c r="C41" s="8" t="inlineStr">
        <is>
          <t>Ajuste menor redondeo/extracto</t>
        </is>
      </c>
      <c r="D41" s="8" t="n">
        <v>1</v>
      </c>
      <c r="E41" s="9" t="n">
        <v>3.43</v>
      </c>
      <c r="F41" s="8" t="inlineStr">
        <is>
          <t>Detalle en hoja Banco ingresos no Flexxus</t>
        </is>
      </c>
    </row>
    <row r="42">
      <c r="A42" s="8" t="inlineStr">
        <is>
          <t>Banco ingreso no Flexxus</t>
        </is>
      </c>
      <c r="B42" s="8" t="inlineStr"/>
      <c r="C42" s="8" t="inlineStr">
        <is>
          <t>Ajuste menor redondeo/extracto</t>
        </is>
      </c>
      <c r="D42" s="8" t="n">
        <v>3</v>
      </c>
      <c r="E42" s="9" t="n">
        <v>5.4</v>
      </c>
      <c r="F42" s="8" t="inlineStr">
        <is>
          <t>Detalle en hoja Banco ingresos no Flexxus</t>
        </is>
      </c>
    </row>
    <row r="43">
      <c r="A43" s="8" t="inlineStr">
        <is>
          <t>Banco ingreso no Flexxus</t>
        </is>
      </c>
      <c r="B43" s="8" t="inlineStr"/>
      <c r="C43" s="8" t="inlineStr">
        <is>
          <t>Liquidación tarjeta</t>
        </is>
      </c>
      <c r="D43" s="8" t="n">
        <v>3</v>
      </c>
      <c r="E43" s="9" t="n">
        <v>187298.86</v>
      </c>
      <c r="F43" s="8" t="inlineStr">
        <is>
          <t>Detalle en hoja Banco ingresos no Flexxus</t>
        </is>
      </c>
    </row>
    <row r="44">
      <c r="A44" s="8" t="inlineStr">
        <is>
          <t>Banco ingreso no Flexxus</t>
        </is>
      </c>
      <c r="B44" s="8" t="inlineStr"/>
      <c r="C44" s="8" t="inlineStr">
        <is>
          <t>Liquidación tarjeta</t>
        </is>
      </c>
      <c r="D44" s="8" t="n">
        <v>9</v>
      </c>
      <c r="E44" s="9" t="n">
        <v>1468048.48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QR / CR DEBIN SPOT</t>
        </is>
      </c>
      <c r="D45" s="8" t="n">
        <v>2</v>
      </c>
      <c r="E45" s="9" t="n">
        <v>38622.48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QR / CR DEBIN SPOT</t>
        </is>
      </c>
      <c r="D46" s="8" t="n">
        <v>29</v>
      </c>
      <c r="E46" s="9" t="n">
        <v>607264.2399999999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Transferencia entrante</t>
        </is>
      </c>
      <c r="D47" s="8" t="n">
        <v>1</v>
      </c>
      <c r="E47" s="9" t="n">
        <v>33180.87</v>
      </c>
      <c r="F47" s="8" t="inlineStr">
        <is>
          <t>Detalle en hoja Banco ingresos no Flexxus</t>
        </is>
      </c>
    </row>
    <row r="48">
      <c r="A48" s="3" t="inlineStr">
        <is>
          <t>Menos: EGRESOS en el Banco pero NO registrados en FLEXXUS</t>
        </is>
      </c>
      <c r="E48" s="4">
        <f>B13</f>
        <v/>
      </c>
    </row>
    <row r="49">
      <c r="A49" s="8" t="inlineStr">
        <is>
          <t>Banco egreso no Flexxus</t>
        </is>
      </c>
      <c r="B49" s="8" t="inlineStr"/>
      <c r="C49" s="8" t="inlineStr">
        <is>
          <t>Débito liquidación tarjeta</t>
        </is>
      </c>
      <c r="D49" s="8" t="n">
        <v>6</v>
      </c>
      <c r="E49" s="9" t="n">
        <v>1173.74</v>
      </c>
      <c r="F49" s="8" t="inlineStr">
        <is>
          <t>Copiar en Flexxus: Tipo=MB-EXT | Movimiento=DEB LIQ MASTERCARD 24H | Monto=1.173,74</t>
        </is>
      </c>
    </row>
    <row r="50">
      <c r="A50" s="8" t="inlineStr">
        <is>
          <t>Banco egreso no Flexxus</t>
        </is>
      </c>
      <c r="B50" s="8" t="inlineStr"/>
      <c r="C50" s="8" t="inlineStr">
        <is>
          <t>Débito pago directo</t>
        </is>
      </c>
      <c r="D50" s="8" t="n">
        <v>1</v>
      </c>
      <c r="E50" s="9" t="n">
        <v>1734593.38</v>
      </c>
      <c r="F50" s="8" t="inlineStr">
        <is>
          <t>Copiar en Flexxus: Tipo=MB-EXT | Movimiento=DEBITO PAGO DIRECTO | Monto=1.734.593,38</t>
        </is>
      </c>
    </row>
    <row r="51">
      <c r="A51" s="8" t="inlineStr">
        <is>
          <t>Banco egreso no Flexxus</t>
        </is>
      </c>
      <c r="B51" s="8" t="inlineStr"/>
      <c r="C51" s="8" t="inlineStr">
        <is>
          <t>Gasto bancario / comisión</t>
        </is>
      </c>
      <c r="D51" s="8" t="n">
        <v>1</v>
      </c>
      <c r="E51" s="9" t="n">
        <v>956</v>
      </c>
      <c r="F51" s="8" t="inlineStr">
        <is>
          <t>Copiar en Flexxus: Tipo=MB-EXT | Movimiento=COM TRANSFE ELECTRONICA | Monto=956,00</t>
        </is>
      </c>
    </row>
    <row r="52">
      <c r="A52" s="8" t="inlineStr">
        <is>
          <t>Banco egreso no Flexxus</t>
        </is>
      </c>
      <c r="B52" s="8" t="inlineStr"/>
      <c r="C52" s="8" t="inlineStr">
        <is>
          <t>Anticipo Ganancias Ley 25.413 créditos</t>
        </is>
      </c>
      <c r="D52" s="8" t="n">
        <v>214</v>
      </c>
      <c r="E52" s="9" t="n">
        <v>142748.2</v>
      </c>
      <c r="F52" s="8" t="inlineStr">
        <is>
          <t>Copiar en Flexxus: Tipo=MB-EXT | Movimiento=GRAVAMEN LEY 25.413 S/CRED | Monto=142.748,20</t>
        </is>
      </c>
    </row>
    <row r="53">
      <c r="A53" s="8" t="inlineStr">
        <is>
          <t>Banco egreso no Flexxus</t>
        </is>
      </c>
      <c r="B53" s="8" t="inlineStr"/>
      <c r="C53" s="8" t="inlineStr">
        <is>
          <t>Anticipo Ganancias Ley 25.413 débitos</t>
        </is>
      </c>
      <c r="D53" s="8" t="n">
        <v>220</v>
      </c>
      <c r="E53" s="9" t="n">
        <v>40124.95</v>
      </c>
      <c r="F53" s="8" t="inlineStr">
        <is>
          <t>Copiar en Flexxus: Tipo=MB-EXT | Movimiento=GRAVAMEN LEY 25.413 S/DEB | Monto=40.124,95</t>
        </is>
      </c>
    </row>
    <row r="54">
      <c r="A54" s="8" t="inlineStr">
        <is>
          <t>Banco egreso no Flexxus</t>
        </is>
      </c>
      <c r="B54" s="8" t="inlineStr"/>
      <c r="C54" s="8" t="inlineStr">
        <is>
          <t>IVA base / IVA sobre gastos</t>
        </is>
      </c>
      <c r="D54" s="8" t="n">
        <v>1</v>
      </c>
      <c r="E54" s="9" t="n">
        <v>200.76</v>
      </c>
      <c r="F54" s="8" t="inlineStr">
        <is>
          <t>Copiar en Flexxus: Tipo=MB-EXT | Movimiento=I.V.A. BASE | Monto=200,76</t>
        </is>
      </c>
    </row>
    <row r="55">
      <c r="A55" s="8" t="inlineStr">
        <is>
          <t>Banco egreso no Flexxus</t>
        </is>
      </c>
      <c r="B55" s="8" t="inlineStr"/>
      <c r="C55" s="8" t="inlineStr">
        <is>
          <t>Otro</t>
        </is>
      </c>
      <c r="D55" s="8" t="n">
        <v>3</v>
      </c>
      <c r="E55" s="9" t="n">
        <v>3.85</v>
      </c>
      <c r="F55" s="8" t="inlineStr">
        <is>
          <t>Revisar según concepto antes de cargar</t>
        </is>
      </c>
    </row>
    <row r="56">
      <c r="A56" s="8" t="inlineStr">
        <is>
          <t>Banco egreso no Flexxus</t>
        </is>
      </c>
      <c r="B56" s="8" t="inlineStr"/>
      <c r="C56" s="8" t="inlineStr">
        <is>
          <t>Retención Ingresos Brutos Mendoza</t>
        </is>
      </c>
      <c r="D56" s="8" t="n">
        <v>214</v>
      </c>
      <c r="E56" s="9" t="n">
        <v>237913.63</v>
      </c>
      <c r="F56" s="8" t="inlineStr">
        <is>
          <t>Copiar en Flexxus: Tipo=MB-EXT | Movimiento=INGRESOS BRUTOS MENDOZA | Monto=237.913,63</t>
        </is>
      </c>
    </row>
    <row r="57">
      <c r="A57" s="3" t="inlineStr">
        <is>
          <t>Pendientes anteriores</t>
        </is>
      </c>
      <c r="E57" s="4">
        <f>B14</f>
        <v/>
      </c>
    </row>
    <row r="58">
      <c r="A58" s="8" t="inlineStr">
        <is>
          <t>Info</t>
        </is>
      </c>
      <c r="B58" s="8" t="inlineStr"/>
      <c r="C58" s="8" t="inlineStr">
        <is>
          <t>Los pendientes anteriores abiertos están dentro de Flexxus no Banco, Banco ingresos no Flexxus o Banco egresos no Flexxus. No se usa residual.</t>
        </is>
      </c>
      <c r="D58" s="8" t="inlineStr"/>
      <c r="E58" s="9" t="n">
        <v>0</v>
      </c>
      <c r="F58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Monto=1.173,74</t>
        </is>
      </c>
      <c r="D3" s="8" t="n">
        <v>6</v>
      </c>
      <c r="E3" s="9" t="n">
        <v>1173.74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Monto=142.748,20</t>
        </is>
      </c>
      <c r="D6" s="8" t="n">
        <v>214</v>
      </c>
      <c r="E6" s="9" t="n">
        <v>142748.2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Monto=40.124,95</t>
        </is>
      </c>
      <c r="D7" s="8" t="n">
        <v>220</v>
      </c>
      <c r="E7" s="9" t="n">
        <v>40124.95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Diferencia técnica menor de continuidad/extracto bancario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3</v>
      </c>
      <c r="E9" s="9" t="n">
        <v>3.85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Monto=237.913,63</t>
        </is>
      </c>
      <c r="D10" s="8" t="n">
        <v>214</v>
      </c>
      <c r="E10" s="9" t="n">
        <v>237913.63</v>
      </c>
      <c r="F10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1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PEND-261C0F4C8AB8-A001</t>
        </is>
      </c>
      <c r="B3" s="8" t="inlineStr">
        <is>
          <t>ABIERTO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2300013968</t>
        </is>
      </c>
      <c r="F3" s="8" t="inlineStr">
        <is>
          <t>PAGO TARJETA CREDITO</t>
        </is>
      </c>
      <c r="G3" s="9" t="n">
        <v>68461.47</v>
      </c>
      <c r="H3" s="8" t="inlineStr">
        <is>
          <t>—</t>
        </is>
      </c>
      <c r="I3" s="8" t="inlineStr"/>
      <c r="J3" s="8" t="inlineStr">
        <is>
          <t>No encontrado en TRX</t>
        </is>
      </c>
      <c r="K3" s="9" t="inlineStr">
        <is>
          <t>—</t>
        </is>
      </c>
      <c r="L3" s="9" t="inlineStr"/>
    </row>
    <row r="4">
      <c r="A4" s="8" t="inlineStr">
        <is>
          <t>PEND-D3BF838B474C-A001</t>
        </is>
      </c>
      <c r="B4" s="8" t="inlineStr">
        <is>
          <t>ABIERTO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1800042763</t>
        </is>
      </c>
      <c r="F4" s="8" t="inlineStr">
        <is>
          <t>PAGO TARJETA CREDITO</t>
        </is>
      </c>
      <c r="G4" s="9" t="n">
        <v>38886.97</v>
      </c>
      <c r="H4" s="8" t="inlineStr">
        <is>
          <t>Local 2</t>
        </is>
      </c>
      <c r="I4" s="8" t="inlineStr"/>
      <c r="J4" s="8" t="inlineStr">
        <is>
          <t>343206</t>
        </is>
      </c>
      <c r="K4" s="9" t="n">
        <v>38528.1</v>
      </c>
      <c r="L4" s="9" t="n">
        <v>358.87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PEND-FDE72FF0A273-A001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28/04/2026</t>
        </is>
      </c>
      <c r="E3" s="8" t="inlineStr">
        <is>
          <t>29841670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594633.96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5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PEND-3BEDEB9BD3B3-A001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27/04/2026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295259.37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PEND-FB1D50F8F393-A001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28/04/2026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152029.24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PEND-BE8AF683603E-A001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29841670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116078.25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5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PEND-8CD34133ECE3-A001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28/04/2026</t>
        </is>
      </c>
      <c r="E7" s="8" t="inlineStr">
        <is>
          <t>29841670</t>
        </is>
      </c>
      <c r="F7" s="8" t="inlineStr">
        <is>
          <t>CR LIQ MASTER DEB 24H</t>
        </is>
      </c>
      <c r="G7" s="8" t="inlineStr">
        <is>
          <t>Liquidación tarjeta</t>
        </is>
      </c>
      <c r="H7" s="9" t="n">
        <v>114892.77</v>
      </c>
      <c r="I7" s="9" t="inlineStr"/>
      <c r="J7" s="8" t="inlineStr">
        <is>
          <t>Liquidación tarjeta</t>
        </is>
      </c>
      <c r="K7" s="8" t="inlineStr">
        <is>
          <t>Banco ingresos no Flexxus anterior | Banco/comprobante</t>
        </is>
      </c>
      <c r="L7" s="8" t="inlineStr">
        <is>
          <t>Local 5</t>
        </is>
      </c>
      <c r="M7" s="8" t="inlineStr"/>
      <c r="N7" s="8" t="inlineStr">
        <is>
          <t>No encontrado en TRX</t>
        </is>
      </c>
      <c r="O7" s="9" t="inlineStr">
        <is>
          <t>—</t>
        </is>
      </c>
      <c r="P7" s="9" t="inlineStr"/>
      <c r="Q7" s="8" t="inlineStr">
        <is>
          <t>Local identificado por comprobante bancario; falta número de liquidación TRX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PEND-EC2A03B699D8-A001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29841670</t>
        </is>
      </c>
      <c r="F8" s="8" t="inlineStr">
        <is>
          <t>CR LIQ MASTER DEB 24H</t>
        </is>
      </c>
      <c r="G8" s="8" t="inlineStr">
        <is>
          <t>Liquidación tarjeta</t>
        </is>
      </c>
      <c r="H8" s="9" t="n">
        <v>68866.69</v>
      </c>
      <c r="I8" s="9" t="inlineStr"/>
      <c r="J8" s="8" t="inlineStr">
        <is>
          <t>Liquidación tarjeta</t>
        </is>
      </c>
      <c r="K8" s="8" t="inlineStr">
        <is>
          <t>Banco ingresos no Flexxus anterior | Banco/comprobante</t>
        </is>
      </c>
      <c r="L8" s="8" t="inlineStr">
        <is>
          <t>Local 5</t>
        </is>
      </c>
      <c r="M8" s="8" t="inlineStr"/>
      <c r="N8" s="8" t="inlineStr">
        <is>
          <t>No encontrado en TRX</t>
        </is>
      </c>
      <c r="O8" s="9" t="inlineStr">
        <is>
          <t>—</t>
        </is>
      </c>
      <c r="P8" s="9" t="inlineStr"/>
      <c r="Q8" s="8" t="inlineStr">
        <is>
          <t>Local identificado por comprobante bancario; falta número de liquidación TRX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PEND-1A932C795064-A001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28/04/2026</t>
        </is>
      </c>
      <c r="E9" s="8" t="inlineStr">
        <is>
          <t>32032899</t>
        </is>
      </c>
      <c r="F9" s="8" t="inlineStr">
        <is>
          <t>CR LIQ MASTERCARD 24H</t>
        </is>
      </c>
      <c r="G9" s="8" t="inlineStr">
        <is>
          <t>Liquidación tarjeta</t>
        </is>
      </c>
      <c r="H9" s="9" t="n">
        <v>59377.95</v>
      </c>
      <c r="I9" s="9" t="inlineStr"/>
      <c r="J9" s="8" t="inlineStr">
        <is>
          <t>Liquidación tarjeta</t>
        </is>
      </c>
      <c r="K9" s="8" t="inlineStr">
        <is>
          <t>Banco ingresos no Flexxus anterior | Banco/comprobante</t>
        </is>
      </c>
      <c r="L9" s="8" t="inlineStr">
        <is>
          <t>Local 8</t>
        </is>
      </c>
      <c r="M9" s="8" t="inlineStr"/>
      <c r="N9" s="8" t="inlineStr">
        <is>
          <t>No encontrado en TRX</t>
        </is>
      </c>
      <c r="O9" s="9" t="inlineStr">
        <is>
          <t>—</t>
        </is>
      </c>
      <c r="P9" s="9" t="inlineStr"/>
      <c r="Q9" s="8" t="inlineStr">
        <is>
          <t>Local identificado por comprobante bancario; falta número de liquidación TRX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PEND-1DD6B2DA4BE1-A001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108787</t>
        </is>
      </c>
      <c r="F10" s="8" t="inlineStr">
        <is>
          <t>CR DEBIN SPOT - CUIT/CUIL: 30711424179</t>
        </is>
      </c>
      <c r="G10" s="8" t="inlineStr">
        <is>
          <t>QR / CR DEBIN SPOT</t>
        </is>
      </c>
      <c r="H10" s="9" t="n">
        <v>45455.69</v>
      </c>
      <c r="I10" s="9" t="inlineStr"/>
      <c r="J10" s="8" t="inlineStr">
        <is>
          <t>QR / CR DEBIN SPOT</t>
        </is>
      </c>
      <c r="K10" s="8" t="inlineStr">
        <is>
          <t>Banco ingresos no Flexxus anterior</t>
        </is>
      </c>
      <c r="L10" s="8" t="inlineStr">
        <is>
          <t>No identificado</t>
        </is>
      </c>
      <c r="M10" s="8" t="inlineStr">
        <is>
          <t>No encontrado en QR</t>
        </is>
      </c>
      <c r="N10" s="8" t="inlineStr"/>
      <c r="O10" s="9" t="inlineStr">
        <is>
          <t>—</t>
        </is>
      </c>
      <c r="P10" s="9" t="inlineStr"/>
      <c r="Q10" s="8" t="inlineStr">
        <is>
          <t>QR bancario sin match QR PCT/local</t>
        </is>
      </c>
      <c r="R10" s="8" t="inlineStr">
        <is>
          <t>URGENTE: identificar local/origen antes de cerrar rutina administrativa</t>
        </is>
      </c>
    </row>
    <row r="11">
      <c r="A11" s="8" t="inlineStr">
        <is>
          <t>PEND-3BB39ECCB015-A001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108761</t>
        </is>
      </c>
      <c r="F11" s="8" t="inlineStr">
        <is>
          <t>CR DEBIN SPOT - CUIT/CUIL: 30711424179</t>
        </is>
      </c>
      <c r="G11" s="8" t="inlineStr">
        <is>
          <t>QR / CR DEBIN SPOT</t>
        </is>
      </c>
      <c r="H11" s="9" t="n">
        <v>40107.96</v>
      </c>
      <c r="I11" s="9" t="inlineStr"/>
      <c r="J11" s="8" t="inlineStr">
        <is>
          <t>QR / CR DEBIN SPOT</t>
        </is>
      </c>
      <c r="K11" s="8" t="inlineStr">
        <is>
          <t>Banco ingresos no Flexxus anterior</t>
        </is>
      </c>
      <c r="L11" s="8" t="inlineStr">
        <is>
          <t>No identificado</t>
        </is>
      </c>
      <c r="M11" s="8" t="inlineStr">
        <is>
          <t>No encontrado en QR</t>
        </is>
      </c>
      <c r="N11" s="8" t="inlineStr"/>
      <c r="O11" s="9" t="inlineStr">
        <is>
          <t>—</t>
        </is>
      </c>
      <c r="P11" s="9" t="inlineStr"/>
      <c r="Q11" s="8" t="inlineStr">
        <is>
          <t>QR bancario sin match QR PCT/local</t>
        </is>
      </c>
      <c r="R11" s="8" t="inlineStr">
        <is>
          <t>URGENTE: identificar local/origen antes de cerrar rutina administrativa</t>
        </is>
      </c>
    </row>
    <row r="12">
      <c r="A12" s="8" t="inlineStr">
        <is>
          <t>PEND-358815720359-A001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29841670</t>
        </is>
      </c>
      <c r="F12" s="8" t="inlineStr">
        <is>
          <t>CR LIQ MASTER DEB 24H</t>
        </is>
      </c>
      <c r="G12" s="8" t="inlineStr">
        <is>
          <t>Liquidación tarjeta</t>
        </is>
      </c>
      <c r="H12" s="9" t="n">
        <v>39715.73</v>
      </c>
      <c r="I12" s="9" t="inlineStr"/>
      <c r="J12" s="8" t="inlineStr">
        <is>
          <t>Liquidación tarjeta</t>
        </is>
      </c>
      <c r="K12" s="8" t="inlineStr">
        <is>
          <t>Banco ingresos no Flexxus anterior | Banco/comprobante</t>
        </is>
      </c>
      <c r="L12" s="8" t="inlineStr">
        <is>
          <t>Local 5</t>
        </is>
      </c>
      <c r="M12" s="8" t="inlineStr"/>
      <c r="N12" s="8" t="inlineStr">
        <is>
          <t>No encontrado en TRX</t>
        </is>
      </c>
      <c r="O12" s="9" t="inlineStr">
        <is>
          <t>—</t>
        </is>
      </c>
      <c r="P12" s="9" t="inlineStr"/>
      <c r="Q12" s="8" t="inlineStr">
        <is>
          <t>Local identificado por comprobante bancario; falta número de liquidación TRX</t>
        </is>
      </c>
      <c r="R12" s="8" t="inlineStr">
        <is>
          <t>Cargar/regularizar en Flexxus como PAV o identificar cliente/local</t>
        </is>
      </c>
    </row>
    <row r="13">
      <c r="A13" s="8" t="inlineStr">
        <is>
          <t>PEND-52E650A0FDAB-A001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108802</t>
        </is>
      </c>
      <c r="F13" s="8" t="inlineStr">
        <is>
          <t>CR DEBIN SPOT - CUIT/CUIL: 30711424179</t>
        </is>
      </c>
      <c r="G13" s="8" t="inlineStr">
        <is>
          <t>QR / CR DEBIN SPOT</t>
        </is>
      </c>
      <c r="H13" s="9" t="n">
        <v>38127.32</v>
      </c>
      <c r="I13" s="9" t="inlineStr"/>
      <c r="J13" s="8" t="inlineStr">
        <is>
          <t>QR / CR DEBIN SPOT</t>
        </is>
      </c>
      <c r="K13" s="8" t="inlineStr">
        <is>
          <t>Banco ingresos no Flexxus anterior</t>
        </is>
      </c>
      <c r="L13" s="8" t="inlineStr">
        <is>
          <t>No identificado</t>
        </is>
      </c>
      <c r="M13" s="8" t="inlineStr">
        <is>
          <t>No encontrado en QR</t>
        </is>
      </c>
      <c r="N13" s="8" t="inlineStr"/>
      <c r="O13" s="9" t="inlineStr">
        <is>
          <t>—</t>
        </is>
      </c>
      <c r="P13" s="9" t="inlineStr"/>
      <c r="Q13" s="8" t="inlineStr">
        <is>
          <t>QR bancario sin match QR PCT/local</t>
        </is>
      </c>
      <c r="R13" s="8" t="inlineStr">
        <is>
          <t>URGENTE: identificar local/origen antes de cerrar rutina administrativa</t>
        </is>
      </c>
    </row>
    <row r="14">
      <c r="A14" s="8" t="inlineStr">
        <is>
          <t>PEND-7B10D3D79E58-A001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108824</t>
        </is>
      </c>
      <c r="F14" s="8" t="inlineStr">
        <is>
          <t>CR DEBIN SPOT - CUIT/CUIL: 30711424179</t>
        </is>
      </c>
      <c r="G14" s="8" t="inlineStr">
        <is>
          <t>QR / CR DEBIN SPOT</t>
        </is>
      </c>
      <c r="H14" s="9" t="n">
        <v>34166.04</v>
      </c>
      <c r="I14" s="9" t="inlineStr"/>
      <c r="J14" s="8" t="inlineStr">
        <is>
          <t>QR / CR DEBIN SPOT</t>
        </is>
      </c>
      <c r="K14" s="8" t="inlineStr">
        <is>
          <t>Banco ingresos no Flexxus anterior</t>
        </is>
      </c>
      <c r="L14" s="8" t="inlineStr">
        <is>
          <t>No identificado</t>
        </is>
      </c>
      <c r="M14" s="8" t="inlineStr">
        <is>
          <t>No encontrado en QR</t>
        </is>
      </c>
      <c r="N14" s="8" t="inlineStr"/>
      <c r="O14" s="9" t="inlineStr">
        <is>
          <t>—</t>
        </is>
      </c>
      <c r="P14" s="9" t="inlineStr"/>
      <c r="Q14" s="8" t="inlineStr">
        <is>
          <t>QR bancario sin match QR PCT/local</t>
        </is>
      </c>
      <c r="R14" s="8" t="inlineStr">
        <is>
          <t>URGENTE: identificar local/origen antes de cerrar rutina administrativa</t>
        </is>
      </c>
    </row>
    <row r="15">
      <c r="A15" s="8" t="inlineStr">
        <is>
          <t>PEND-C25BE5AB5BF3-A001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108791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34166.04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PEND-625F67D41C37-A001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24/04/2026</t>
        </is>
      </c>
      <c r="E16" s="8" t="inlineStr">
        <is>
          <t>3027923</t>
        </is>
      </c>
      <c r="F16" s="8" t="inlineStr">
        <is>
          <t>C BE TR O/BCO-DIS TIT IBK - CUIT/CUIL: 30685376349</t>
        </is>
      </c>
      <c r="G16" s="8" t="inlineStr">
        <is>
          <t>Transferencia entrante</t>
        </is>
      </c>
      <c r="H16" s="9" t="n">
        <v>33180.87</v>
      </c>
      <c r="I16" s="9" t="inlineStr"/>
      <c r="J16" s="8" t="inlineStr">
        <is>
          <t>Transferencia entrante</t>
        </is>
      </c>
      <c r="K16" s="8" t="inlineStr">
        <is>
          <t>Banco ingresos no Flexxus anterior</t>
        </is>
      </c>
      <c r="L16" s="8" t="inlineStr">
        <is>
          <t>No identificado</t>
        </is>
      </c>
      <c r="M16" s="8" t="inlineStr"/>
      <c r="N16" s="8" t="inlineStr"/>
      <c r="O16" s="9" t="inlineStr">
        <is>
          <t>—</t>
        </is>
      </c>
      <c r="P16" s="9" t="inlineStr"/>
      <c r="Q16" s="8" t="inlineStr">
        <is>
          <t>Origen/local no identificado</t>
        </is>
      </c>
      <c r="R16" s="8" t="inlineStr">
        <is>
          <t>URGENTE: identificar local/origen antes de cerrar rutina administrativa</t>
        </is>
      </c>
    </row>
    <row r="17">
      <c r="A17" s="8" t="inlineStr">
        <is>
          <t>PEND-F8BE68526AA4-A001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108778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33175.72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PEND-6B651FED6B88-A001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108829</t>
        </is>
      </c>
      <c r="F18" s="8" t="inlineStr">
        <is>
          <t>CR DEBIN SPOT - CUIT/CUIL: 30711424179</t>
        </is>
      </c>
      <c r="G18" s="8" t="inlineStr">
        <is>
          <t>QR / CR DEBIN SPOT</t>
        </is>
      </c>
      <c r="H18" s="9" t="n">
        <v>27629.93</v>
      </c>
      <c r="I18" s="9" t="inlineStr"/>
      <c r="J18" s="8" t="inlineStr">
        <is>
          <t>QR / CR DEBIN SPOT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>
        <is>
          <t>No encontrado en QR</t>
        </is>
      </c>
      <c r="N18" s="8" t="inlineStr"/>
      <c r="O18" s="9" t="inlineStr">
        <is>
          <t>—</t>
        </is>
      </c>
      <c r="P18" s="9" t="inlineStr"/>
      <c r="Q18" s="8" t="inlineStr">
        <is>
          <t>QR bancario sin match QR PCT/local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PEND-7B4CB30A3B60-A001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28/04/2026</t>
        </is>
      </c>
      <c r="E19" s="8" t="inlineStr">
        <is>
          <t>29841670</t>
        </is>
      </c>
      <c r="F19" s="8" t="inlineStr">
        <is>
          <t>CR LIQ MASTER DEB 24H</t>
        </is>
      </c>
      <c r="G19" s="8" t="inlineStr">
        <is>
          <t>Liquidación tarjeta</t>
        </is>
      </c>
      <c r="H19" s="9" t="n">
        <v>27194.52</v>
      </c>
      <c r="I19" s="9" t="inlineStr"/>
      <c r="J19" s="8" t="inlineStr">
        <is>
          <t>Liquidación tarjeta</t>
        </is>
      </c>
      <c r="K19" s="8" t="inlineStr">
        <is>
          <t>Banco ingresos no Flexxus anterior | Banco/comprobante</t>
        </is>
      </c>
      <c r="L19" s="8" t="inlineStr">
        <is>
          <t>Local 5</t>
        </is>
      </c>
      <c r="M19" s="8" t="inlineStr"/>
      <c r="N19" s="8" t="inlineStr">
        <is>
          <t>No encontrado en TRX</t>
        </is>
      </c>
      <c r="O19" s="9" t="inlineStr">
        <is>
          <t>—</t>
        </is>
      </c>
      <c r="P19" s="9" t="inlineStr"/>
      <c r="Q19" s="8" t="inlineStr">
        <is>
          <t>Local identificado por comprobante bancario; falta número de liquidación TRX</t>
        </is>
      </c>
      <c r="R19" s="8" t="inlineStr">
        <is>
          <t>Cargar/regularizar en Flexxus como PAV o identificar cliente/local</t>
        </is>
      </c>
    </row>
    <row r="20">
      <c r="A20" s="8" t="inlineStr">
        <is>
          <t>PEND-78F87BDE9F9C-A001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27/04/2026</t>
        </is>
      </c>
      <c r="E20" s="8" t="inlineStr">
        <is>
          <t>108835</t>
        </is>
      </c>
      <c r="F20" s="8" t="inlineStr">
        <is>
          <t>CR DEBIN SPOT - CUIT/CUIL: 30711424179</t>
        </is>
      </c>
      <c r="G20" s="8" t="inlineStr">
        <is>
          <t>QR / CR DEBIN SPOT</t>
        </is>
      </c>
      <c r="H20" s="9" t="n">
        <v>26738.64</v>
      </c>
      <c r="I20" s="9" t="inlineStr"/>
      <c r="J20" s="8" t="inlineStr">
        <is>
          <t>QR / CR DEBIN SPOT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>
        <is>
          <t>No encontrado en QR</t>
        </is>
      </c>
      <c r="N20" s="8" t="inlineStr"/>
      <c r="O20" s="9" t="inlineStr">
        <is>
          <t>—</t>
        </is>
      </c>
      <c r="P20" s="9" t="inlineStr"/>
      <c r="Q20" s="8" t="inlineStr">
        <is>
          <t>QR bancario sin match QR PCT/local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PEND-317B6B3F6010-A001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108813</t>
        </is>
      </c>
      <c r="F21" s="8" t="inlineStr">
        <is>
          <t>CR DEBIN SPOT - CUIT/CUIL: 30711424179</t>
        </is>
      </c>
      <c r="G21" s="8" t="inlineStr">
        <is>
          <t>QR / CR DEBIN SPOT</t>
        </is>
      </c>
      <c r="H21" s="9" t="n">
        <v>26738.64</v>
      </c>
      <c r="I21" s="9" t="inlineStr"/>
      <c r="J21" s="8" t="inlineStr">
        <is>
          <t>QR / CR DEBIN SPOT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>
        <is>
          <t>No encontrado en QR</t>
        </is>
      </c>
      <c r="N21" s="8" t="inlineStr"/>
      <c r="O21" s="9" t="inlineStr">
        <is>
          <t>—</t>
        </is>
      </c>
      <c r="P21" s="9" t="inlineStr"/>
      <c r="Q21" s="8" t="inlineStr">
        <is>
          <t>QR bancario sin match QR PCT/local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PEND-7C0238F8CC18-A001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27/04/2026</t>
        </is>
      </c>
      <c r="E22" s="8" t="inlineStr">
        <is>
          <t>108805</t>
        </is>
      </c>
      <c r="F22" s="8" t="inlineStr">
        <is>
          <t>CR DEBIN SPOT - CUIT/CUIL: 30711424179</t>
        </is>
      </c>
      <c r="G22" s="8" t="inlineStr">
        <is>
          <t>QR / CR DEBIN SPOT</t>
        </is>
      </c>
      <c r="H22" s="9" t="n">
        <v>26738.64</v>
      </c>
      <c r="I22" s="9" t="inlineStr"/>
      <c r="J22" s="8" t="inlineStr">
        <is>
          <t>QR / CR DEBIN SPOT</t>
        </is>
      </c>
      <c r="K22" s="8" t="inlineStr">
        <is>
          <t>Banco ingresos no Flexxus anterior</t>
        </is>
      </c>
      <c r="L22" s="8" t="inlineStr">
        <is>
          <t>No identificado</t>
        </is>
      </c>
      <c r="M22" s="8" t="inlineStr">
        <is>
          <t>No encontrado en QR</t>
        </is>
      </c>
      <c r="N22" s="8" t="inlineStr"/>
      <c r="O22" s="9" t="inlineStr">
        <is>
          <t>—</t>
        </is>
      </c>
      <c r="P22" s="9" t="inlineStr"/>
      <c r="Q22" s="8" t="inlineStr">
        <is>
          <t>QR bancario sin match QR PCT/local</t>
        </is>
      </c>
      <c r="R22" s="8" t="inlineStr">
        <is>
          <t>URGENTE: identificar local/origen antes de cerrar rutina administrativa</t>
        </is>
      </c>
    </row>
    <row r="23">
      <c r="A23" s="8" t="inlineStr">
        <is>
          <t>PEND-826042633707-A001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108765</t>
        </is>
      </c>
      <c r="F23" s="8" t="inlineStr">
        <is>
          <t>CR DEBIN SPOT - CUIT/CUIL: 30711424179</t>
        </is>
      </c>
      <c r="G23" s="8" t="inlineStr">
        <is>
          <t>QR / CR DEBIN SPOT</t>
        </is>
      </c>
      <c r="H23" s="9" t="n">
        <v>26738.64</v>
      </c>
      <c r="I23" s="9" t="inlineStr"/>
      <c r="J23" s="8" t="inlineStr">
        <is>
          <t>QR / CR DEBIN SPOT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PEND-2A6134C7265F-A001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108847</t>
        </is>
      </c>
      <c r="F24" s="8" t="inlineStr">
        <is>
          <t>CR DEBIN SPOT - CUIT/CUIL: 30711424179</t>
        </is>
      </c>
      <c r="G24" s="8" t="inlineStr">
        <is>
          <t>QR / CR DEBIN SPOT</t>
        </is>
      </c>
      <c r="H24" s="9" t="n">
        <v>24758</v>
      </c>
      <c r="I24" s="9" t="inlineStr"/>
      <c r="J24" s="8" t="inlineStr">
        <is>
          <t>QR / CR DEBIN SPOT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>
        <is>
          <t>No encontrado en QR</t>
        </is>
      </c>
      <c r="N24" s="8" t="inlineStr"/>
      <c r="O24" s="9" t="inlineStr">
        <is>
          <t>—</t>
        </is>
      </c>
      <c r="P24" s="9" t="inlineStr"/>
      <c r="Q24" s="8" t="inlineStr">
        <is>
          <t>QR bancario sin match QR PCT/local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PEND-75A2AB09AC93-A001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108823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24758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PEND-97FF360B2147-A001</t>
        </is>
      </c>
      <c r="B26" s="8" t="inlineStr">
        <is>
          <t>ABIERTO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108826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22876.39</v>
      </c>
      <c r="I26" s="9" t="inlineStr"/>
      <c r="J26" s="8" t="inlineStr">
        <is>
          <t>QR / CR DEBIN SPOT</t>
        </is>
      </c>
      <c r="K26" s="8" t="inlineStr">
        <is>
          <t>Banco ingresos no Flexxus anterior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PEND-A4597D2B7403-A001</t>
        </is>
      </c>
      <c r="B27" s="8" t="inlineStr">
        <is>
          <t>ABIERTO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108814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22777.36</v>
      </c>
      <c r="I27" s="9" t="inlineStr"/>
      <c r="J27" s="8" t="inlineStr">
        <is>
          <t>QR / CR DEBIN SPOT</t>
        </is>
      </c>
      <c r="K27" s="8" t="inlineStr">
        <is>
          <t>Banco ingresos no Flexxus anterior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PEND-F4A8F81F67AC-A001</t>
        </is>
      </c>
      <c r="B28" s="8" t="inlineStr">
        <is>
          <t>ABIERTO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108766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22777.36</v>
      </c>
      <c r="I28" s="9" t="inlineStr"/>
      <c r="J28" s="8" t="inlineStr">
        <is>
          <t>QR / CR DEBIN SPOT</t>
        </is>
      </c>
      <c r="K28" s="8" t="inlineStr">
        <is>
          <t>Banco ingresos no Flexxus anterior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PEND-8B2B8DFA1D0C-A001</t>
        </is>
      </c>
      <c r="B29" s="8" t="inlineStr">
        <is>
          <t>ABIERTO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108792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18915.11</v>
      </c>
      <c r="I29" s="9" t="inlineStr"/>
      <c r="J29" s="8" t="inlineStr">
        <is>
          <t>QR / CR DEBIN SPOT</t>
        </is>
      </c>
      <c r="K29" s="8" t="inlineStr">
        <is>
          <t>Banco ingresos no Flexxus anterior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PEND-255ACA090D49-A001</t>
        </is>
      </c>
      <c r="B30" s="8" t="inlineStr">
        <is>
          <t>ABIERTO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108767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13369.32</v>
      </c>
      <c r="I30" s="9" t="inlineStr"/>
      <c r="J30" s="8" t="inlineStr">
        <is>
          <t>QR / CR DEBIN SPOT</t>
        </is>
      </c>
      <c r="K30" s="8" t="inlineStr">
        <is>
          <t>Banco ingresos no Flexxus anterior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PEND-AA105B6AA931-A001</t>
        </is>
      </c>
      <c r="B31" s="8" t="inlineStr">
        <is>
          <t>ABIERTO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108764</t>
        </is>
      </c>
      <c r="F31" s="8" t="inlineStr">
        <is>
          <t>CR DEBIN SPOT - CUIT/CUIL: 30711424179</t>
        </is>
      </c>
      <c r="G31" s="8" t="inlineStr">
        <is>
          <t>QR / CR DEBIN SPOT</t>
        </is>
      </c>
      <c r="H31" s="9" t="n">
        <v>13369.32</v>
      </c>
      <c r="I31" s="9" t="inlineStr"/>
      <c r="J31" s="8" t="inlineStr">
        <is>
          <t>QR / CR DEBIN SPOT</t>
        </is>
      </c>
      <c r="K31" s="8" t="inlineStr">
        <is>
          <t>Banco ingresos no Flexxus anterior</t>
        </is>
      </c>
      <c r="L31" s="8" t="inlineStr">
        <is>
          <t>No identificado</t>
        </is>
      </c>
      <c r="M31" s="8" t="inlineStr">
        <is>
          <t>No encontrado en QR</t>
        </is>
      </c>
      <c r="N31" s="8" t="inlineStr"/>
      <c r="O31" s="9" t="inlineStr">
        <is>
          <t>—</t>
        </is>
      </c>
      <c r="P31" s="9" t="inlineStr"/>
      <c r="Q31" s="8" t="inlineStr">
        <is>
          <t>QR bancario sin match QR PCT/local</t>
        </is>
      </c>
      <c r="R31" s="8" t="inlineStr">
        <is>
          <t>URGENTE: identificar local/origen antes de cerrar rutina administrativa</t>
        </is>
      </c>
    </row>
    <row r="32">
      <c r="A32" s="8" t="inlineStr">
        <is>
          <t>PEND-E8F304467F18-A001</t>
        </is>
      </c>
      <c r="B32" s="8" t="inlineStr">
        <is>
          <t>ABIERTO</t>
        </is>
      </c>
      <c r="C32" s="8" t="inlineStr">
        <is>
          <t>Banco ingreso no Flexxus</t>
        </is>
      </c>
      <c r="D32" s="8" t="inlineStr">
        <is>
          <t>28/04/2026</t>
        </is>
      </c>
      <c r="E32" s="8" t="inlineStr">
        <is>
          <t>109287</t>
        </is>
      </c>
      <c r="F32" s="8" t="inlineStr">
        <is>
          <t>CR DEBIN SPOT</t>
        </is>
      </c>
      <c r="G32" s="8" t="inlineStr">
        <is>
          <t>QR / CR DEBIN SPOT</t>
        </is>
      </c>
      <c r="H32" s="9" t="n">
        <v>13369.32</v>
      </c>
      <c r="I32" s="9" t="inlineStr"/>
      <c r="J32" s="8" t="inlineStr">
        <is>
          <t>QR / CR DEBIN SPOT</t>
        </is>
      </c>
      <c r="K32" s="8" t="inlineStr">
        <is>
          <t>Banco ingresos no Flexxus anterior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PEND-17BDE19741C8-A001</t>
        </is>
      </c>
      <c r="B33" s="8" t="inlineStr">
        <is>
          <t>ABIERTO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108822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11388.68</v>
      </c>
      <c r="I33" s="9" t="inlineStr"/>
      <c r="J33" s="8" t="inlineStr">
        <is>
          <t>QR / CR DEBIN SPOT</t>
        </is>
      </c>
      <c r="K33" s="8" t="inlineStr">
        <is>
          <t>Banco ingresos no Flexxus anterior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PEND-E713FA3A78A0-A001</t>
        </is>
      </c>
      <c r="B34" s="8" t="inlineStr">
        <is>
          <t>ABIERTO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108786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11388.68</v>
      </c>
      <c r="I34" s="9" t="inlineStr"/>
      <c r="J34" s="8" t="inlineStr">
        <is>
          <t>QR / CR DEBIN SPOT</t>
        </is>
      </c>
      <c r="K34" s="8" t="inlineStr">
        <is>
          <t>Banco ingresos no Flexxus anterior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PEND-2973812D9F7A-A001</t>
        </is>
      </c>
      <c r="B35" s="8" t="inlineStr">
        <is>
          <t>ABIERTO</t>
        </is>
      </c>
      <c r="C35" s="8" t="inlineStr">
        <is>
          <t>Banco ingreso no Flexxus</t>
        </is>
      </c>
      <c r="D35" s="8" t="inlineStr">
        <is>
          <t>28/04/2026</t>
        </is>
      </c>
      <c r="E35" s="8" t="inlineStr">
        <is>
          <t>109241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11388.68</v>
      </c>
      <c r="I35" s="9" t="inlineStr"/>
      <c r="J35" s="8" t="inlineStr">
        <is>
          <t>QR / CR DEBIN SPOT</t>
        </is>
      </c>
      <c r="K35" s="8" t="inlineStr">
        <is>
          <t>Banco ingresos no Flexxus anterior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PEND-FA219D63113E-A001</t>
        </is>
      </c>
      <c r="B36" s="8" t="inlineStr">
        <is>
          <t>ABIERTO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108801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8912.879999999999</v>
      </c>
      <c r="I36" s="9" t="inlineStr"/>
      <c r="J36" s="8" t="inlineStr">
        <is>
          <t>QR / CR DEBIN SPOT</t>
        </is>
      </c>
      <c r="K36" s="8" t="inlineStr">
        <is>
          <t>Banco ingresos no Flexxus anterior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PEND-21680097194A-A001</t>
        </is>
      </c>
      <c r="B37" s="8" t="inlineStr">
        <is>
          <t>ABIERTO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108773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8417.719999999999</v>
      </c>
      <c r="I37" s="9" t="inlineStr"/>
      <c r="J37" s="8" t="inlineStr">
        <is>
          <t>QR / CR DEBIN SPOT</t>
        </is>
      </c>
      <c r="K37" s="8" t="inlineStr">
        <is>
          <t>Banco ingresos no Flexxus anterior</t>
        </is>
      </c>
      <c r="L37" s="8" t="inlineStr">
        <is>
          <t>No identificado</t>
        </is>
      </c>
      <c r="M37" s="8" t="inlineStr">
        <is>
          <t>No encontrado en QR</t>
        </is>
      </c>
      <c r="N37" s="8" t="inlineStr"/>
      <c r="O37" s="9" t="inlineStr">
        <is>
          <t>—</t>
        </is>
      </c>
      <c r="P37" s="9" t="inlineStr"/>
      <c r="Q37" s="8" t="inlineStr">
        <is>
          <t>QR bancario sin match QR PCT/local</t>
        </is>
      </c>
      <c r="R37" s="8" t="inlineStr">
        <is>
          <t>URGENTE: identificar local/origen antes de cerrar rutina administrativa</t>
        </is>
      </c>
    </row>
    <row r="38">
      <c r="A38" s="8" t="inlineStr">
        <is>
          <t>PEND-B268C72F50B2-A001</t>
        </is>
      </c>
      <c r="B38" s="8" t="inlineStr">
        <is>
          <t>ABIERTO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108769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7724.5</v>
      </c>
      <c r="I38" s="9" t="inlineStr"/>
      <c r="J38" s="8" t="inlineStr">
        <is>
          <t>QR / CR DEBIN SPOT</t>
        </is>
      </c>
      <c r="K38" s="8" t="inlineStr">
        <is>
          <t>Banco ingresos no Flexxus anterior</t>
        </is>
      </c>
      <c r="L38" s="8" t="inlineStr">
        <is>
          <t>No identificado</t>
        </is>
      </c>
      <c r="M38" s="8" t="inlineStr">
        <is>
          <t>No encontrado en QR</t>
        </is>
      </c>
      <c r="N38" s="8" t="inlineStr"/>
      <c r="O38" s="9" t="inlineStr">
        <is>
          <t>—</t>
        </is>
      </c>
      <c r="P38" s="9" t="inlineStr"/>
      <c r="Q38" s="8" t="inlineStr">
        <is>
          <t>QR bancario sin match QR PCT/local</t>
        </is>
      </c>
      <c r="R38" s="8" t="inlineStr">
        <is>
          <t>URGENTE: identificar local/origen antes de cerrar rutina administrativa</t>
        </is>
      </c>
    </row>
    <row r="39">
      <c r="A39" s="8" t="inlineStr">
        <is>
          <t>PEND-E796DEEBB834-A001</t>
        </is>
      </c>
      <c r="B39" s="8" t="inlineStr">
        <is>
          <t>ABIERTO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108755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6833.21</v>
      </c>
      <c r="I39" s="9" t="inlineStr"/>
      <c r="J39" s="8" t="inlineStr">
        <is>
          <t>QR / CR DEBIN SPOT</t>
        </is>
      </c>
      <c r="K39" s="8" t="inlineStr">
        <is>
          <t>Banco ingresos no Flexxus anterior</t>
        </is>
      </c>
      <c r="L39" s="8" t="inlineStr">
        <is>
          <t>No identificado</t>
        </is>
      </c>
      <c r="M39" s="8" t="inlineStr">
        <is>
          <t>No encontrado en QR</t>
        </is>
      </c>
      <c r="N39" s="8" t="inlineStr"/>
      <c r="O39" s="9" t="inlineStr">
        <is>
          <t>—</t>
        </is>
      </c>
      <c r="P39" s="9" t="inlineStr"/>
      <c r="Q39" s="8" t="inlineStr">
        <is>
          <t>QR bancario sin match QR PCT/local</t>
        </is>
      </c>
      <c r="R39" s="8" t="inlineStr">
        <is>
          <t>URGENTE: identificar local/origen antes de cerrar rutina administrativa</t>
        </is>
      </c>
    </row>
    <row r="40">
      <c r="A40" s="8" t="inlineStr">
        <is>
          <t>PEND-5A5DFF14466C-A001</t>
        </is>
      </c>
      <c r="B40" s="8" t="inlineStr">
        <is>
          <t>ABIERTO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108772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4456.44</v>
      </c>
      <c r="I40" s="9" t="inlineStr"/>
      <c r="J40" s="8" t="inlineStr">
        <is>
          <t>QR / CR DEBIN SPOT</t>
        </is>
      </c>
      <c r="K40" s="8" t="inlineStr">
        <is>
          <t>Banco ingresos no Flexxus anterior</t>
        </is>
      </c>
      <c r="L40" s="8" t="inlineStr">
        <is>
          <t>No identificado</t>
        </is>
      </c>
      <c r="M40" s="8" t="inlineStr">
        <is>
          <t>No encontrado en QR</t>
        </is>
      </c>
      <c r="N40" s="8" t="inlineStr"/>
      <c r="O40" s="9" t="inlineStr">
        <is>
          <t>—</t>
        </is>
      </c>
      <c r="P40" s="9" t="inlineStr"/>
      <c r="Q40" s="8" t="inlineStr">
        <is>
          <t>QR bancario sin match QR PCT/local</t>
        </is>
      </c>
      <c r="R40" s="8" t="inlineStr">
        <is>
          <t>URGENTE: identificar local/origen antes de cerrar rutina administrativa</t>
        </is>
      </c>
    </row>
    <row r="41">
      <c r="A41" s="8" t="inlineStr">
        <is>
          <t>PEND-F9AE05CE9EE8-A001</t>
        </is>
      </c>
      <c r="B41" s="8" t="inlineStr">
        <is>
          <t>ABIERTO</t>
        </is>
      </c>
      <c r="C41" s="8" t="inlineStr">
        <is>
          <t>Banco ingreso no Flexxus</t>
        </is>
      </c>
      <c r="D41" s="8" t="inlineStr">
        <is>
          <t>24/04/2026</t>
        </is>
      </c>
      <c r="E41" s="8" t="inlineStr">
        <is>
          <t>CTRL-CONTINUIDAD</t>
        </is>
      </c>
      <c r="F41" s="8" t="inlineStr">
        <is>
          <t>Diferencia técnica menor de continuidad/extracto bancario</t>
        </is>
      </c>
      <c r="G41" s="8" t="inlineStr">
        <is>
          <t>Ajuste menor redondeo/extracto</t>
        </is>
      </c>
      <c r="H41" s="9" t="n">
        <v>3.62</v>
      </c>
      <c r="I41" s="9" t="inlineStr"/>
      <c r="J41" s="8" t="inlineStr">
        <is>
          <t>Ajuste menor redondeo/extracto</t>
        </is>
      </c>
      <c r="K41" s="8" t="inlineStr">
        <is>
          <t>Banco ingresos no Flexxus anterior</t>
        </is>
      </c>
      <c r="L41" s="8" t="inlineStr">
        <is>
          <t>No identificado</t>
        </is>
      </c>
      <c r="M41" s="8" t="inlineStr"/>
      <c r="N41" s="8" t="inlineStr"/>
      <c r="O41" s="9" t="inlineStr">
        <is>
          <t>—</t>
        </is>
      </c>
      <c r="P41" s="9" t="inlineStr"/>
      <c r="Q41" s="8" t="inlineStr">
        <is>
          <t>Origen/local no identificado</t>
        </is>
      </c>
      <c r="R41" s="8" t="inlineStr">
        <is>
          <t>URGENTE: identificar local/origen antes de cerrar rutina administrativa</t>
        </is>
      </c>
    </row>
    <row r="42">
      <c r="A42" s="8" t="inlineStr">
        <is>
          <t>PEND-1022D708168E-A001</t>
        </is>
      </c>
      <c r="B42" s="8" t="inlineStr">
        <is>
          <t>ABIERTO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CTRL-V5911-QR</t>
        </is>
      </c>
      <c r="F42" s="8" t="inlineStr">
        <is>
          <t>Diferencia técnica menor por cierre QR doble punta</t>
        </is>
      </c>
      <c r="G42" s="8" t="inlineStr">
        <is>
          <t>Ajuste menor redondeo/extracto</t>
        </is>
      </c>
      <c r="H42" s="9" t="n">
        <v>1.25</v>
      </c>
      <c r="I42" s="9" t="inlineStr"/>
      <c r="J42" s="8" t="inlineStr">
        <is>
          <t>Ajuste menor redondeo/extracto</t>
        </is>
      </c>
      <c r="K42" s="8" t="inlineStr">
        <is>
          <t>Banco ingresos no Flexxus anterior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PEND-FCB72181EA15-A001</t>
        </is>
      </c>
      <c r="B43" s="8" t="inlineStr">
        <is>
          <t>ABIERTO</t>
        </is>
      </c>
      <c r="C43" s="8" t="inlineStr">
        <is>
          <t>Banco ingreso no Flexxus</t>
        </is>
      </c>
      <c r="D43" s="8" t="inlineStr">
        <is>
          <t>28/04/2026</t>
        </is>
      </c>
      <c r="E43" s="8" t="inlineStr">
        <is>
          <t>CTRL-CONTINUIDAD</t>
        </is>
      </c>
      <c r="F43" s="8" t="inlineStr">
        <is>
          <t>Diferencia técnica menor de continuidad/extracto bancario</t>
        </is>
      </c>
      <c r="G43" s="8" t="inlineStr">
        <is>
          <t>Ajuste menor redondeo/extracto</t>
        </is>
      </c>
      <c r="H43" s="9" t="n">
        <v>0.53</v>
      </c>
      <c r="I43" s="9" t="inlineStr"/>
      <c r="J43" s="8" t="inlineStr">
        <is>
          <t>Ajuste menor redondeo/extracto</t>
        </is>
      </c>
      <c r="K43" s="8" t="inlineStr">
        <is>
          <t>Banco ingresos no Flexxus anterior</t>
        </is>
      </c>
      <c r="L43" s="8" t="inlineStr">
        <is>
          <t>No identificado</t>
        </is>
      </c>
      <c r="M43" s="8" t="inlineStr"/>
      <c r="N43" s="8" t="inlineStr"/>
      <c r="O43" s="9" t="inlineStr">
        <is>
          <t>—</t>
        </is>
      </c>
      <c r="P43" s="9" t="inlineStr"/>
      <c r="Q43" s="8" t="inlineStr">
        <is>
          <t>Origen/local no identificado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PEND-71BC55323C7D-A001</t>
        </is>
      </c>
      <c r="B44" s="8" t="inlineStr">
        <is>
          <t>ABIERTO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108758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0.01</v>
      </c>
      <c r="I44" s="9" t="inlineStr"/>
      <c r="J44" s="8" t="inlineStr">
        <is>
          <t>QR / CR DEBIN SPOT</t>
        </is>
      </c>
      <c r="K44" s="8" t="inlineStr">
        <is>
          <t>Banco ingresos no Flexxus anterior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PEND-85D0223CDA28-A001</t>
        </is>
      </c>
      <c r="B45" s="8" t="inlineStr">
        <is>
          <t>ABIERTO_NUEVO</t>
        </is>
      </c>
      <c r="C45" s="8" t="inlineStr">
        <is>
          <t>Banco ingreso no Flexxus</t>
        </is>
      </c>
      <c r="D45" s="8" t="inlineStr">
        <is>
          <t>29/04/2026</t>
        </is>
      </c>
      <c r="E45" s="8" t="inlineStr">
        <is>
          <t>109478</t>
        </is>
      </c>
      <c r="F45" s="8" t="inlineStr">
        <is>
          <t>CR DEBIN SPOT</t>
        </is>
      </c>
      <c r="G45" s="8" t="inlineStr">
        <is>
          <t>QR / CR DEBIN SPOT</t>
        </is>
      </c>
      <c r="H45" s="9" t="n">
        <v>14854.8</v>
      </c>
      <c r="I45" s="9" t="inlineStr"/>
      <c r="J45" s="8" t="inlineStr">
        <is>
          <t>QR / CR DEBIN SPOT</t>
        </is>
      </c>
      <c r="K45" s="8" t="inlineStr">
        <is>
          <t>Corriente actual | QR PCT</t>
        </is>
      </c>
      <c r="L45" s="8" t="inlineStr">
        <is>
          <t>Local 6</t>
        </is>
      </c>
      <c r="M45" s="8" t="inlineStr">
        <is>
          <t>3751</t>
        </is>
      </c>
      <c r="N45" s="8" t="inlineStr"/>
      <c r="O45" s="9" t="n">
        <v>14854.8</v>
      </c>
      <c r="P45" s="9" t="n">
        <v>0</v>
      </c>
      <c r="Q45" s="8" t="inlineStr">
        <is>
          <t>Identificado por Transacciones QR</t>
        </is>
      </c>
      <c r="R45" s="8" t="inlineStr">
        <is>
          <t>Cargar/regularizar en Flexxus como PAV o identificar cliente/local</t>
        </is>
      </c>
    </row>
    <row r="46">
      <c r="A46" s="8" t="inlineStr">
        <is>
          <t>PEND-3291A28FB61B-A001</t>
        </is>
      </c>
      <c r="B46" s="8" t="inlineStr">
        <is>
          <t>ABIERTO_NUEVO</t>
        </is>
      </c>
      <c r="C46" s="8" t="inlineStr">
        <is>
          <t>Banco ingreso no Flexxus</t>
        </is>
      </c>
      <c r="D46" s="8" t="inlineStr">
        <is>
          <t>29/04/2026</t>
        </is>
      </c>
      <c r="E46" s="8" t="inlineStr">
        <is>
          <t>29841670</t>
        </is>
      </c>
      <c r="F46" s="8" t="inlineStr">
        <is>
          <t>CR LIQ MASTER DEB 24H</t>
        </is>
      </c>
      <c r="G46" s="8" t="inlineStr">
        <is>
          <t>Liquidación tarjeta</t>
        </is>
      </c>
      <c r="H46" s="9" t="n">
        <v>46826.46</v>
      </c>
      <c r="I46" s="9" t="inlineStr"/>
      <c r="J46" s="8" t="inlineStr">
        <is>
          <t>Liquidación tarjeta</t>
        </is>
      </c>
      <c r="K46" s="8" t="inlineStr">
        <is>
          <t>Corriente actual | TRX Merchant</t>
        </is>
      </c>
      <c r="L46" s="8" t="inlineStr">
        <is>
          <t>Local 5</t>
        </is>
      </c>
      <c r="M46" s="8" t="inlineStr"/>
      <c r="N46" s="8" t="inlineStr">
        <is>
          <t>343184</t>
        </is>
      </c>
      <c r="O46" s="9" t="n">
        <v>46826.46</v>
      </c>
      <c r="P46" s="9" t="n">
        <v>0</v>
      </c>
      <c r="Q46" s="8" t="inlineStr">
        <is>
          <t>Identificado por TRX / liquidación tarjeta</t>
        </is>
      </c>
      <c r="R46" s="8" t="inlineStr">
        <is>
          <t>Cargar/regularizar en Flexxus como PAV o identificar cliente/local</t>
        </is>
      </c>
    </row>
    <row r="47">
      <c r="A47" s="8" t="inlineStr">
        <is>
          <t>PEND-705512D930B0-A001</t>
        </is>
      </c>
      <c r="B47" s="8" t="inlineStr">
        <is>
          <t>ABIERTO_NUEVO</t>
        </is>
      </c>
      <c r="C47" s="8" t="inlineStr">
        <is>
          <t>Banco ingreso no Flexxus</t>
        </is>
      </c>
      <c r="D47" s="8" t="inlineStr">
        <is>
          <t>29/04/2026</t>
        </is>
      </c>
      <c r="E47" s="8" t="inlineStr">
        <is>
          <t>32032899</t>
        </is>
      </c>
      <c r="F47" s="8" t="inlineStr">
        <is>
          <t>CR LIQ MASTERCARD 24H</t>
        </is>
      </c>
      <c r="G47" s="8" t="inlineStr">
        <is>
          <t>Liquidación tarjeta</t>
        </is>
      </c>
      <c r="H47" s="9" t="n">
        <v>102517.46</v>
      </c>
      <c r="I47" s="9" t="inlineStr"/>
      <c r="J47" s="8" t="inlineStr">
        <is>
          <t>Liquidación tarjeta</t>
        </is>
      </c>
      <c r="K47" s="8" t="inlineStr">
        <is>
          <t>Corriente actual | TRX Merchant</t>
        </is>
      </c>
      <c r="L47" s="8" t="inlineStr">
        <is>
          <t>Local 8</t>
        </is>
      </c>
      <c r="M47" s="8" t="inlineStr"/>
      <c r="N47" s="8" t="inlineStr">
        <is>
          <t>341406</t>
        </is>
      </c>
      <c r="O47" s="9" t="n">
        <v>102517.46</v>
      </c>
      <c r="P47" s="9" t="n">
        <v>0</v>
      </c>
      <c r="Q47" s="8" t="inlineStr">
        <is>
          <t>Identificado por TRX / liquidación tarjeta</t>
        </is>
      </c>
      <c r="R47" s="8" t="inlineStr">
        <is>
          <t>Cargar/regularizar en Flexxus como PAV o identificar cliente/local</t>
        </is>
      </c>
    </row>
    <row r="48">
      <c r="A48" s="8" t="inlineStr">
        <is>
          <t>PEND-925947E9FCC0-A001</t>
        </is>
      </c>
      <c r="B48" s="8" t="inlineStr">
        <is>
          <t>ABIERTO_NUEVO</t>
        </is>
      </c>
      <c r="C48" s="8" t="inlineStr">
        <is>
          <t>Banco ingreso no Flexxus</t>
        </is>
      </c>
      <c r="D48" s="8" t="inlineStr">
        <is>
          <t>29/04/2026</t>
        </is>
      </c>
      <c r="E48" s="8" t="inlineStr">
        <is>
          <t>29841670</t>
        </is>
      </c>
      <c r="F48" s="8" t="inlineStr">
        <is>
          <t>CR LIQ MASTERCARD 24H</t>
        </is>
      </c>
      <c r="G48" s="8" t="inlineStr">
        <is>
          <t>Liquidación tarjeta</t>
        </is>
      </c>
      <c r="H48" s="9" t="n">
        <v>37954.94</v>
      </c>
      <c r="I48" s="9" t="inlineStr"/>
      <c r="J48" s="8" t="inlineStr">
        <is>
          <t>Liquidación tarjeta</t>
        </is>
      </c>
      <c r="K48" s="8" t="inlineStr">
        <is>
          <t>Corriente actual | TRX Merchant</t>
        </is>
      </c>
      <c r="L48" s="8" t="inlineStr">
        <is>
          <t>Local 5</t>
        </is>
      </c>
      <c r="M48" s="8" t="inlineStr"/>
      <c r="N48" s="8" t="inlineStr">
        <is>
          <t>342638</t>
        </is>
      </c>
      <c r="O48" s="9" t="n">
        <v>37954.94</v>
      </c>
      <c r="P48" s="9" t="n">
        <v>0</v>
      </c>
      <c r="Q48" s="8" t="inlineStr">
        <is>
          <t>Identificado por TRX / liquidación tarjeta</t>
        </is>
      </c>
      <c r="R48" s="8" t="inlineStr">
        <is>
          <t>Cargar/regularizar en Flexxus como PAV o identificar cliente/local</t>
        </is>
      </c>
    </row>
    <row r="49">
      <c r="A49" s="8" t="inlineStr">
        <is>
          <t>PEND-0AB7377DB998-A001</t>
        </is>
      </c>
      <c r="B49" s="8" t="inlineStr">
        <is>
          <t>ABIERTO_NUEVO</t>
        </is>
      </c>
      <c r="C49" s="8" t="inlineStr">
        <is>
          <t>Banco ingreso no Flexxus</t>
        </is>
      </c>
      <c r="D49" s="8" t="inlineStr">
        <is>
          <t>29/04/2026</t>
        </is>
      </c>
      <c r="E49" s="8" t="inlineStr">
        <is>
          <t>109434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23767.68</v>
      </c>
      <c r="I49" s="9" t="inlineStr"/>
      <c r="J49" s="8" t="inlineStr">
        <is>
          <t>QR / CR DEBIN SPOT</t>
        </is>
      </c>
      <c r="K49" s="8" t="inlineStr">
        <is>
          <t>Corriente actual | QR PCT</t>
        </is>
      </c>
      <c r="L49" s="8" t="inlineStr">
        <is>
          <t>Local 5</t>
        </is>
      </c>
      <c r="M49" s="8" t="inlineStr">
        <is>
          <t>4</t>
        </is>
      </c>
      <c r="N49" s="8" t="inlineStr"/>
      <c r="O49" s="9" t="n">
        <v>23767.68</v>
      </c>
      <c r="P49" s="9" t="n">
        <v>0</v>
      </c>
      <c r="Q49" s="8" t="inlineStr">
        <is>
          <t>Identificado por Transacciones QR</t>
        </is>
      </c>
      <c r="R49" s="8" t="inlineStr">
        <is>
          <t>Cargar/regularizar en Flexxus como PAV o identificar cliente/local</t>
        </is>
      </c>
    </row>
    <row r="50">
      <c r="A50" s="8" t="inlineStr">
        <is>
          <t>PEND-9211750BEEE6-A001</t>
        </is>
      </c>
      <c r="B50" s="8" t="inlineStr">
        <is>
          <t>CONTROL_CONTINUIDAD_MENOR</t>
        </is>
      </c>
      <c r="C50" s="8" t="inlineStr">
        <is>
          <t>Banco ingreso no Flexxus</t>
        </is>
      </c>
      <c r="D50" s="8" t="inlineStr">
        <is>
          <t>29/04/2026</t>
        </is>
      </c>
      <c r="E50" s="8" t="inlineStr">
        <is>
          <t>CTRL-CONTINUIDAD</t>
        </is>
      </c>
      <c r="F50" s="8" t="inlineStr">
        <is>
          <t>Diferencia técnica menor de continuidad/extracto bancario</t>
        </is>
      </c>
      <c r="G50" s="8" t="inlineStr">
        <is>
          <t>Ajuste menor redondeo/extracto</t>
        </is>
      </c>
      <c r="H50" s="9" t="n">
        <v>3.43</v>
      </c>
      <c r="I50" s="9" t="inlineStr"/>
      <c r="J50" s="8" t="inlineStr">
        <is>
          <t>Ajuste menor redondeo/extracto</t>
        </is>
      </c>
      <c r="K50" s="8" t="inlineStr">
        <is>
          <t>Control de cobertura | Banco</t>
        </is>
      </c>
      <c r="L50" s="8" t="inlineStr">
        <is>
          <t>No identificado</t>
        </is>
      </c>
      <c r="M50" s="8" t="inlineStr"/>
      <c r="N50" s="8" t="inlineStr"/>
      <c r="O50" s="9" t="inlineStr">
        <is>
          <t>—</t>
        </is>
      </c>
      <c r="P50" s="9" t="inlineStr"/>
      <c r="Q50" s="8" t="inlineStr">
        <is>
          <t>Origen/local no identificado</t>
        </is>
      </c>
      <c r="R50" s="8" t="inlineStr">
        <is>
          <t>URGENTE: identificar local/origen antes de cerrar rutina administrativa</t>
        </is>
      </c>
    </row>
  </sheetData>
  <autoFilter ref="A1:R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4062494</t>
        </is>
      </c>
      <c r="F4" s="8" t="inlineStr">
        <is>
          <t>INGRESOS BRUTOS MENDOZA</t>
        </is>
      </c>
      <c r="G4" s="8" t="inlineStr">
        <is>
          <t>Retención Ingresos Brutos Mendoza</t>
        </is>
      </c>
      <c r="H4" s="8" t="inlineStr">
        <is>
          <t>Retención de Ingresos Brutos</t>
        </is>
      </c>
      <c r="I4" s="9" t="n">
        <v>28351.84</v>
      </c>
      <c r="J4" s="9" t="inlineStr"/>
      <c r="K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PEND-339B0D8280BB-A001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28/04/2026</t>
        </is>
      </c>
      <c r="E5" s="8" t="inlineStr">
        <is>
          <t>32032899</t>
        </is>
      </c>
      <c r="F5" s="8" t="inlineStr">
        <is>
          <t>INGRESOS BRUTOS MENDOZA</t>
        </is>
      </c>
      <c r="G5" s="8" t="inlineStr">
        <is>
          <t>Retención Ingresos Brutos Mendoza</t>
        </is>
      </c>
      <c r="H5" s="8" t="inlineStr">
        <is>
          <t>Retención de Ingresos Brutos</t>
        </is>
      </c>
      <c r="I5" s="9" t="n">
        <v>20450.23</v>
      </c>
      <c r="J5" s="9" t="inlineStr"/>
      <c r="K5" s="8" t="inlineStr">
        <is>
          <t>Copiar en Flexxus: Tipo=MB-EXT | Movimiento=INGRESOS BRUTOS MENDOZA | Monto=20.450,23 | Fecha: 28/04/2026</t>
        </is>
      </c>
    </row>
    <row r="6">
      <c r="A6" s="8" t="inlineStr">
        <is>
          <t>PEND-8555E677B1EC-A001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4062494</t>
        </is>
      </c>
      <c r="F6" s="8" t="inlineStr">
        <is>
          <t>GRAVAMEN LEY 25413 S/CRED</t>
        </is>
      </c>
      <c r="G6" s="8" t="inlineStr">
        <is>
          <t>Anticipo Ganancias Ley 25.413 créditos</t>
        </is>
      </c>
      <c r="H6" s="8" t="inlineStr">
        <is>
          <t>Anticipo Impuesto a las Ganancias</t>
        </is>
      </c>
      <c r="I6" s="9" t="n">
        <v>17011.1</v>
      </c>
      <c r="J6" s="9" t="inlineStr"/>
      <c r="K6" s="8" t="inlineStr">
        <is>
          <t>Copiar en Flexxus: Tipo=MB-EXT | Movimiento=GRAVAMEN LEY 25.413 S/CRED | Monto=17.011,10 | Fecha: 27/04/2026</t>
        </is>
      </c>
    </row>
    <row r="7">
      <c r="A7" s="8" t="inlineStr">
        <is>
          <t>PEND-34E25209BB13-A001</t>
        </is>
      </c>
      <c r="B7" s="8" t="inlineStr">
        <is>
          <t>ABIERTO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108845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14168.52</v>
      </c>
      <c r="J7" s="9" t="inlineStr"/>
      <c r="K7" s="8" t="inlineStr">
        <is>
          <t>Copiar en Flexxus: Tipo=MB-EXT | Movimiento=GRAVAMEN LEY 25.413 S/DEB | Monto=14.168,52 | Fecha: 27/04/2026</t>
        </is>
      </c>
    </row>
    <row r="8">
      <c r="A8" s="8" t="inlineStr">
        <is>
          <t>PEND-84885B350148-A001</t>
        </is>
      </c>
      <c r="B8" s="8" t="inlineStr">
        <is>
          <t>ABIERTO</t>
        </is>
      </c>
      <c r="C8" s="8" t="inlineStr">
        <is>
          <t>Banco egreso no Flexxus</t>
        </is>
      </c>
      <c r="D8" s="8" t="inlineStr">
        <is>
          <t>28/04/2026</t>
        </is>
      </c>
      <c r="E8" s="8" t="inlineStr">
        <is>
          <t>32032899</t>
        </is>
      </c>
      <c r="F8" s="8" t="inlineStr">
        <is>
          <t>GRAVAMEN LEY 25413 S/CRED</t>
        </is>
      </c>
      <c r="G8" s="8" t="inlineStr">
        <is>
          <t>Anticipo Ganancias Ley 25.413 créditos</t>
        </is>
      </c>
      <c r="H8" s="8" t="inlineStr">
        <is>
          <t>Anticipo Impuesto a las Ganancias</t>
        </is>
      </c>
      <c r="I8" s="9" t="n">
        <v>12270.14</v>
      </c>
      <c r="J8" s="9" t="inlineStr"/>
      <c r="K8" s="8" t="inlineStr">
        <is>
          <t>Copiar en Flexxus: Tipo=MB-EXT | Movimiento=GRAVAMEN LEY 25.413 S/CRED | Monto=12.270,14 | Fecha: 28/04/2026</t>
        </is>
      </c>
    </row>
    <row r="9">
      <c r="A9" s="8" t="inlineStr">
        <is>
          <t>PEND-4FFFD9AF5ECE-A001</t>
        </is>
      </c>
      <c r="B9" s="8" t="inlineStr">
        <is>
          <t>ABIERTO</t>
        </is>
      </c>
      <c r="C9" s="8" t="inlineStr">
        <is>
          <t>Banco egreso no Flexxus</t>
        </is>
      </c>
      <c r="D9" s="8" t="inlineStr">
        <is>
          <t>28/04/2026</t>
        </is>
      </c>
      <c r="E9" s="8" t="inlineStr">
        <is>
          <t>109242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12000</v>
      </c>
      <c r="J9" s="9" t="inlineStr"/>
      <c r="K9" s="8" t="inlineStr">
        <is>
          <t>Copiar en Flexxus: Tipo=MB-EXT | Movimiento=GRAVAMEN LEY 25.413 S/DEB | Monto=12.000,00 | Fecha: 28/04/2026</t>
        </is>
      </c>
    </row>
    <row r="10">
      <c r="A10" s="8" t="inlineStr">
        <is>
          <t>PEND-929AB27A0463-A001</t>
        </is>
      </c>
      <c r="B10" s="8" t="inlineStr">
        <is>
          <t>ABIERTO</t>
        </is>
      </c>
      <c r="C10" s="8" t="inlineStr">
        <is>
          <t>Banco egreso no Flexxus</t>
        </is>
      </c>
      <c r="D10" s="8" t="inlineStr">
        <is>
          <t>28/04/2026</t>
        </is>
      </c>
      <c r="E10" s="8" t="inlineStr">
        <is>
          <t>31995644</t>
        </is>
      </c>
      <c r="F10" s="8" t="inlineStr">
        <is>
          <t>INGRESOS BRUTOS MENDOZA</t>
        </is>
      </c>
      <c r="G10" s="8" t="inlineStr">
        <is>
          <t>Retención Ingresos Brutos Mendoza</t>
        </is>
      </c>
      <c r="H10" s="8" t="inlineStr">
        <is>
          <t>Retención de Ingresos Brutos</t>
        </is>
      </c>
      <c r="I10" s="9" t="n">
        <v>10690.93</v>
      </c>
      <c r="J10" s="9" t="inlineStr"/>
      <c r="K10" s="8" t="inlineStr">
        <is>
          <t>Copiar en Flexxus: Tipo=MB-EXT | Movimiento=INGRESOS BRUTOS MENDOZA | Monto=10.690,93 | Fecha: 28/04/2026</t>
        </is>
      </c>
    </row>
    <row r="11">
      <c r="A11" s="8" t="inlineStr">
        <is>
          <t>PEND-ACBD0330B1BB-A001</t>
        </is>
      </c>
      <c r="B11" s="8" t="inlineStr">
        <is>
          <t>ABIERTO</t>
        </is>
      </c>
      <c r="C11" s="8" t="inlineStr">
        <is>
          <t>Banco egreso no Flexxus</t>
        </is>
      </c>
      <c r="D11" s="8" t="inlineStr">
        <is>
          <t>28/04/2026</t>
        </is>
      </c>
      <c r="E11" s="8" t="inlineStr">
        <is>
          <t>31995644</t>
        </is>
      </c>
      <c r="F11" s="8" t="inlineStr">
        <is>
          <t>INGRESOS BRUTOS MENDOZA</t>
        </is>
      </c>
      <c r="G11" s="8" t="inlineStr">
        <is>
          <t>Retención Ingresos Brutos Mendoza</t>
        </is>
      </c>
      <c r="H11" s="8" t="inlineStr">
        <is>
          <t>Retención de Ingresos Brutos</t>
        </is>
      </c>
      <c r="I11" s="9" t="n">
        <v>8373.370000000001</v>
      </c>
      <c r="J11" s="9" t="inlineStr"/>
      <c r="K11" s="8" t="inlineStr">
        <is>
          <t>Copiar en Flexxus: Tipo=MB-EXT | Movimiento=INGRESOS BRUTOS MENDOZA | Monto=8.373,37 | Fecha: 28/04/2026</t>
        </is>
      </c>
    </row>
    <row r="12">
      <c r="A12" s="8" t="inlineStr">
        <is>
          <t>PEND-65BDC0BC3100-A001</t>
        </is>
      </c>
      <c r="B12" s="8" t="inlineStr">
        <is>
          <t>ABIERTO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32032899</t>
        </is>
      </c>
      <c r="F12" s="8" t="inlineStr">
        <is>
          <t>INGRESOS BRUTOS MENDOZA</t>
        </is>
      </c>
      <c r="G12" s="8" t="inlineStr">
        <is>
          <t>Retención Ingresos Brutos Mendoza</t>
        </is>
      </c>
      <c r="H12" s="8" t="inlineStr">
        <is>
          <t>Retención de Ingresos Brutos</t>
        </is>
      </c>
      <c r="I12" s="9" t="n">
        <v>6476.19</v>
      </c>
      <c r="J12" s="9" t="inlineStr"/>
      <c r="K12" s="8" t="inlineStr">
        <is>
          <t>Copiar en Flexxus: Tipo=MB-EXT | Movimiento=INGRESOS BRUTOS MENDOZA | Monto=6.476,19 | Fecha: 27/04/2026</t>
        </is>
      </c>
    </row>
    <row r="13">
      <c r="A13" s="8" t="inlineStr">
        <is>
          <t>PEND-B17E38FD3FDF-A001</t>
        </is>
      </c>
      <c r="B13" s="8" t="inlineStr">
        <is>
          <t>ABIERTO</t>
        </is>
      </c>
      <c r="C13" s="8" t="inlineStr">
        <is>
          <t>Banco egreso no Flexxus</t>
        </is>
      </c>
      <c r="D13" s="8" t="inlineStr">
        <is>
          <t>28/04/2026</t>
        </is>
      </c>
      <c r="E13" s="8" t="inlineStr">
        <is>
          <t>31995644</t>
        </is>
      </c>
      <c r="F13" s="8" t="inlineStr">
        <is>
          <t>GRAVAMEN LEY 25413 S/CRED</t>
        </is>
      </c>
      <c r="G13" s="8" t="inlineStr">
        <is>
          <t>Anticipo Ganancias Ley 25.413 créditos</t>
        </is>
      </c>
      <c r="H13" s="8" t="inlineStr">
        <is>
          <t>Anticipo Impuesto a las Ganancias</t>
        </is>
      </c>
      <c r="I13" s="9" t="n">
        <v>6414.56</v>
      </c>
      <c r="J13" s="9" t="inlineStr"/>
      <c r="K13" s="8" t="inlineStr">
        <is>
          <t>Copiar en Flexxus: Tipo=MB-EXT | Movimiento=GRAVAMEN LEY 25.413 S/CRED | Monto=6.414,56 | Fecha: 28/04/2026</t>
        </is>
      </c>
    </row>
    <row r="14">
      <c r="A14" s="8" t="inlineStr">
        <is>
          <t>PEND-98DB2888DA02-A001</t>
        </is>
      </c>
      <c r="B14" s="8" t="inlineStr">
        <is>
          <t>ABIERTO</t>
        </is>
      </c>
      <c r="C14" s="8" t="inlineStr">
        <is>
          <t>Banco egreso no Flexxus</t>
        </is>
      </c>
      <c r="D14" s="8" t="inlineStr">
        <is>
          <t>28/04/2026</t>
        </is>
      </c>
      <c r="E14" s="8" t="inlineStr">
        <is>
          <t>29841670</t>
        </is>
      </c>
      <c r="F14" s="8" t="inlineStr">
        <is>
          <t>INGRESOS BRUTOS MENDOZA</t>
        </is>
      </c>
      <c r="G14" s="8" t="inlineStr">
        <is>
          <t>Retención Ingresos Brutos Mendoza</t>
        </is>
      </c>
      <c r="H14" s="8" t="inlineStr">
        <is>
          <t>Retención de Ingresos Brutos</t>
        </is>
      </c>
      <c r="I14" s="9" t="n">
        <v>5946.34</v>
      </c>
      <c r="J14" s="9" t="inlineStr"/>
      <c r="K14" s="8" t="inlineStr">
        <is>
          <t>Copiar en Flexxus: Tipo=MB-EXT | Movimiento=INGRESOS BRUTOS MENDOZA | Monto=5.946,34 | Fecha: 28/04/2026</t>
        </is>
      </c>
    </row>
    <row r="15">
      <c r="A15" s="8" t="inlineStr">
        <is>
          <t>PEND-9053C60DB2B9-A001</t>
        </is>
      </c>
      <c r="B15" s="8" t="inlineStr">
        <is>
          <t>ABIERTO</t>
        </is>
      </c>
      <c r="C15" s="8" t="inlineStr">
        <is>
          <t>Banco egreso no Flexxus</t>
        </is>
      </c>
      <c r="D15" s="8" t="inlineStr">
        <is>
          <t>28/04/2026</t>
        </is>
      </c>
      <c r="E15" s="8" t="inlineStr">
        <is>
          <t>31995644</t>
        </is>
      </c>
      <c r="F15" s="8" t="inlineStr">
        <is>
          <t>INGRESOS BRUTOS MENDOZA</t>
        </is>
      </c>
      <c r="G15" s="8" t="inlineStr">
        <is>
          <t>Retención Ingresos Brutos Mendoza</t>
        </is>
      </c>
      <c r="H15" s="8" t="inlineStr">
        <is>
          <t>Retención de Ingresos Brutos</t>
        </is>
      </c>
      <c r="I15" s="9" t="n">
        <v>5274.58</v>
      </c>
      <c r="J15" s="9" t="inlineStr"/>
      <c r="K15" s="8" t="inlineStr">
        <is>
          <t>Copiar en Flexxus: Tipo=MB-EXT | Movimiento=INGRESOS BRUTOS MENDOZA | Monto=5.274,58 | Fecha: 28/04/2026</t>
        </is>
      </c>
    </row>
    <row r="16">
      <c r="A16" s="8" t="inlineStr">
        <is>
          <t>PEND-8F81BEEED280-A001</t>
        </is>
      </c>
      <c r="B16" s="8" t="inlineStr">
        <is>
          <t>ABIERTO</t>
        </is>
      </c>
      <c r="C16" s="8" t="inlineStr">
        <is>
          <t>Banco egreso no Flexxus</t>
        </is>
      </c>
      <c r="D16" s="8" t="inlineStr">
        <is>
          <t>28/04/2026</t>
        </is>
      </c>
      <c r="E16" s="8" t="inlineStr">
        <is>
          <t>29841705</t>
        </is>
      </c>
      <c r="F16" s="8" t="inlineStr">
        <is>
          <t>INGRESOS BRUTOS MENDOZA</t>
        </is>
      </c>
      <c r="G16" s="8" t="inlineStr">
        <is>
          <t>Retención Ingresos Brutos Mendoza</t>
        </is>
      </c>
      <c r="H16" s="8" t="inlineStr">
        <is>
          <t>Retención de Ingresos Brutos</t>
        </is>
      </c>
      <c r="I16" s="9" t="n">
        <v>5174.04</v>
      </c>
      <c r="J16" s="9" t="inlineStr"/>
      <c r="K16" s="8" t="inlineStr">
        <is>
          <t>Copiar en Flexxus: Tipo=MB-EXT | Movimiento=INGRESOS BRUTOS MENDOZA | Monto=5.174,04 | Fecha: 28/04/2026</t>
        </is>
      </c>
    </row>
    <row r="17">
      <c r="A17" s="8" t="inlineStr">
        <is>
          <t>PEND-F2C09E3A806D-A001</t>
        </is>
      </c>
      <c r="B17" s="8" t="inlineStr">
        <is>
          <t>ABIERTO</t>
        </is>
      </c>
      <c r="C17" s="8" t="inlineStr">
        <is>
          <t>Banco egreso no Flexxus</t>
        </is>
      </c>
      <c r="D17" s="8" t="inlineStr">
        <is>
          <t>28/04/2026</t>
        </is>
      </c>
      <c r="E17" s="8" t="inlineStr">
        <is>
          <t>31995644</t>
        </is>
      </c>
      <c r="F17" s="8" t="inlineStr">
        <is>
          <t>GRAVAMEN LEY 25413 S/CRED</t>
        </is>
      </c>
      <c r="G17" s="8" t="inlineStr">
        <is>
          <t>Anticipo Ganancias Ley 25.413 créditos</t>
        </is>
      </c>
      <c r="H17" s="8" t="inlineStr">
        <is>
          <t>Anticipo Impuesto a las Ganancias</t>
        </is>
      </c>
      <c r="I17" s="9" t="n">
        <v>5024.02</v>
      </c>
      <c r="J17" s="9" t="inlineStr"/>
      <c r="K17" s="8" t="inlineStr">
        <is>
          <t>Copiar en Flexxus: Tipo=MB-EXT | Movimiento=GRAVAMEN LEY 25.413 S/CRED | Monto=5.024,02 | Fecha: 28/04/2026</t>
        </is>
      </c>
    </row>
    <row r="18">
      <c r="A18" s="8" t="inlineStr">
        <is>
          <t>PEND-BCAE72D21FEB-A001</t>
        </is>
      </c>
      <c r="B18" s="8" t="inlineStr">
        <is>
          <t>ABIERTO</t>
        </is>
      </c>
      <c r="C18" s="8" t="inlineStr">
        <is>
          <t>Banco egreso no Flexxus</t>
        </is>
      </c>
      <c r="D18" s="8" t="inlineStr">
        <is>
          <t>28/04/2026</t>
        </is>
      </c>
      <c r="E18" s="8" t="inlineStr">
        <is>
          <t>29841642</t>
        </is>
      </c>
      <c r="F18" s="8" t="inlineStr">
        <is>
          <t>INGRESOS BRUTOS MENDOZA</t>
        </is>
      </c>
      <c r="G18" s="8" t="inlineStr">
        <is>
          <t>Retención Ingresos Brutos Mendoza</t>
        </is>
      </c>
      <c r="H18" s="8" t="inlineStr">
        <is>
          <t>Retención de Ingresos Brutos</t>
        </is>
      </c>
      <c r="I18" s="9" t="n">
        <v>4756.38</v>
      </c>
      <c r="J18" s="9" t="inlineStr"/>
      <c r="K18" s="8" t="inlineStr">
        <is>
          <t>Copiar en Flexxus: Tipo=MB-EXT | Movimiento=INGRESOS BRUTOS MENDOZA | Monto=4.756,38 | Fecha: 28/04/2026</t>
        </is>
      </c>
    </row>
    <row r="19">
      <c r="A19" s="8" t="inlineStr">
        <is>
          <t>PEND-1F5C507A6C47-A001</t>
        </is>
      </c>
      <c r="B19" s="8" t="inlineStr">
        <is>
          <t>ABIERTO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31995644</t>
        </is>
      </c>
      <c r="F19" s="8" t="inlineStr">
        <is>
          <t>INGRESOS BRUTOS MENDOZA</t>
        </is>
      </c>
      <c r="G19" s="8" t="inlineStr">
        <is>
          <t>Retención Ingresos Brutos Mendoza</t>
        </is>
      </c>
      <c r="H19" s="8" t="inlineStr">
        <is>
          <t>Retención de Ingresos Brutos</t>
        </is>
      </c>
      <c r="I19" s="9" t="n">
        <v>4752.83</v>
      </c>
      <c r="J19" s="9" t="inlineStr"/>
      <c r="K19" s="8" t="inlineStr">
        <is>
          <t>Copiar en Flexxus: Tipo=MB-EXT | Movimiento=INGRESOS BRUTOS MENDOZA | Monto=4.752,83 | Fecha: 27/04/2026</t>
        </is>
      </c>
    </row>
    <row r="20">
      <c r="A20" s="8" t="inlineStr">
        <is>
          <t>PEND-86F3A86308BA-A001</t>
        </is>
      </c>
      <c r="B20" s="8" t="inlineStr">
        <is>
          <t>ABIERTO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32032899</t>
        </is>
      </c>
      <c r="F20" s="8" t="inlineStr">
        <is>
          <t>INGRESOS BRUTOS MENDOZA</t>
        </is>
      </c>
      <c r="G20" s="8" t="inlineStr">
        <is>
          <t>Retención Ingresos Brutos Mendoza</t>
        </is>
      </c>
      <c r="H20" s="8" t="inlineStr">
        <is>
          <t>Retención de Ingresos Brutos</t>
        </is>
      </c>
      <c r="I20" s="9" t="n">
        <v>4719.26</v>
      </c>
      <c r="J20" s="9" t="inlineStr"/>
      <c r="K20" s="8" t="inlineStr">
        <is>
          <t>Copiar en Flexxus: Tipo=MB-EXT | Movimiento=INGRESOS BRUTOS MENDOZA | Monto=4.719,26 | Fecha: 27/04/2026</t>
        </is>
      </c>
    </row>
    <row r="21">
      <c r="A21" s="8" t="inlineStr">
        <is>
          <t>PEND-F9A92BA97CF3-A001</t>
        </is>
      </c>
      <c r="B21" s="8" t="inlineStr">
        <is>
          <t>ABIERTO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31995644</t>
        </is>
      </c>
      <c r="F21" s="8" t="inlineStr">
        <is>
          <t>INGRESOS BRUTOS MENDOZA</t>
        </is>
      </c>
      <c r="G21" s="8" t="inlineStr">
        <is>
          <t>Retención Ingresos Brutos Mendoza</t>
        </is>
      </c>
      <c r="H21" s="8" t="inlineStr">
        <is>
          <t>Retención de Ingresos Brutos</t>
        </is>
      </c>
      <c r="I21" s="9" t="n">
        <v>4534.48</v>
      </c>
      <c r="J21" s="9" t="inlineStr"/>
      <c r="K21" s="8" t="inlineStr">
        <is>
          <t>Copiar en Flexxus: Tipo=MB-EXT | Movimiento=INGRESOS BRUTOS MENDOZA | Monto=4.534,48 | Fecha: 27/04/2026</t>
        </is>
      </c>
    </row>
    <row r="22">
      <c r="A22" s="8" t="inlineStr">
        <is>
          <t>PEND-49D61569D761-A001</t>
        </is>
      </c>
      <c r="B22" s="8" t="inlineStr">
        <is>
          <t>ABIERTO</t>
        </is>
      </c>
      <c r="C22" s="8" t="inlineStr">
        <is>
          <t>Banco egreso no Flexxus</t>
        </is>
      </c>
      <c r="D22" s="8" t="inlineStr">
        <is>
          <t>28/04/2026</t>
        </is>
      </c>
      <c r="E22" s="8" t="inlineStr">
        <is>
          <t>31995644</t>
        </is>
      </c>
      <c r="F22" s="8" t="inlineStr">
        <is>
          <t>INGRESOS BRUTOS MENDOZA</t>
        </is>
      </c>
      <c r="G22" s="8" t="inlineStr">
        <is>
          <t>Retención Ingresos Brutos Mendoza</t>
        </is>
      </c>
      <c r="H22" s="8" t="inlineStr">
        <is>
          <t>Retención de Ingresos Brutos</t>
        </is>
      </c>
      <c r="I22" s="9" t="n">
        <v>4311.86</v>
      </c>
      <c r="J22" s="9" t="inlineStr"/>
      <c r="K22" s="8" t="inlineStr">
        <is>
          <t>Copiar en Flexxus: Tipo=MB-EXT | Movimiento=INGRESOS BRUTOS MENDOZA | Monto=4.311,86 | Fecha: 28/04/2026</t>
        </is>
      </c>
    </row>
    <row r="23">
      <c r="A23" s="8" t="inlineStr">
        <is>
          <t>PEND-BDD7364E0F52-A001</t>
        </is>
      </c>
      <c r="B23" s="8" t="inlineStr">
        <is>
          <t>ABIERTO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32032899</t>
        </is>
      </c>
      <c r="F23" s="8" t="inlineStr">
        <is>
          <t>GRAVAMEN LEY 25413 S/CRED</t>
        </is>
      </c>
      <c r="G23" s="8" t="inlineStr">
        <is>
          <t>Anticipo Ganancias Ley 25.413 créditos</t>
        </is>
      </c>
      <c r="H23" s="8" t="inlineStr">
        <is>
          <t>Anticipo Impuesto a las Ganancias</t>
        </is>
      </c>
      <c r="I23" s="9" t="n">
        <v>3885.71</v>
      </c>
      <c r="J23" s="9" t="inlineStr"/>
      <c r="K23" s="8" t="inlineStr">
        <is>
          <t>Copiar en Flexxus: Tipo=MB-EXT | Movimiento=GRAVAMEN LEY 25.413 S/CRED | Monto=3.885,71 | Fecha: 27/04/2026</t>
        </is>
      </c>
    </row>
    <row r="24">
      <c r="A24" s="8" t="inlineStr">
        <is>
          <t>PEND-36F565BEFD07-A001</t>
        </is>
      </c>
      <c r="B24" s="8" t="inlineStr">
        <is>
          <t>ABIERTO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INGRESOS BRUTOS MENDOZA</t>
        </is>
      </c>
      <c r="G24" s="8" t="inlineStr">
        <is>
          <t>Retención Ingresos Brutos Mendoza</t>
        </is>
      </c>
      <c r="H24" s="8" t="inlineStr">
        <is>
          <t>Retención de Ingresos Brutos</t>
        </is>
      </c>
      <c r="I24" s="9" t="n">
        <v>3596.85</v>
      </c>
      <c r="J24" s="9" t="inlineStr"/>
      <c r="K24" s="8" t="inlineStr">
        <is>
          <t>Copiar en Flexxus: Tipo=MB-EXT | Movimiento=INGRESOS BRUTOS MENDOZA | Monto=3.596,85 | Fecha: 27/04/2026</t>
        </is>
      </c>
    </row>
    <row r="25">
      <c r="A25" s="8" t="inlineStr">
        <is>
          <t>PEND-9E365D901A3C-A001</t>
        </is>
      </c>
      <c r="B25" s="8" t="inlineStr">
        <is>
          <t>ABIERTO</t>
        </is>
      </c>
      <c r="C25" s="8" t="inlineStr">
        <is>
          <t>Banco egreso no Flexxus</t>
        </is>
      </c>
      <c r="D25" s="8" t="inlineStr">
        <is>
          <t>28/04/2026</t>
        </is>
      </c>
      <c r="E25" s="8" t="inlineStr">
        <is>
          <t>29841670</t>
        </is>
      </c>
      <c r="F25" s="8" t="inlineStr">
        <is>
          <t>GRAVAMEN LEY 25413 S/CRED</t>
        </is>
      </c>
      <c r="G25" s="8" t="inlineStr">
        <is>
          <t>Anticipo Ganancias Ley 25.413 créditos</t>
        </is>
      </c>
      <c r="H25" s="8" t="inlineStr">
        <is>
          <t>Anticipo Impuesto a las Ganancias</t>
        </is>
      </c>
      <c r="I25" s="9" t="n">
        <v>3567.8</v>
      </c>
      <c r="J25" s="9" t="inlineStr"/>
      <c r="K25" s="8" t="inlineStr">
        <is>
          <t>Copiar en Flexxus: Tipo=MB-EXT | Movimiento=GRAVAMEN LEY 25.413 S/CRED | Monto=3.567,80 | Fecha: 28/04/2026</t>
        </is>
      </c>
    </row>
    <row r="26">
      <c r="A26" s="8" t="inlineStr">
        <is>
          <t>PEND-F0E0F0888D6D-A001</t>
        </is>
      </c>
      <c r="B26" s="8" t="inlineStr">
        <is>
          <t>ABIERTO</t>
        </is>
      </c>
      <c r="C26" s="8" t="inlineStr">
        <is>
          <t>Banco egreso no Flexxus</t>
        </is>
      </c>
      <c r="D26" s="8" t="inlineStr">
        <is>
          <t>28/04/2026</t>
        </is>
      </c>
      <c r="E26" s="8" t="inlineStr">
        <is>
          <t>31995644</t>
        </is>
      </c>
      <c r="F26" s="8" t="inlineStr">
        <is>
          <t>GRAVAMEN LEY 25413 S/CRED</t>
        </is>
      </c>
      <c r="G26" s="8" t="inlineStr">
        <is>
          <t>Anticipo Ganancias Ley 25.413 créditos</t>
        </is>
      </c>
      <c r="H26" s="8" t="inlineStr">
        <is>
          <t>Anticipo Impuesto a las Ganancias</t>
        </is>
      </c>
      <c r="I26" s="9" t="n">
        <v>3164.75</v>
      </c>
      <c r="J26" s="9" t="inlineStr"/>
      <c r="K26" s="8" t="inlineStr">
        <is>
          <t>Copiar en Flexxus: Tipo=MB-EXT | Movimiento=GRAVAMEN LEY 25.413 S/CRED | Monto=3.164,75 | Fecha: 28/04/2026</t>
        </is>
      </c>
    </row>
    <row r="27">
      <c r="A27" s="8" t="inlineStr">
        <is>
          <t>PEND-F3237320915F-A001</t>
        </is>
      </c>
      <c r="B27" s="8" t="inlineStr">
        <is>
          <t>ABIERTO</t>
        </is>
      </c>
      <c r="C27" s="8" t="inlineStr">
        <is>
          <t>Banco egreso no Flexxus</t>
        </is>
      </c>
      <c r="D27" s="8" t="inlineStr">
        <is>
          <t>28/04/2026</t>
        </is>
      </c>
      <c r="E27" s="8" t="inlineStr">
        <is>
          <t>29841705</t>
        </is>
      </c>
      <c r="F27" s="8" t="inlineStr">
        <is>
          <t>GRAVAMEN LEY 25413 S/CRED</t>
        </is>
      </c>
      <c r="G27" s="8" t="inlineStr">
        <is>
          <t>Anticipo Ganancias Ley 25.413 créditos</t>
        </is>
      </c>
      <c r="H27" s="8" t="inlineStr">
        <is>
          <t>Anticipo Impuesto a las Ganancias</t>
        </is>
      </c>
      <c r="I27" s="9" t="n">
        <v>3104.42</v>
      </c>
      <c r="J27" s="9" t="inlineStr"/>
      <c r="K27" s="8" t="inlineStr">
        <is>
          <t>Copiar en Flexxus: Tipo=MB-EXT | Movimiento=GRAVAMEN LEY 25.413 S/CRED | Monto=3.104,42 | Fecha: 28/04/2026</t>
        </is>
      </c>
    </row>
    <row r="28">
      <c r="A28" s="8" t="inlineStr">
        <is>
          <t>PEND-7C35AF9D68C3-A001</t>
        </is>
      </c>
      <c r="B28" s="8" t="inlineStr">
        <is>
          <t>ABIERTO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32032899</t>
        </is>
      </c>
      <c r="F28" s="8" t="inlineStr">
        <is>
          <t>INGRESOS BRUTOS MENDOZA</t>
        </is>
      </c>
      <c r="G28" s="8" t="inlineStr">
        <is>
          <t>Retención Ingresos Brutos Mendoza</t>
        </is>
      </c>
      <c r="H28" s="8" t="inlineStr">
        <is>
          <t>Retención de Ingresos Brutos</t>
        </is>
      </c>
      <c r="I28" s="9" t="n">
        <v>2952.59</v>
      </c>
      <c r="J28" s="9" t="inlineStr"/>
      <c r="K28" s="8" t="inlineStr">
        <is>
          <t>Copiar en Flexxus: Tipo=MB-EXT | Movimiento=INGRESOS BRUTOS MENDOZA | Monto=2.952,59 | Fecha: 27/04/2026</t>
        </is>
      </c>
    </row>
    <row r="29">
      <c r="A29" s="8" t="inlineStr">
        <is>
          <t>PEND-17BCBDBE7794-A001</t>
        </is>
      </c>
      <c r="B29" s="8" t="inlineStr">
        <is>
          <t>ABIERTO</t>
        </is>
      </c>
      <c r="C29" s="8" t="inlineStr">
        <is>
          <t>Banco egreso no Flexxus</t>
        </is>
      </c>
      <c r="D29" s="8" t="inlineStr">
        <is>
          <t>28/04/2026</t>
        </is>
      </c>
      <c r="E29" s="8" t="inlineStr">
        <is>
          <t>29841642</t>
        </is>
      </c>
      <c r="F29" s="8" t="inlineStr">
        <is>
          <t>GRAVAMEN LEY 25413 S/CRED</t>
        </is>
      </c>
      <c r="G29" s="8" t="inlineStr">
        <is>
          <t>Anticipo Ganancias Ley 25.413 créditos</t>
        </is>
      </c>
      <c r="H29" s="8" t="inlineStr">
        <is>
          <t>Anticipo Impuesto a las Ganancias</t>
        </is>
      </c>
      <c r="I29" s="9" t="n">
        <v>2853.83</v>
      </c>
      <c r="J29" s="9" t="inlineStr"/>
      <c r="K29" s="8" t="inlineStr">
        <is>
          <t>Copiar en Flexxus: Tipo=MB-EXT | Movimiento=GRAVAMEN LEY 25.413 S/CRED | Monto=2.853,83 | Fecha: 28/04/2026</t>
        </is>
      </c>
    </row>
    <row r="30">
      <c r="A30" s="8" t="inlineStr">
        <is>
          <t>PEND-FEB05AECAA90-A001</t>
        </is>
      </c>
      <c r="B30" s="8" t="inlineStr">
        <is>
          <t>ABIERTO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31995644</t>
        </is>
      </c>
      <c r="F30" s="8" t="inlineStr">
        <is>
          <t>GRAVAMEN LEY 25413 S/CRED</t>
        </is>
      </c>
      <c r="G30" s="8" t="inlineStr">
        <is>
          <t>Anticipo Ganancias Ley 25.413 créditos</t>
        </is>
      </c>
      <c r="H30" s="8" t="inlineStr">
        <is>
          <t>Anticipo Impuesto a las Ganancias</t>
        </is>
      </c>
      <c r="I30" s="9" t="n">
        <v>2851.7</v>
      </c>
      <c r="J30" s="9" t="inlineStr"/>
      <c r="K30" s="8" t="inlineStr">
        <is>
          <t>Copiar en Flexxus: Tipo=MB-EXT | Movimiento=GRAVAMEN LEY 25.413 S/CRED | Monto=2.851,70 | Fecha: 27/04/2026</t>
        </is>
      </c>
    </row>
    <row r="31">
      <c r="A31" s="8" t="inlineStr">
        <is>
          <t>PEND-5A3416E423AD-A001</t>
        </is>
      </c>
      <c r="B31" s="8" t="inlineStr">
        <is>
          <t>ABIERTO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32032899</t>
        </is>
      </c>
      <c r="F31" s="8" t="inlineStr">
        <is>
          <t>GRAVAMEN LEY 25413 S/CRED</t>
        </is>
      </c>
      <c r="G31" s="8" t="inlineStr">
        <is>
          <t>Anticipo Ganancias Ley 25.413 créditos</t>
        </is>
      </c>
      <c r="H31" s="8" t="inlineStr">
        <is>
          <t>Anticipo Impuesto a las Ganancias</t>
        </is>
      </c>
      <c r="I31" s="9" t="n">
        <v>2831.56</v>
      </c>
      <c r="J31" s="9" t="inlineStr"/>
      <c r="K31" s="8" t="inlineStr">
        <is>
          <t>Copiar en Flexxus: Tipo=MB-EXT | Movimiento=GRAVAMEN LEY 25.413 S/CRED | Monto=2.831,56 | Fecha: 27/04/2026</t>
        </is>
      </c>
    </row>
    <row r="32">
      <c r="A32" s="8" t="inlineStr">
        <is>
          <t>PEND-B6A0207431DA-A001</t>
        </is>
      </c>
      <c r="B32" s="8" t="inlineStr">
        <is>
          <t>ABIERTO</t>
        </is>
      </c>
      <c r="C32" s="8" t="inlineStr">
        <is>
          <t>Banco egreso no Flexxus</t>
        </is>
      </c>
      <c r="D32" s="8" t="inlineStr">
        <is>
          <t>28/04/2026</t>
        </is>
      </c>
      <c r="E32" s="8" t="inlineStr">
        <is>
          <t>29841683</t>
        </is>
      </c>
      <c r="F32" s="8" t="inlineStr">
        <is>
          <t>INGRESOS BRUTOS MENDOZA</t>
        </is>
      </c>
      <c r="G32" s="8" t="inlineStr">
        <is>
          <t>Retención Ingresos Brutos Mendoza</t>
        </is>
      </c>
      <c r="H32" s="8" t="inlineStr">
        <is>
          <t>Retención de Ingresos Brutos</t>
        </is>
      </c>
      <c r="I32" s="9" t="n">
        <v>2782.07</v>
      </c>
      <c r="J32" s="9" t="inlineStr"/>
      <c r="K32" s="8" t="inlineStr">
        <is>
          <t>Copiar en Flexxus: Tipo=MB-EXT | Movimiento=INGRESOS BRUTOS MENDOZA | Monto=2.782,07 | Fecha: 28/04/2026</t>
        </is>
      </c>
    </row>
    <row r="33">
      <c r="A33" s="8" t="inlineStr">
        <is>
          <t>PEND-843FB60D42C8-A001</t>
        </is>
      </c>
      <c r="B33" s="8" t="inlineStr">
        <is>
          <t>ABIERTO</t>
        </is>
      </c>
      <c r="C33" s="8" t="inlineStr">
        <is>
          <t>Banco egreso no Flexxus</t>
        </is>
      </c>
      <c r="D33" s="8" t="inlineStr">
        <is>
          <t>28/04/2026</t>
        </is>
      </c>
      <c r="E33" s="8" t="inlineStr">
        <is>
          <t>29841683</t>
        </is>
      </c>
      <c r="F33" s="8" t="inlineStr">
        <is>
          <t>INGRESOS BRUTOS MENDOZA</t>
        </is>
      </c>
      <c r="G33" s="8" t="inlineStr">
        <is>
          <t>Retención Ingresos Brutos Mendoza</t>
        </is>
      </c>
      <c r="H33" s="8" t="inlineStr">
        <is>
          <t>Retención de Ingresos Brutos</t>
        </is>
      </c>
      <c r="I33" s="9" t="n">
        <v>2746.52</v>
      </c>
      <c r="J33" s="9" t="inlineStr"/>
      <c r="K33" s="8" t="inlineStr">
        <is>
          <t>Copiar en Flexxus: Tipo=MB-EXT | Movimiento=INGRESOS BRUTOS MENDOZA | Monto=2.746,52 | Fecha: 28/04/2026</t>
        </is>
      </c>
    </row>
    <row r="34">
      <c r="A34" s="8" t="inlineStr">
        <is>
          <t>PEND-A6F113B62393-A001</t>
        </is>
      </c>
      <c r="B34" s="8" t="inlineStr">
        <is>
          <t>ABIERTO</t>
        </is>
      </c>
      <c r="C34" s="8" t="inlineStr">
        <is>
          <t>Banco egreso no Flexxus</t>
        </is>
      </c>
      <c r="D34" s="8" t="inlineStr">
        <is>
          <t>28/04/2026</t>
        </is>
      </c>
      <c r="E34" s="8" t="inlineStr">
        <is>
          <t>32032899</t>
        </is>
      </c>
      <c r="F34" s="8" t="inlineStr">
        <is>
          <t>INGRESOS BRUTOS MENDOZA</t>
        </is>
      </c>
      <c r="G34" s="8" t="inlineStr">
        <is>
          <t>Retención Ingresos Brutos Mendoza</t>
        </is>
      </c>
      <c r="H34" s="8" t="inlineStr">
        <is>
          <t>Retención de Ingresos Brutos</t>
        </is>
      </c>
      <c r="I34" s="9" t="n">
        <v>2739.75</v>
      </c>
      <c r="J34" s="9" t="inlineStr"/>
      <c r="K34" s="8" t="inlineStr">
        <is>
          <t>Copiar en Flexxus: Tipo=MB-EXT | Movimiento=INGRESOS BRUTOS MENDOZA | Monto=2.739,75 | Fecha: 28/04/2026</t>
        </is>
      </c>
    </row>
    <row r="35">
      <c r="A35" s="8" t="inlineStr">
        <is>
          <t>PEND-489F28015531-A001</t>
        </is>
      </c>
      <c r="B35" s="8" t="inlineStr">
        <is>
          <t>ABIERTO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31995644</t>
        </is>
      </c>
      <c r="F35" s="8" t="inlineStr">
        <is>
          <t>GRAVAMEN LEY 25413 S/CRED</t>
        </is>
      </c>
      <c r="G35" s="8" t="inlineStr">
        <is>
          <t>Anticipo Ganancias Ley 25.413 créditos</t>
        </is>
      </c>
      <c r="H35" s="8" t="inlineStr">
        <is>
          <t>Anticipo Impuesto a las Ganancias</t>
        </is>
      </c>
      <c r="I35" s="9" t="n">
        <v>2720.69</v>
      </c>
      <c r="J35" s="9" t="inlineStr"/>
      <c r="K35" s="8" t="inlineStr">
        <is>
          <t>Copiar en Flexxus: Tipo=MB-EXT | Movimiento=GRAVAMEN LEY 25.413 S/CRED | Monto=2.720,69 | Fecha: 27/04/2026</t>
        </is>
      </c>
    </row>
    <row r="36">
      <c r="A36" s="8" t="inlineStr">
        <is>
          <t>PEND-4DB9DF369A7B-A001</t>
        </is>
      </c>
      <c r="B36" s="8" t="inlineStr">
        <is>
          <t>ABIERTO</t>
        </is>
      </c>
      <c r="C36" s="8" t="inlineStr">
        <is>
          <t>Banco egreso no Flexxus</t>
        </is>
      </c>
      <c r="D36" s="8" t="inlineStr">
        <is>
          <t>28/04/2026</t>
        </is>
      </c>
      <c r="E36" s="8" t="inlineStr">
        <is>
          <t>31995644</t>
        </is>
      </c>
      <c r="F36" s="8" t="inlineStr">
        <is>
          <t>GRAVAMEN LEY 25413 S/CRED</t>
        </is>
      </c>
      <c r="G36" s="8" t="inlineStr">
        <is>
          <t>Anticipo Ganancias Ley 25.413 créditos</t>
        </is>
      </c>
      <c r="H36" s="8" t="inlineStr">
        <is>
          <t>Anticipo Impuesto a las Ganancias</t>
        </is>
      </c>
      <c r="I36" s="9" t="n">
        <v>2587.12</v>
      </c>
      <c r="J36" s="9" t="inlineStr"/>
      <c r="K36" s="8" t="inlineStr">
        <is>
          <t>Copiar en Flexxus: Tipo=MB-EXT | Movimiento=GRAVAMEN LEY 25.413 S/CRED | Monto=2.587,12 | Fecha: 28/04/2026</t>
        </is>
      </c>
    </row>
    <row r="37">
      <c r="A37" s="8" t="inlineStr">
        <is>
          <t>PEND-45CC5877C6D6-A001</t>
        </is>
      </c>
      <c r="B37" s="8" t="inlineStr">
        <is>
          <t>ABIERTO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31995644</t>
        </is>
      </c>
      <c r="F37" s="8" t="inlineStr">
        <is>
          <t>GRAVAMEN LEY 25413 S/CRED</t>
        </is>
      </c>
      <c r="G37" s="8" t="inlineStr">
        <is>
          <t>Anticipo Ganancias Ley 25.413 créditos</t>
        </is>
      </c>
      <c r="H37" s="8" t="inlineStr">
        <is>
          <t>Anticipo Impuesto a las Ganancias</t>
        </is>
      </c>
      <c r="I37" s="9" t="n">
        <v>2158.11</v>
      </c>
      <c r="J37" s="9" t="inlineStr"/>
      <c r="K37" s="8" t="inlineStr">
        <is>
          <t>Copiar en Flexxus: Tipo=MB-EXT | Movimiento=GRAVAMEN LEY 25.413 S/CRED | Monto=2.158,11 | Fecha: 27/04/2026</t>
        </is>
      </c>
    </row>
    <row r="38">
      <c r="A38" s="8" t="inlineStr">
        <is>
          <t>PEND-B270EFDE0D7A-A001</t>
        </is>
      </c>
      <c r="B38" s="8" t="inlineStr">
        <is>
          <t>ABIERTO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32032899</t>
        </is>
      </c>
      <c r="F38" s="8" t="inlineStr">
        <is>
          <t>INGRESOS BRUTOS MENDOZA</t>
        </is>
      </c>
      <c r="G38" s="8" t="inlineStr">
        <is>
          <t>Retención Ingresos Brutos Mendoza</t>
        </is>
      </c>
      <c r="H38" s="8" t="inlineStr">
        <is>
          <t>Retención de Ingresos Brutos</t>
        </is>
      </c>
      <c r="I38" s="9" t="n">
        <v>1915.54</v>
      </c>
      <c r="J38" s="9" t="inlineStr"/>
      <c r="K38" s="8" t="inlineStr">
        <is>
          <t>Copiar en Flexxus: Tipo=MB-EXT | Movimiento=INGRESOS BRUTOS MENDOZA | Monto=1.915,54 | Fecha: 27/04/2026</t>
        </is>
      </c>
    </row>
    <row r="39">
      <c r="A39" s="8" t="inlineStr">
        <is>
          <t>PEND-FD37153FEDFE-A001</t>
        </is>
      </c>
      <c r="B39" s="8" t="inlineStr">
        <is>
          <t>ABIERTO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32032899</t>
        </is>
      </c>
      <c r="F39" s="8" t="inlineStr">
        <is>
          <t>GRAVAMEN LEY 25413 S/CRED</t>
        </is>
      </c>
      <c r="G39" s="8" t="inlineStr">
        <is>
          <t>Anticipo Ganancias Ley 25.413 créditos</t>
        </is>
      </c>
      <c r="H39" s="8" t="inlineStr">
        <is>
          <t>Anticipo Impuesto a las Ganancias</t>
        </is>
      </c>
      <c r="I39" s="9" t="n">
        <v>1771.56</v>
      </c>
      <c r="J39" s="9" t="inlineStr"/>
      <c r="K39" s="8" t="inlineStr">
        <is>
          <t>Copiar en Flexxus: Tipo=MB-EXT | Movimiento=GRAVAMEN LEY 25.413 S/CRED | Monto=1.771,56 | Fecha: 27/04/2026</t>
        </is>
      </c>
    </row>
    <row r="40">
      <c r="A40" s="8" t="inlineStr">
        <is>
          <t>PEND-B4AFFC3931AD-A001</t>
        </is>
      </c>
      <c r="B40" s="8" t="inlineStr">
        <is>
          <t>ABIERTO</t>
        </is>
      </c>
      <c r="C40" s="8" t="inlineStr">
        <is>
          <t>Banco egreso no Flexxus</t>
        </is>
      </c>
      <c r="D40" s="8" t="inlineStr">
        <is>
          <t>28/04/2026</t>
        </is>
      </c>
      <c r="E40" s="8" t="inlineStr">
        <is>
          <t>29841683</t>
        </is>
      </c>
      <c r="F40" s="8" t="inlineStr">
        <is>
          <t>GRAVAMEN LEY 25413 S/CRED</t>
        </is>
      </c>
      <c r="G40" s="8" t="inlineStr">
        <is>
          <t>Anticipo Ganancias Ley 25.413 créditos</t>
        </is>
      </c>
      <c r="H40" s="8" t="inlineStr">
        <is>
          <t>Anticipo Impuesto a las Ganancias</t>
        </is>
      </c>
      <c r="I40" s="9" t="n">
        <v>1669.24</v>
      </c>
      <c r="J40" s="9" t="inlineStr"/>
      <c r="K40" s="8" t="inlineStr">
        <is>
          <t>Copiar en Flexxus: Tipo=MB-EXT | Movimiento=GRAVAMEN LEY 25.413 S/CRED | Monto=1.669,24 | Fecha: 28/04/2026</t>
        </is>
      </c>
    </row>
    <row r="41">
      <c r="A41" s="8" t="inlineStr">
        <is>
          <t>PEND-C5F08F083BA9-A001</t>
        </is>
      </c>
      <c r="B41" s="8" t="inlineStr">
        <is>
          <t>ABIERTO</t>
        </is>
      </c>
      <c r="C41" s="8" t="inlineStr">
        <is>
          <t>Banco egreso no Flexxus</t>
        </is>
      </c>
      <c r="D41" s="8" t="inlineStr">
        <is>
          <t>28/04/2026</t>
        </is>
      </c>
      <c r="E41" s="8" t="inlineStr">
        <is>
          <t>29841683</t>
        </is>
      </c>
      <c r="F41" s="8" t="inlineStr">
        <is>
          <t>GRAVAMEN LEY 25413 S/CRED</t>
        </is>
      </c>
      <c r="G41" s="8" t="inlineStr">
        <is>
          <t>Anticipo Ganancias Ley 25.413 créditos</t>
        </is>
      </c>
      <c r="H41" s="8" t="inlineStr">
        <is>
          <t>Anticipo Impuesto a las Ganancias</t>
        </is>
      </c>
      <c r="I41" s="9" t="n">
        <v>1647.91</v>
      </c>
      <c r="J41" s="9" t="inlineStr"/>
      <c r="K41" s="8" t="inlineStr">
        <is>
          <t>Copiar en Flexxus: Tipo=MB-EXT | Movimiento=GRAVAMEN LEY 25.413 S/CRED | Monto=1.647,91 | Fecha: 28/04/2026</t>
        </is>
      </c>
    </row>
    <row r="42">
      <c r="A42" s="8" t="inlineStr">
        <is>
          <t>PEND-4AFF65A03702-A001</t>
        </is>
      </c>
      <c r="B42" s="8" t="inlineStr">
        <is>
          <t>ABIERTO</t>
        </is>
      </c>
      <c r="C42" s="8" t="inlineStr">
        <is>
          <t>Banco egreso no Flexxus</t>
        </is>
      </c>
      <c r="D42" s="8" t="inlineStr">
        <is>
          <t>28/04/2026</t>
        </is>
      </c>
      <c r="E42" s="8" t="inlineStr">
        <is>
          <t>32032899</t>
        </is>
      </c>
      <c r="F42" s="8" t="inlineStr">
        <is>
          <t>GRAVAMEN LEY 25413 S/CRED</t>
        </is>
      </c>
      <c r="G42" s="8" t="inlineStr">
        <is>
          <t>Anticipo Ganancias Ley 25.413 créditos</t>
        </is>
      </c>
      <c r="H42" s="8" t="inlineStr">
        <is>
          <t>Anticipo Impuesto a las Ganancias</t>
        </is>
      </c>
      <c r="I42" s="9" t="n">
        <v>1643.85</v>
      </c>
      <c r="J42" s="9" t="inlineStr"/>
      <c r="K42" s="8" t="inlineStr">
        <is>
          <t>Copiar en Flexxus: Tipo=MB-EXT | Movimiento=GRAVAMEN LEY 25.413 S/CRED | Monto=1.643,85 | Fecha: 28/04/2026</t>
        </is>
      </c>
    </row>
    <row r="43">
      <c r="A43" s="8" t="inlineStr">
        <is>
          <t>PEND-3D1B794D5BEB-A001</t>
        </is>
      </c>
      <c r="B43" s="8" t="inlineStr">
        <is>
          <t>ABIERTO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31995644</t>
        </is>
      </c>
      <c r="F43" s="8" t="inlineStr">
        <is>
          <t>INGRESOS BRUTOS MENDOZA</t>
        </is>
      </c>
      <c r="G43" s="8" t="inlineStr">
        <is>
          <t>Retención Ingresos Brutos Mendoza</t>
        </is>
      </c>
      <c r="H43" s="8" t="inlineStr">
        <is>
          <t>Retención de Ingresos Brutos</t>
        </is>
      </c>
      <c r="I43" s="9" t="n">
        <v>1549.62</v>
      </c>
      <c r="J43" s="9" t="inlineStr"/>
      <c r="K43" s="8" t="inlineStr">
        <is>
          <t>Copiar en Flexxus: Tipo=MB-EXT | Movimiento=INGRESOS BRUTOS MENDOZA | Monto=1.549,62 | Fecha: 27/04/2026</t>
        </is>
      </c>
    </row>
    <row r="44">
      <c r="A44" s="8" t="inlineStr">
        <is>
          <t>PEND-D7C53E61FDCD-A001</t>
        </is>
      </c>
      <c r="B44" s="8" t="inlineStr">
        <is>
          <t>ABIERTO</t>
        </is>
      </c>
      <c r="C44" s="8" t="inlineStr">
        <is>
          <t>Banco egreso no Flexxus</t>
        </is>
      </c>
      <c r="D44" s="8" t="inlineStr">
        <is>
          <t>28/04/2026</t>
        </is>
      </c>
      <c r="E44" s="8" t="inlineStr">
        <is>
          <t>32032899</t>
        </is>
      </c>
      <c r="F44" s="8" t="inlineStr">
        <is>
          <t>INGRESOS BRUTOS MENDOZA</t>
        </is>
      </c>
      <c r="G44" s="8" t="inlineStr">
        <is>
          <t>Retención Ingresos Brutos Mendoza</t>
        </is>
      </c>
      <c r="H44" s="8" t="inlineStr">
        <is>
          <t>Retención de Ingresos Brutos</t>
        </is>
      </c>
      <c r="I44" s="9" t="n">
        <v>1520.29</v>
      </c>
      <c r="J44" s="9" t="inlineStr"/>
      <c r="K44" s="8" t="inlineStr">
        <is>
          <t>Copiar en Flexxus: Tipo=MB-EXT | Movimiento=INGRESOS BRUTOS MENDOZA | Monto=1.520,29 | Fecha: 28/04/2026</t>
        </is>
      </c>
    </row>
    <row r="45">
      <c r="A45" s="8" t="inlineStr">
        <is>
          <t>PEND-736200E03476-A001</t>
        </is>
      </c>
      <c r="B45" s="8" t="inlineStr">
        <is>
          <t>ABIERTO</t>
        </is>
      </c>
      <c r="C45" s="8" t="inlineStr">
        <is>
          <t>Banco egreso no Flexxus</t>
        </is>
      </c>
      <c r="D45" s="8" t="inlineStr">
        <is>
          <t>28/04/2026</t>
        </is>
      </c>
      <c r="E45" s="8" t="inlineStr">
        <is>
          <t>29841627</t>
        </is>
      </c>
      <c r="F45" s="8" t="inlineStr">
        <is>
          <t>INGRESOS BRUTOS MENDOZA</t>
        </is>
      </c>
      <c r="G45" s="8" t="inlineStr">
        <is>
          <t>Retención Ingresos Brutos Mendoza</t>
        </is>
      </c>
      <c r="H45" s="8" t="inlineStr">
        <is>
          <t>Retención de Ingresos Brutos</t>
        </is>
      </c>
      <c r="I45" s="9" t="n">
        <v>1502.6</v>
      </c>
      <c r="J45" s="9" t="inlineStr"/>
      <c r="K45" s="8" t="inlineStr">
        <is>
          <t>Copiar en Flexxus: Tipo=MB-EXT | Movimiento=INGRESOS BRUTOS MENDOZA | Monto=1.502,60 | Fecha: 28/04/2026</t>
        </is>
      </c>
    </row>
    <row r="46">
      <c r="A46" s="8" t="inlineStr">
        <is>
          <t>PEND-AA0A7F36A389-A001</t>
        </is>
      </c>
      <c r="B46" s="8" t="inlineStr">
        <is>
          <t>ABIERTO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108756</t>
        </is>
      </c>
      <c r="F46" s="8" t="inlineStr">
        <is>
          <t>INGRESOS BRUTOS MENDOZA</t>
        </is>
      </c>
      <c r="G46" s="8" t="inlineStr">
        <is>
          <t>Retención Ingresos Brutos Mendoza</t>
        </is>
      </c>
      <c r="H46" s="8" t="inlineStr">
        <is>
          <t>Retención de Ingresos Brutos</t>
        </is>
      </c>
      <c r="I46" s="9" t="n">
        <v>1494.39</v>
      </c>
      <c r="J46" s="9" t="inlineStr"/>
      <c r="K46" s="8" t="inlineStr">
        <is>
          <t>Copiar en Flexxus: Tipo=MB-EXT | Movimiento=INGRESOS BRUTOS MENDOZA | Monto=1.494,39 | Fecha: 27/04/2026</t>
        </is>
      </c>
    </row>
    <row r="47">
      <c r="A47" s="8" t="inlineStr">
        <is>
          <t>PEND-B28FC5C0CD27-A001</t>
        </is>
      </c>
      <c r="B47" s="8" t="inlineStr">
        <is>
          <t>ABIERTO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32032899</t>
        </is>
      </c>
      <c r="F47" s="8" t="inlineStr">
        <is>
          <t>INGRESOS BRUTOS MENDOZA</t>
        </is>
      </c>
      <c r="G47" s="8" t="inlineStr">
        <is>
          <t>Retención Ingresos Brutos Mendoza</t>
        </is>
      </c>
      <c r="H47" s="8" t="inlineStr">
        <is>
          <t>Retención de Ingresos Brutos</t>
        </is>
      </c>
      <c r="I47" s="9" t="n">
        <v>1401.99</v>
      </c>
      <c r="J47" s="9" t="inlineStr"/>
      <c r="K47" s="8" t="inlineStr">
        <is>
          <t>Copiar en Flexxus: Tipo=MB-EXT | Movimiento=INGRESOS BRUTOS MENDOZA | Monto=1.401,99 | Fecha: 27/04/2026</t>
        </is>
      </c>
    </row>
    <row r="48">
      <c r="A48" s="8" t="inlineStr">
        <is>
          <t>PEND-AEA9CE45E68B-A001</t>
        </is>
      </c>
      <c r="B48" s="8" t="inlineStr">
        <is>
          <t>ABIERTO</t>
        </is>
      </c>
      <c r="C48" s="8" t="inlineStr">
        <is>
          <t>Banco egreso no Flexxus</t>
        </is>
      </c>
      <c r="D48" s="8" t="inlineStr">
        <is>
          <t>28/04/2026</t>
        </is>
      </c>
      <c r="E48" s="8" t="inlineStr">
        <is>
          <t>29841705</t>
        </is>
      </c>
      <c r="F48" s="8" t="inlineStr">
        <is>
          <t>INGRESOS BRUTOS MENDOZA</t>
        </is>
      </c>
      <c r="G48" s="8" t="inlineStr">
        <is>
          <t>Retención Ingresos Brutos Mendoza</t>
        </is>
      </c>
      <c r="H48" s="8" t="inlineStr">
        <is>
          <t>Retención de Ingresos Brutos</t>
        </is>
      </c>
      <c r="I48" s="9" t="n">
        <v>1374.17</v>
      </c>
      <c r="J48" s="9" t="inlineStr"/>
      <c r="K48" s="8" t="inlineStr">
        <is>
          <t>Copiar en Flexxus: Tipo=MB-EXT | Movimiento=INGRESOS BRUTOS MENDOZA | Monto=1.374,17 | Fecha: 28/04/2026</t>
        </is>
      </c>
    </row>
    <row r="49">
      <c r="A49" s="8" t="inlineStr">
        <is>
          <t>PEND-EBDB9367DE22-A001</t>
        </is>
      </c>
      <c r="B49" s="8" t="inlineStr">
        <is>
          <t>ABIERTO</t>
        </is>
      </c>
      <c r="C49" s="8" t="inlineStr">
        <is>
          <t>Banco egreso no Flexxus</t>
        </is>
      </c>
      <c r="D49" s="8" t="inlineStr">
        <is>
          <t>28/04/2026</t>
        </is>
      </c>
      <c r="E49" s="8" t="inlineStr">
        <is>
          <t>31995644</t>
        </is>
      </c>
      <c r="F49" s="8" t="inlineStr">
        <is>
          <t>INGRESOS BRUTOS MENDOZA</t>
        </is>
      </c>
      <c r="G49" s="8" t="inlineStr">
        <is>
          <t>Retención Ingresos Brutos Mendoza</t>
        </is>
      </c>
      <c r="H49" s="8" t="inlineStr">
        <is>
          <t>Retención de Ingresos Brutos</t>
        </is>
      </c>
      <c r="I49" s="9" t="n">
        <v>1356.04</v>
      </c>
      <c r="J49" s="9" t="inlineStr"/>
      <c r="K49" s="8" t="inlineStr">
        <is>
          <t>Copiar en Flexxus: Tipo=MB-EXT | Movimiento=INGRESOS BRUTOS MENDOZA | Monto=1.356,04 | Fecha: 28/04/2026</t>
        </is>
      </c>
    </row>
    <row r="50">
      <c r="A50" s="8" t="inlineStr">
        <is>
          <t>PEND-8DCB46EF0BAF-A001</t>
        </is>
      </c>
      <c r="B50" s="8" t="inlineStr">
        <is>
          <t>ABIERTO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29841642</t>
        </is>
      </c>
      <c r="F50" s="8" t="inlineStr">
        <is>
          <t>INGRESOS BRUTOS MENDOZA</t>
        </is>
      </c>
      <c r="G50" s="8" t="inlineStr">
        <is>
          <t>Retención Ingresos Brutos Mendoza</t>
        </is>
      </c>
      <c r="H50" s="8" t="inlineStr">
        <is>
          <t>Retención de Ingresos Brutos</t>
        </is>
      </c>
      <c r="I50" s="9" t="n">
        <v>1332.68</v>
      </c>
      <c r="J50" s="9" t="inlineStr"/>
      <c r="K50" s="8" t="inlineStr">
        <is>
          <t>Copiar en Flexxus: Tipo=MB-EXT | Movimiento=INGRESOS BRUTOS MENDOZA | Monto=1.332,68 | Fecha: 27/04/2026</t>
        </is>
      </c>
    </row>
    <row r="51">
      <c r="A51" s="8" t="inlineStr">
        <is>
          <t>PEND-6BEB4ED59945-A001</t>
        </is>
      </c>
      <c r="B51" s="8" t="inlineStr">
        <is>
          <t>ABIERTO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32032899</t>
        </is>
      </c>
      <c r="F51" s="8" t="inlineStr">
        <is>
          <t>INGRESOS BRUTOS MENDOZA</t>
        </is>
      </c>
      <c r="G51" s="8" t="inlineStr">
        <is>
          <t>Retención Ingresos Brutos Mendoza</t>
        </is>
      </c>
      <c r="H51" s="8" t="inlineStr">
        <is>
          <t>Retención de Ingresos Brutos</t>
        </is>
      </c>
      <c r="I51" s="9" t="n">
        <v>1255.34</v>
      </c>
      <c r="J51" s="9" t="inlineStr"/>
      <c r="K51" s="8" t="inlineStr">
        <is>
          <t>Copiar en Flexxus: Tipo=MB-EXT | Movimiento=INGRESOS BRUTOS MENDOZA | Monto=1.255,34 | Fecha: 27/04/2026</t>
        </is>
      </c>
    </row>
    <row r="52">
      <c r="A52" s="8" t="inlineStr">
        <is>
          <t>PEND-9048D4E25C5F-A001</t>
        </is>
      </c>
      <c r="B52" s="8" t="inlineStr">
        <is>
          <t>ABIERTO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108793</t>
        </is>
      </c>
      <c r="F52" s="8" t="inlineStr">
        <is>
          <t>INGRESOS BRUTOS MENDOZA</t>
        </is>
      </c>
      <c r="G52" s="8" t="inlineStr">
        <is>
          <t>Retención Ingresos Brutos Mendoza</t>
        </is>
      </c>
      <c r="H52" s="8" t="inlineStr">
        <is>
          <t>Retención de Ingresos Brutos</t>
        </is>
      </c>
      <c r="I52" s="9" t="n">
        <v>1214.13</v>
      </c>
      <c r="J52" s="9" t="inlineStr"/>
      <c r="K52" s="8" t="inlineStr">
        <is>
          <t>Copiar en Flexxus: Tipo=MB-EXT | Movimiento=INGRESOS BRUTOS MENDOZA | Monto=1.214,13 | Fecha: 27/04/2026</t>
        </is>
      </c>
    </row>
    <row r="53">
      <c r="A53" s="8" t="inlineStr">
        <is>
          <t>PEND-121FAEF48C78-A001</t>
        </is>
      </c>
      <c r="B53" s="8" t="inlineStr">
        <is>
          <t>ABIERTO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29841670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1160.78</v>
      </c>
      <c r="J53" s="9" t="inlineStr"/>
      <c r="K53" s="8" t="inlineStr">
        <is>
          <t>Copiar en Flexxus: Tipo=MB-EXT | Movimiento=INGRESOS BRUTOS MENDOZA | Monto=1.160,78 | Fecha: 27/04/2026</t>
        </is>
      </c>
    </row>
    <row r="54">
      <c r="A54" s="8" t="inlineStr">
        <is>
          <t>PEND-3064D82744E6-A001</t>
        </is>
      </c>
      <c r="B54" s="8" t="inlineStr">
        <is>
          <t>ABIERTO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32032899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1149.32</v>
      </c>
      <c r="J54" s="9" t="inlineStr"/>
      <c r="K54" s="8" t="inlineStr">
        <is>
          <t>Copiar en Flexxus: Tipo=MB-EXT | Movimiento=GRAVAMEN LEY 25.413 S/CRED | Monto=1.149,32 | Fecha: 27/04/2026</t>
        </is>
      </c>
    </row>
    <row r="55">
      <c r="A55" s="8" t="inlineStr">
        <is>
          <t>PEND-9C2701DEEDF6-A001</t>
        </is>
      </c>
      <c r="B55" s="8" t="inlineStr">
        <is>
          <t>ABIERTO</t>
        </is>
      </c>
      <c r="C55" s="8" t="inlineStr">
        <is>
          <t>Banco egreso no Flexxus</t>
        </is>
      </c>
      <c r="D55" s="8" t="inlineStr">
        <is>
          <t>28/04/2026</t>
        </is>
      </c>
      <c r="E55" s="8" t="inlineStr">
        <is>
          <t>29841670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1148.93</v>
      </c>
      <c r="J55" s="9" t="inlineStr"/>
      <c r="K55" s="8" t="inlineStr">
        <is>
          <t>Copiar en Flexxus: Tipo=MB-EXT | Movimiento=INGRESOS BRUTOS MENDOZA | Monto=1.148,93 | Fecha: 28/04/2026</t>
        </is>
      </c>
    </row>
    <row r="56">
      <c r="A56" s="8" t="inlineStr">
        <is>
          <t>PEND-A467979A5D06-A001</t>
        </is>
      </c>
      <c r="B56" s="8" t="inlineStr">
        <is>
          <t>ABIERTO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108754</t>
        </is>
      </c>
      <c r="F56" s="8" t="inlineStr">
        <is>
          <t>INGRESOS BRUTOS MENDOZA</t>
        </is>
      </c>
      <c r="G56" s="8" t="inlineStr">
        <is>
          <t>Retención Ingresos Brutos Mendoza</t>
        </is>
      </c>
      <c r="H56" s="8" t="inlineStr">
        <is>
          <t>Retención de Ingresos Brutos</t>
        </is>
      </c>
      <c r="I56" s="9" t="n">
        <v>1136.89</v>
      </c>
      <c r="J56" s="9" t="inlineStr"/>
      <c r="K56" s="8" t="inlineStr">
        <is>
          <t>Copiar en Flexxus: Tipo=MB-EXT | Movimiento=INGRESOS BRUTOS MENDOZA | Monto=1.136,89 | Fecha: 27/04/2026</t>
        </is>
      </c>
    </row>
    <row r="57">
      <c r="A57" s="8" t="inlineStr">
        <is>
          <t>PEND-21ACE675051D-A001</t>
        </is>
      </c>
      <c r="B57" s="8" t="inlineStr">
        <is>
          <t>ABIERTO</t>
        </is>
      </c>
      <c r="C57" s="8" t="inlineStr">
        <is>
          <t>Banco egreso no Flexxus</t>
        </is>
      </c>
      <c r="D57" s="8" t="inlineStr">
        <is>
          <t>28/04/2026</t>
        </is>
      </c>
      <c r="E57" s="8" t="inlineStr">
        <is>
          <t>32032899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1132.13</v>
      </c>
      <c r="J57" s="9" t="inlineStr"/>
      <c r="K57" s="8" t="inlineStr">
        <is>
          <t>Copiar en Flexxus: Tipo=MB-EXT | Movimiento=INGRESOS BRUTOS MENDOZA | Monto=1.132,13 | Fecha: 28/04/2026</t>
        </is>
      </c>
    </row>
    <row r="58">
      <c r="A58" s="8" t="inlineStr">
        <is>
          <t>PEND-A4BA08948AF1-A001</t>
        </is>
      </c>
      <c r="B58" s="8" t="inlineStr">
        <is>
          <t>ABIERTO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31995644</t>
        </is>
      </c>
      <c r="F58" s="8" t="inlineStr">
        <is>
          <t>INGRESOS BRUTOS MENDOZA</t>
        </is>
      </c>
      <c r="G58" s="8" t="inlineStr">
        <is>
          <t>Retención Ingresos Brutos Mendoza</t>
        </is>
      </c>
      <c r="H58" s="8" t="inlineStr">
        <is>
          <t>Retención de Ingresos Brutos</t>
        </is>
      </c>
      <c r="I58" s="9" t="n">
        <v>1100.54</v>
      </c>
      <c r="J58" s="9" t="inlineStr"/>
      <c r="K58" s="8" t="inlineStr">
        <is>
          <t>Copiar en Flexxus: Tipo=MB-EXT | Movimiento=INGRESOS BRUTOS MENDOZA | Monto=1.100,54 | Fecha: 27/04/2026</t>
        </is>
      </c>
    </row>
    <row r="59">
      <c r="A59" s="8" t="inlineStr">
        <is>
          <t>PEND-31B7B48BE405-A001</t>
        </is>
      </c>
      <c r="B59" s="8" t="inlineStr">
        <is>
          <t>ABIERTO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108762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1093.31</v>
      </c>
      <c r="J59" s="9" t="inlineStr"/>
      <c r="K59" s="8" t="inlineStr">
        <is>
          <t>Copiar en Flexxus: Tipo=MB-EXT | Movimiento=INGRESOS BRUTOS MENDOZA | Monto=1.093,31 | Fecha: 27/04/2026</t>
        </is>
      </c>
    </row>
    <row r="60">
      <c r="A60" s="8" t="inlineStr">
        <is>
          <t>PEND-1151C052366F-A001</t>
        </is>
      </c>
      <c r="B60" s="8" t="inlineStr">
        <is>
          <t>ABIERTO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108785</t>
        </is>
      </c>
      <c r="F60" s="8" t="inlineStr">
        <is>
          <t>INGRESOS BRUTOS MENDOZA</t>
        </is>
      </c>
      <c r="G60" s="8" t="inlineStr">
        <is>
          <t>Retención Ingresos Brutos Mendoza</t>
        </is>
      </c>
      <c r="H60" s="8" t="inlineStr">
        <is>
          <t>Retención de Ingresos Brutos</t>
        </is>
      </c>
      <c r="I60" s="9" t="n">
        <v>1066.08</v>
      </c>
      <c r="J60" s="9" t="inlineStr"/>
      <c r="K60" s="8" t="inlineStr">
        <is>
          <t>Copiar en Flexxus: Tipo=MB-EXT | Movimiento=INGRESOS BRUTOS MENDOZA | Monto=1.066,08 | Fecha: 27/04/2026</t>
        </is>
      </c>
    </row>
    <row r="61">
      <c r="A61" s="8" t="inlineStr">
        <is>
          <t>PEND-C6576085D6C5-A001</t>
        </is>
      </c>
      <c r="B61" s="8" t="inlineStr">
        <is>
          <t>ABIERTO</t>
        </is>
      </c>
      <c r="C61" s="8" t="inlineStr">
        <is>
          <t>Banco egreso no Flexxus</t>
        </is>
      </c>
      <c r="D61" s="8" t="inlineStr">
        <is>
          <t>28/04/2026</t>
        </is>
      </c>
      <c r="E61" s="8" t="inlineStr">
        <is>
          <t>109244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1013.1</v>
      </c>
      <c r="J61" s="9" t="inlineStr"/>
      <c r="K61" s="8" t="inlineStr">
        <is>
          <t>Copiar en Flexxus: Tipo=MB-EXT | Movimiento=INGRESOS BRUTOS MENDOZA | Monto=1.013,10 | Fecha: 28/04/2026</t>
        </is>
      </c>
    </row>
    <row r="62">
      <c r="A62" s="8" t="inlineStr">
        <is>
          <t>PEND-716CC2B1C407-A001</t>
        </is>
      </c>
      <c r="B62" s="8" t="inlineStr">
        <is>
          <t>ABIERTO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31995644</t>
        </is>
      </c>
      <c r="F62" s="8" t="inlineStr">
        <is>
          <t>INGRESOS BRUTOS MENDOZA</t>
        </is>
      </c>
      <c r="G62" s="8" t="inlineStr">
        <is>
          <t>Retención Ingresos Brutos Mendoza</t>
        </is>
      </c>
      <c r="H62" s="8" t="inlineStr">
        <is>
          <t>Retención de Ingresos Brutos</t>
        </is>
      </c>
      <c r="I62" s="9" t="n">
        <v>988</v>
      </c>
      <c r="J62" s="9" t="inlineStr"/>
      <c r="K62" s="8" t="inlineStr">
        <is>
          <t>Copiar en Flexxus: Tipo=MB-EXT | Movimiento=INGRESOS BRUTOS MENDOZA | Monto=988,00 | Fecha: 27/04/2026</t>
        </is>
      </c>
    </row>
    <row r="63">
      <c r="A63" s="8" t="inlineStr">
        <is>
          <t>PEND-C0BE3804D45E-A001</t>
        </is>
      </c>
      <c r="B63" s="8" t="inlineStr">
        <is>
          <t>ABIERTO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108879</t>
        </is>
      </c>
      <c r="F63" s="8" t="inlineStr">
        <is>
          <t>COM TRANSFE ELECTRONICA</t>
        </is>
      </c>
      <c r="G63" s="8" t="inlineStr">
        <is>
          <t>Gasto bancario / comisión</t>
        </is>
      </c>
      <c r="H63" s="8" t="inlineStr">
        <is>
          <t>Revisar según concepto</t>
        </is>
      </c>
      <c r="I63" s="9" t="n">
        <v>956</v>
      </c>
      <c r="J63" s="9" t="inlineStr"/>
      <c r="K63" s="8" t="inlineStr">
        <is>
          <t>Copiar en Flexxus: Tipo=MB-EXT | Movimiento=COM TRANSFE ELECTRONICA | Monto=956,00 | Fecha: 27/04/2026</t>
        </is>
      </c>
    </row>
    <row r="64">
      <c r="A64" s="8" t="inlineStr">
        <is>
          <t>PEND-69A82E551F09-A001</t>
        </is>
      </c>
      <c r="B64" s="8" t="inlineStr">
        <is>
          <t>ABIERTO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108818</t>
        </is>
      </c>
      <c r="F64" s="8" t="inlineStr">
        <is>
          <t>INGRESOS BRUTOS MENDOZA</t>
        </is>
      </c>
      <c r="G64" s="8" t="inlineStr">
        <is>
          <t>Retención Ingresos Brutos Mendoza</t>
        </is>
      </c>
      <c r="H64" s="8" t="inlineStr">
        <is>
          <t>Retención de Ingresos Brutos</t>
        </is>
      </c>
      <c r="I64" s="9" t="n">
        <v>940.8</v>
      </c>
      <c r="J64" s="9" t="inlineStr"/>
      <c r="K64" s="8" t="inlineStr">
        <is>
          <t>Copiar en Flexxus: Tipo=MB-EXT | Movimiento=INGRESOS BRUTOS MENDOZA | Monto=940,80 | Fecha: 27/04/2026</t>
        </is>
      </c>
    </row>
    <row r="65">
      <c r="A65" s="8" t="inlineStr">
        <is>
          <t>PEND-251E5E4D397C-A001</t>
        </is>
      </c>
      <c r="B65" s="8" t="inlineStr">
        <is>
          <t>ABIERTO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31995644</t>
        </is>
      </c>
      <c r="F65" s="8" t="inlineStr">
        <is>
          <t>GRAVAMEN LEY 25413 S/CRED</t>
        </is>
      </c>
      <c r="G65" s="8" t="inlineStr">
        <is>
          <t>Anticipo Ganancias Ley 25.413 créditos</t>
        </is>
      </c>
      <c r="H65" s="8" t="inlineStr">
        <is>
          <t>Anticipo Impuesto a las Ganancias</t>
        </is>
      </c>
      <c r="I65" s="9" t="n">
        <v>929.77</v>
      </c>
      <c r="J65" s="9" t="inlineStr"/>
      <c r="K65" s="8" t="inlineStr">
        <is>
          <t>Copiar en Flexxus: Tipo=MB-EXT | Movimiento=GRAVAMEN LEY 25.413 S/CRED | Monto=929,77 | Fecha: 27/04/2026</t>
        </is>
      </c>
    </row>
    <row r="66">
      <c r="A66" s="8" t="inlineStr">
        <is>
          <t>PEND-91CCE88D9E98-A001</t>
        </is>
      </c>
      <c r="B66" s="8" t="inlineStr">
        <is>
          <t>ABIERTO</t>
        </is>
      </c>
      <c r="C66" s="8" t="inlineStr">
        <is>
          <t>Banco egreso no Flexxus</t>
        </is>
      </c>
      <c r="D66" s="8" t="inlineStr">
        <is>
          <t>28/04/2026</t>
        </is>
      </c>
      <c r="E66" s="8" t="inlineStr">
        <is>
          <t>32032899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912.1799999999999</v>
      </c>
      <c r="J66" s="9" t="inlineStr"/>
      <c r="K66" s="8" t="inlineStr">
        <is>
          <t>Copiar en Flexxus: Tipo=MB-EXT | Movimiento=GRAVAMEN LEY 25.413 S/CRED | Monto=912,18 | Fecha: 28/04/2026</t>
        </is>
      </c>
    </row>
    <row r="67">
      <c r="A67" s="8" t="inlineStr">
        <is>
          <t>PEND-0D5A5632040C-A001</t>
        </is>
      </c>
      <c r="B67" s="8" t="inlineStr">
        <is>
          <t>ABIERTO</t>
        </is>
      </c>
      <c r="C67" s="8" t="inlineStr">
        <is>
          <t>Banco egreso no Flexxus</t>
        </is>
      </c>
      <c r="D67" s="8" t="inlineStr">
        <is>
          <t>28/04/2026</t>
        </is>
      </c>
      <c r="E67" s="8" t="inlineStr">
        <is>
          <t>29841627</t>
        </is>
      </c>
      <c r="F67" s="8" t="inlineStr">
        <is>
          <t>GRAVAMEN LEY 25413 S/CRED</t>
        </is>
      </c>
      <c r="G67" s="8" t="inlineStr">
        <is>
          <t>Anticipo Ganancias Ley 25.413 créditos</t>
        </is>
      </c>
      <c r="H67" s="8" t="inlineStr">
        <is>
          <t>Anticipo Impuesto a las Ganancias</t>
        </is>
      </c>
      <c r="I67" s="9" t="n">
        <v>901.5599999999999</v>
      </c>
      <c r="J67" s="9" t="inlineStr"/>
      <c r="K67" s="8" t="inlineStr">
        <is>
          <t>Copiar en Flexxus: Tipo=MB-EXT | Movimiento=GRAVAMEN LEY 25.413 S/CRED | Monto=901,56 | Fecha: 28/04/2026</t>
        </is>
      </c>
    </row>
    <row r="68">
      <c r="A68" s="8" t="inlineStr">
        <is>
          <t>PEND-12F1867F83B4-A001</t>
        </is>
      </c>
      <c r="B68" s="8" t="inlineStr">
        <is>
          <t>ABIERTO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108756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896.64</v>
      </c>
      <c r="J68" s="9" t="inlineStr"/>
      <c r="K68" s="8" t="inlineStr">
        <is>
          <t>Copiar en Flexxus: Tipo=MB-EXT | Movimiento=GRAVAMEN LEY 25.413 S/CRED | Monto=896,64 | Fecha: 27/04/2026</t>
        </is>
      </c>
    </row>
    <row r="69">
      <c r="A69" s="8" t="inlineStr">
        <is>
          <t>PEND-F3769ED66A38-A001</t>
        </is>
      </c>
      <c r="B69" s="8" t="inlineStr">
        <is>
          <t>ABIERTO</t>
        </is>
      </c>
      <c r="C69" s="8" t="inlineStr">
        <is>
          <t>Banco egreso no Flexxus</t>
        </is>
      </c>
      <c r="D69" s="8" t="inlineStr">
        <is>
          <t>28/04/2026</t>
        </is>
      </c>
      <c r="E69" s="8" t="inlineStr">
        <is>
          <t>29841642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871.59</v>
      </c>
      <c r="J69" s="9" t="inlineStr"/>
      <c r="K69" s="8" t="inlineStr">
        <is>
          <t>Copiar en Flexxus: Tipo=MB-EXT | Movimiento=INGRESOS BRUTOS MENDOZA | Monto=871,59 | Fecha: 28/04/2026</t>
        </is>
      </c>
    </row>
    <row r="70">
      <c r="A70" s="8" t="inlineStr">
        <is>
          <t>PEND-4371F32E2994-A001</t>
        </is>
      </c>
      <c r="B70" s="8" t="inlineStr">
        <is>
          <t>ABIERTO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29841683</t>
        </is>
      </c>
      <c r="F70" s="8" t="inlineStr">
        <is>
          <t>INGRESOS BRUTOS MENDOZA</t>
        </is>
      </c>
      <c r="G70" s="8" t="inlineStr">
        <is>
          <t>Retención Ingresos Brutos Mendoza</t>
        </is>
      </c>
      <c r="H70" s="8" t="inlineStr">
        <is>
          <t>Retención de Ingresos Brutos</t>
        </is>
      </c>
      <c r="I70" s="9" t="n">
        <v>853.55</v>
      </c>
      <c r="J70" s="9" t="inlineStr"/>
      <c r="K70" s="8" t="inlineStr">
        <is>
          <t>Copiar en Flexxus: Tipo=MB-EXT | Movimiento=INGRESOS BRUTOS MENDOZA | Monto=853,55 | Fecha: 27/04/2026</t>
        </is>
      </c>
    </row>
    <row r="71">
      <c r="A71" s="8" t="inlineStr">
        <is>
          <t>PEND-E46F11A69775-A001</t>
        </is>
      </c>
      <c r="B71" s="8" t="inlineStr">
        <is>
          <t>ABIERTO</t>
        </is>
      </c>
      <c r="C71" s="8" t="inlineStr">
        <is>
          <t>Banco egreso no Flexxus</t>
        </is>
      </c>
      <c r="D71" s="8" t="inlineStr">
        <is>
          <t>28/04/2026</t>
        </is>
      </c>
      <c r="E71" s="8" t="inlineStr">
        <is>
          <t>31995644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850.0700000000001</v>
      </c>
      <c r="J71" s="9" t="inlineStr"/>
      <c r="K71" s="8" t="inlineStr">
        <is>
          <t>Copiar en Flexxus: Tipo=MB-EXT | Movimiento=INGRESOS BRUTOS MENDOZA | Monto=850,07 | Fecha: 28/04/2026</t>
        </is>
      </c>
    </row>
    <row r="72">
      <c r="A72" s="8" t="inlineStr">
        <is>
          <t>PEND-9518F04EA911-A001</t>
        </is>
      </c>
      <c r="B72" s="8" t="inlineStr">
        <is>
          <t>ABIERTO</t>
        </is>
      </c>
      <c r="C72" s="8" t="inlineStr">
        <is>
          <t>Banco egreso no Flexxus</t>
        </is>
      </c>
      <c r="D72" s="8" t="inlineStr">
        <is>
          <t>28/04/2026</t>
        </is>
      </c>
      <c r="E72" s="8" t="inlineStr">
        <is>
          <t>31995644</t>
        </is>
      </c>
      <c r="F72" s="8" t="inlineStr">
        <is>
          <t>INGRESOS BRUTOS MENDOZA</t>
        </is>
      </c>
      <c r="G72" s="8" t="inlineStr">
        <is>
          <t>Retención Ingresos Brutos Mendoza</t>
        </is>
      </c>
      <c r="H72" s="8" t="inlineStr">
        <is>
          <t>Retención de Ingresos Brutos</t>
        </is>
      </c>
      <c r="I72" s="9" t="n">
        <v>848.12</v>
      </c>
      <c r="J72" s="9" t="inlineStr"/>
      <c r="K72" s="8" t="inlineStr">
        <is>
          <t>Copiar en Flexxus: Tipo=MB-EXT | Movimiento=INGRESOS BRUTOS MENDOZA | Monto=848,12 | Fecha: 28/04/2026</t>
        </is>
      </c>
    </row>
    <row r="73">
      <c r="A73" s="8" t="inlineStr">
        <is>
          <t>PEND-0C3CB0846A87-A001</t>
        </is>
      </c>
      <c r="B73" s="8" t="inlineStr">
        <is>
          <t>ABIERTO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108795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843.75</v>
      </c>
      <c r="J73" s="9" t="inlineStr"/>
      <c r="K73" s="8" t="inlineStr">
        <is>
          <t>Copiar en Flexxus: Tipo=MB-EXT | Movimiento=INGRESOS BRUTOS MENDOZA | Monto=843,75 | Fecha: 27/04/2026</t>
        </is>
      </c>
    </row>
    <row r="74">
      <c r="A74" s="8" t="inlineStr">
        <is>
          <t>PEND-2E71722CC149-A001</t>
        </is>
      </c>
      <c r="B74" s="8" t="inlineStr">
        <is>
          <t>ABIERTO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32032899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841.2</v>
      </c>
      <c r="J74" s="9" t="inlineStr"/>
      <c r="K74" s="8" t="inlineStr">
        <is>
          <t>Copiar en Flexxus: Tipo=MB-EXT | Movimiento=GRAVAMEN LEY 25.413 S/CRED | Monto=841,20 | Fecha: 27/04/2026</t>
        </is>
      </c>
    </row>
    <row r="75">
      <c r="A75" s="8" t="inlineStr">
        <is>
          <t>PEND-4BC32C6B58DF-A001</t>
        </is>
      </c>
      <c r="B75" s="8" t="inlineStr">
        <is>
          <t>ABIERTO</t>
        </is>
      </c>
      <c r="C75" s="8" t="inlineStr">
        <is>
          <t>Banco egreso no Flexxus</t>
        </is>
      </c>
      <c r="D75" s="8" t="inlineStr">
        <is>
          <t>28/04/2026</t>
        </is>
      </c>
      <c r="E75" s="8" t="inlineStr">
        <is>
          <t>29841705</t>
        </is>
      </c>
      <c r="F75" s="8" t="inlineStr">
        <is>
          <t>GRAVAMEN LEY 25413 S/CRED</t>
        </is>
      </c>
      <c r="G75" s="8" t="inlineStr">
        <is>
          <t>Anticipo Ganancias Ley 25.413 créditos</t>
        </is>
      </c>
      <c r="H75" s="8" t="inlineStr">
        <is>
          <t>Anticipo Impuesto a las Ganancias</t>
        </is>
      </c>
      <c r="I75" s="9" t="n">
        <v>824.5</v>
      </c>
      <c r="J75" s="9" t="inlineStr"/>
      <c r="K75" s="8" t="inlineStr">
        <is>
          <t>Copiar en Flexxus: Tipo=MB-EXT | Movimiento=GRAVAMEN LEY 25.413 S/CRED | Monto=824,50 | Fecha: 28/04/2026</t>
        </is>
      </c>
    </row>
    <row r="76">
      <c r="A76" s="8" t="inlineStr">
        <is>
          <t>PEND-95D0FB26A205-A001</t>
        </is>
      </c>
      <c r="B76" s="8" t="inlineStr">
        <is>
          <t>ABIERTO</t>
        </is>
      </c>
      <c r="C76" s="8" t="inlineStr">
        <is>
          <t>Banco egreso no Flexxus</t>
        </is>
      </c>
      <c r="D76" s="8" t="inlineStr">
        <is>
          <t>28/04/2026</t>
        </is>
      </c>
      <c r="E76" s="8" t="inlineStr">
        <is>
          <t>31995644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813.63</v>
      </c>
      <c r="J76" s="9" t="inlineStr"/>
      <c r="K76" s="8" t="inlineStr">
        <is>
          <t>Copiar en Flexxus: Tipo=MB-EXT | Movimiento=GRAVAMEN LEY 25.413 S/CRED | Monto=813,63 | Fecha: 28/04/2026</t>
        </is>
      </c>
    </row>
    <row r="77">
      <c r="A77" s="8" t="inlineStr">
        <is>
          <t>PEND-1359B011B8A2-A001</t>
        </is>
      </c>
      <c r="B77" s="8" t="inlineStr">
        <is>
          <t>ABIERTO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29841642</t>
        </is>
      </c>
      <c r="F77" s="8" t="inlineStr">
        <is>
          <t>GRAVAMEN LEY 25413 S/CRED</t>
        </is>
      </c>
      <c r="G77" s="8" t="inlineStr">
        <is>
          <t>Anticipo Ganancias Ley 25.413 créditos</t>
        </is>
      </c>
      <c r="H77" s="8" t="inlineStr">
        <is>
          <t>Anticipo Impuesto a las Ganancias</t>
        </is>
      </c>
      <c r="I77" s="9" t="n">
        <v>799.61</v>
      </c>
      <c r="J77" s="9" t="inlineStr"/>
      <c r="K77" s="8" t="inlineStr">
        <is>
          <t>Copiar en Flexxus: Tipo=MB-EXT | Movimiento=GRAVAMEN LEY 25.413 S/CRED | Monto=799,61 | Fecha: 27/04/2026</t>
        </is>
      </c>
    </row>
    <row r="78">
      <c r="A78" s="8" t="inlineStr">
        <is>
          <t>PEND-DBD0D10B5BC0-A001</t>
        </is>
      </c>
      <c r="B78" s="8" t="inlineStr">
        <is>
          <t>ABIERTO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108821</t>
        </is>
      </c>
      <c r="F78" s="8" t="inlineStr">
        <is>
          <t>INGRESOS BRUTOS MENDOZA</t>
        </is>
      </c>
      <c r="G78" s="8" t="inlineStr">
        <is>
          <t>Retención Ingresos Brutos Mendoza</t>
        </is>
      </c>
      <c r="H78" s="8" t="inlineStr">
        <is>
          <t>Retención de Ingresos Brutos</t>
        </is>
      </c>
      <c r="I78" s="9" t="n">
        <v>797.21</v>
      </c>
      <c r="J78" s="9" t="inlineStr"/>
      <c r="K78" s="8" t="inlineStr">
        <is>
          <t>Copiar en Flexxus: Tipo=MB-EXT | Movimiento=INGRESOS BRUTOS MENDOZA | Monto=797,21 | Fecha: 27/04/2026</t>
        </is>
      </c>
    </row>
    <row r="79">
      <c r="A79" s="8" t="inlineStr">
        <is>
          <t>PEND-E0BCEBC2BD36-A001</t>
        </is>
      </c>
      <c r="B79" s="8" t="inlineStr">
        <is>
          <t>ABIERTO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108796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780.37</v>
      </c>
      <c r="J79" s="9" t="inlineStr"/>
      <c r="K79" s="8" t="inlineStr">
        <is>
          <t>Copiar en Flexxus: Tipo=MB-EXT | Movimiento=INGRESOS BRUTOS MENDOZA | Monto=780,37 | Fecha: 27/04/2026</t>
        </is>
      </c>
    </row>
    <row r="80">
      <c r="A80" s="8" t="inlineStr">
        <is>
          <t>PEND-2784567EF90E-A001</t>
        </is>
      </c>
      <c r="B80" s="8" t="inlineStr">
        <is>
          <t>ABIERTO</t>
        </is>
      </c>
      <c r="C80" s="8" t="inlineStr">
        <is>
          <t>Banco egreso no Flexxus</t>
        </is>
      </c>
      <c r="D80" s="8" t="inlineStr">
        <is>
          <t>28/04/2026</t>
        </is>
      </c>
      <c r="E80" s="8" t="inlineStr">
        <is>
          <t>29841627</t>
        </is>
      </c>
      <c r="F80" s="8" t="inlineStr">
        <is>
          <t>INGRESOS BRUTOS MENDOZA</t>
        </is>
      </c>
      <c r="G80" s="8" t="inlineStr">
        <is>
          <t>Retención Ingresos Brutos Mendoza</t>
        </is>
      </c>
      <c r="H80" s="8" t="inlineStr">
        <is>
          <t>Retención de Ingresos Brutos</t>
        </is>
      </c>
      <c r="I80" s="9" t="n">
        <v>761.5700000000001</v>
      </c>
      <c r="J80" s="9" t="inlineStr"/>
      <c r="K80" s="8" t="inlineStr">
        <is>
          <t>Copiar en Flexxus: Tipo=MB-EXT | Movimiento=INGRESOS BRUTOS MENDOZA | Monto=761,57 | Fecha: 28/04/2026</t>
        </is>
      </c>
    </row>
    <row r="81">
      <c r="A81" s="8" t="inlineStr">
        <is>
          <t>PEND-9B5E83A4A3D8-A001</t>
        </is>
      </c>
      <c r="B81" s="8" t="inlineStr">
        <is>
          <t>ABIERTO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108810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757.59</v>
      </c>
      <c r="J81" s="9" t="inlineStr"/>
      <c r="K81" s="8" t="inlineStr">
        <is>
          <t>Copiar en Flexxus: Tipo=MB-EXT | Movimiento=INGRESOS BRUTOS MENDOZA | Monto=757,59 | Fecha: 27/04/2026</t>
        </is>
      </c>
    </row>
    <row r="82">
      <c r="A82" s="8" t="inlineStr">
        <is>
          <t>PEND-C97AEB341046-A001</t>
        </is>
      </c>
      <c r="B82" s="8" t="inlineStr">
        <is>
          <t>ABIERTO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108774</t>
        </is>
      </c>
      <c r="F82" s="8" t="inlineStr">
        <is>
          <t>INGRESOS BRUTOS MENDOZA</t>
        </is>
      </c>
      <c r="G82" s="8" t="inlineStr">
        <is>
          <t>Retención Ingresos Brutos Mendoza</t>
        </is>
      </c>
      <c r="H82" s="8" t="inlineStr">
        <is>
          <t>Retención de Ingresos Brutos</t>
        </is>
      </c>
      <c r="I82" s="9" t="n">
        <v>755.61</v>
      </c>
      <c r="J82" s="9" t="inlineStr"/>
      <c r="K82" s="8" t="inlineStr">
        <is>
          <t>Copiar en Flexxus: Tipo=MB-EXT | Movimiento=INGRESOS BRUTOS MENDOZA | Monto=755,61 | Fecha: 27/04/2026</t>
        </is>
      </c>
    </row>
    <row r="83">
      <c r="A83" s="8" t="inlineStr">
        <is>
          <t>PEND-A301FE377910-A001</t>
        </is>
      </c>
      <c r="B83" s="8" t="inlineStr">
        <is>
          <t>ABIERTO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32032899</t>
        </is>
      </c>
      <c r="F83" s="8" t="inlineStr">
        <is>
          <t>GRAVAMEN LEY 25413 S/CRED</t>
        </is>
      </c>
      <c r="G83" s="8" t="inlineStr">
        <is>
          <t>Anticipo Ganancias Ley 25.413 créditos</t>
        </is>
      </c>
      <c r="H83" s="8" t="inlineStr">
        <is>
          <t>Anticipo Impuesto a las Ganancias</t>
        </is>
      </c>
      <c r="I83" s="9" t="n">
        <v>753.2</v>
      </c>
      <c r="J83" s="9" t="inlineStr"/>
      <c r="K83" s="8" t="inlineStr">
        <is>
          <t>Copiar en Flexxus: Tipo=MB-EXT | Movimiento=GRAVAMEN LEY 25.413 S/CRED | Monto=753,20 | Fecha: 27/04/2026</t>
        </is>
      </c>
    </row>
    <row r="84">
      <c r="A84" s="8" t="inlineStr">
        <is>
          <t>PEND-9080D001461B-A001</t>
        </is>
      </c>
      <c r="B84" s="8" t="inlineStr">
        <is>
          <t>ABIERTO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108784</t>
        </is>
      </c>
      <c r="F84" s="8" t="inlineStr">
        <is>
          <t>INGRESOS BRUTOS MENDOZA</t>
        </is>
      </c>
      <c r="G84" s="8" t="inlineStr">
        <is>
          <t>Retención Ingresos Brutos Mendoza</t>
        </is>
      </c>
      <c r="H84" s="8" t="inlineStr">
        <is>
          <t>Retención de Ingresos Brutos</t>
        </is>
      </c>
      <c r="I84" s="9" t="n">
        <v>728.88</v>
      </c>
      <c r="J84" s="9" t="inlineStr"/>
      <c r="K84" s="8" t="inlineStr">
        <is>
          <t>Copiar en Flexxus: Tipo=MB-EXT | Movimiento=INGRESOS BRUTOS MENDOZA | Monto=728,88 | Fecha: 27/04/2026</t>
        </is>
      </c>
    </row>
    <row r="85">
      <c r="A85" s="8" t="inlineStr">
        <is>
          <t>PEND-4D4C387896D1-A001</t>
        </is>
      </c>
      <c r="B85" s="8" t="inlineStr">
        <is>
          <t>ABIERTO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108793</t>
        </is>
      </c>
      <c r="F85" s="8" t="inlineStr">
        <is>
          <t>GRAVAMEN LEY 25413 S/CRED</t>
        </is>
      </c>
      <c r="G85" s="8" t="inlineStr">
        <is>
          <t>Anticipo Ganancias Ley 25.413 créditos</t>
        </is>
      </c>
      <c r="H85" s="8" t="inlineStr">
        <is>
          <t>Anticipo Impuesto a las Ganancias</t>
        </is>
      </c>
      <c r="I85" s="9" t="n">
        <v>728.48</v>
      </c>
      <c r="J85" s="9" t="inlineStr"/>
      <c r="K85" s="8" t="inlineStr">
        <is>
          <t>Copiar en Flexxus: Tipo=MB-EXT | Movimiento=GRAVAMEN LEY 25.413 S/CRED | Monto=728,48 | Fecha: 27/04/2026</t>
        </is>
      </c>
    </row>
    <row r="86">
      <c r="A86" s="8" t="inlineStr">
        <is>
          <t>PEND-D548F947A6B2-A001</t>
        </is>
      </c>
      <c r="B86" s="8" t="inlineStr">
        <is>
          <t>ABIERTO</t>
        </is>
      </c>
      <c r="C86" s="8" t="inlineStr">
        <is>
          <t>Banco egreso no Flexxus</t>
        </is>
      </c>
      <c r="D86" s="8" t="inlineStr">
        <is>
          <t>28/04/2026</t>
        </is>
      </c>
      <c r="E86" s="8" t="inlineStr">
        <is>
          <t>32032899</t>
        </is>
      </c>
      <c r="F86" s="8" t="inlineStr">
        <is>
          <t>INGRESOS BRUTOS MENDOZA</t>
        </is>
      </c>
      <c r="G86" s="8" t="inlineStr">
        <is>
          <t>Retención Ingresos Brutos Mendoza</t>
        </is>
      </c>
      <c r="H86" s="8" t="inlineStr">
        <is>
          <t>Retención de Ingresos Brutos</t>
        </is>
      </c>
      <c r="I86" s="9" t="n">
        <v>728.28</v>
      </c>
      <c r="J86" s="9" t="inlineStr"/>
      <c r="K86" s="8" t="inlineStr">
        <is>
          <t>Copiar en Flexxus: Tipo=MB-EXT | Movimiento=INGRESOS BRUTOS MENDOZA | Monto=728,28 | Fecha: 28/04/2026</t>
        </is>
      </c>
    </row>
    <row r="87">
      <c r="A87" s="8" t="inlineStr">
        <is>
          <t>PEND-EB5236C0D61E-A001</t>
        </is>
      </c>
      <c r="B87" s="8" t="inlineStr">
        <is>
          <t>ABIERTO</t>
        </is>
      </c>
      <c r="C87" s="8" t="inlineStr">
        <is>
          <t>Banco egreso no Flexxus</t>
        </is>
      </c>
      <c r="D87" s="8" t="inlineStr">
        <is>
          <t>28/04/2026</t>
        </is>
      </c>
      <c r="E87" s="8" t="inlineStr">
        <is>
          <t>109283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724.91</v>
      </c>
      <c r="J87" s="9" t="inlineStr"/>
      <c r="K87" s="8" t="inlineStr">
        <is>
          <t>Copiar en Flexxus: Tipo=MB-EXT | Movimiento=INGRESOS BRUTOS MENDOZA | Monto=724,91 | Fecha: 28/04/2026</t>
        </is>
      </c>
    </row>
    <row r="88">
      <c r="A88" s="8" t="inlineStr">
        <is>
          <t>PEND-4AC1B46BA46B-A001</t>
        </is>
      </c>
      <c r="B88" s="8" t="inlineStr">
        <is>
          <t>ABIERTO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108827</t>
        </is>
      </c>
      <c r="F88" s="8" t="inlineStr">
        <is>
          <t>INGRESOS BRUTOS MENDOZA</t>
        </is>
      </c>
      <c r="G88" s="8" t="inlineStr">
        <is>
          <t>Retención Ingresos Brutos Mendoza</t>
        </is>
      </c>
      <c r="H88" s="8" t="inlineStr">
        <is>
          <t>Retención de Ingresos Brutos</t>
        </is>
      </c>
      <c r="I88" s="9" t="n">
        <v>699.17</v>
      </c>
      <c r="J88" s="9" t="inlineStr"/>
      <c r="K88" s="8" t="inlineStr">
        <is>
          <t>Copiar en Flexxus: Tipo=MB-EXT | Movimiento=INGRESOS BRUTOS MENDOZA | Monto=699,17 | Fecha: 27/04/2026</t>
        </is>
      </c>
    </row>
    <row r="89">
      <c r="A89" s="8" t="inlineStr">
        <is>
          <t>PEND-AF49E2824407-A001</t>
        </is>
      </c>
      <c r="B89" s="8" t="inlineStr">
        <is>
          <t>ABIERTO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29841670</t>
        </is>
      </c>
      <c r="F89" s="8" t="inlineStr">
        <is>
          <t>GRAVAMEN LEY 25413 S/CRED</t>
        </is>
      </c>
      <c r="G89" s="8" t="inlineStr">
        <is>
          <t>Anticipo Ganancias Ley 25.413 créditos</t>
        </is>
      </c>
      <c r="H89" s="8" t="inlineStr">
        <is>
          <t>Anticipo Impuesto a las Ganancias</t>
        </is>
      </c>
      <c r="I89" s="9" t="n">
        <v>696.47</v>
      </c>
      <c r="J89" s="9" t="inlineStr"/>
      <c r="K89" s="8" t="inlineStr">
        <is>
          <t>Copiar en Flexxus: Tipo=MB-EXT | Movimiento=GRAVAMEN LEY 25.413 S/CRED | Monto=696,47 | Fecha: 27/04/2026</t>
        </is>
      </c>
    </row>
    <row r="90">
      <c r="A90" s="8" t="inlineStr">
        <is>
          <t>PEND-04DDE48430C6-A001</t>
        </is>
      </c>
      <c r="B90" s="8" t="inlineStr">
        <is>
          <t>ABIERTO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108838</t>
        </is>
      </c>
      <c r="F90" s="8" t="inlineStr">
        <is>
          <t>INGRESOS BRUTOS MENDOZA</t>
        </is>
      </c>
      <c r="G90" s="8" t="inlineStr">
        <is>
          <t>Retención Ingresos Brutos Mendoza</t>
        </is>
      </c>
      <c r="H90" s="8" t="inlineStr">
        <is>
          <t>Retención de Ingresos Brutos</t>
        </is>
      </c>
      <c r="I90" s="9" t="n">
        <v>695.2</v>
      </c>
      <c r="J90" s="9" t="inlineStr"/>
      <c r="K90" s="8" t="inlineStr">
        <is>
          <t>Copiar en Flexxus: Tipo=MB-EXT | Movimiento=INGRESOS BRUTOS MENDOZA | Monto=695,20 | Fecha: 27/04/2026</t>
        </is>
      </c>
    </row>
    <row r="91">
      <c r="A91" s="8" t="inlineStr">
        <is>
          <t>PEND-FA8D9E7C8824-A001</t>
        </is>
      </c>
      <c r="B91" s="8" t="inlineStr">
        <is>
          <t>ABIERTO</t>
        </is>
      </c>
      <c r="C91" s="8" t="inlineStr">
        <is>
          <t>Banco egreso no Flexxus</t>
        </is>
      </c>
      <c r="D91" s="8" t="inlineStr">
        <is>
          <t>28/04/2026</t>
        </is>
      </c>
      <c r="E91" s="8" t="inlineStr">
        <is>
          <t>29841670</t>
        </is>
      </c>
      <c r="F91" s="8" t="inlineStr">
        <is>
          <t>GRAVAMEN LEY 25413 S/CRED</t>
        </is>
      </c>
      <c r="G91" s="8" t="inlineStr">
        <is>
          <t>Anticipo Ganancias Ley 25.413 créditos</t>
        </is>
      </c>
      <c r="H91" s="8" t="inlineStr">
        <is>
          <t>Anticipo Impuesto a las Ganancias</t>
        </is>
      </c>
      <c r="I91" s="9" t="n">
        <v>689.36</v>
      </c>
      <c r="J91" s="9" t="inlineStr"/>
      <c r="K91" s="8" t="inlineStr">
        <is>
          <t>Copiar en Flexxus: Tipo=MB-EXT | Movimiento=GRAVAMEN LEY 25.413 S/CRED | Monto=689,36 | Fecha: 28/04/2026</t>
        </is>
      </c>
    </row>
    <row r="92">
      <c r="A92" s="8" t="inlineStr">
        <is>
          <t>PEND-CD20F5E195F6-A001</t>
        </is>
      </c>
      <c r="B92" s="8" t="inlineStr">
        <is>
          <t>ABIERTO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29841670</t>
        </is>
      </c>
      <c r="F92" s="8" t="inlineStr">
        <is>
          <t>INGRESOS BRUTOS MENDOZA</t>
        </is>
      </c>
      <c r="G92" s="8" t="inlineStr">
        <is>
          <t>Retención Ingresos Brutos Mendoza</t>
        </is>
      </c>
      <c r="H92" s="8" t="inlineStr">
        <is>
          <t>Retención de Ingresos Brutos</t>
        </is>
      </c>
      <c r="I92" s="9" t="n">
        <v>688.67</v>
      </c>
      <c r="J92" s="9" t="inlineStr"/>
      <c r="K92" s="8" t="inlineStr">
        <is>
          <t>Copiar en Flexxus: Tipo=MB-EXT | Movimiento=INGRESOS BRUTOS MENDOZA | Monto=688,67 | Fecha: 27/04/2026</t>
        </is>
      </c>
    </row>
    <row r="93">
      <c r="A93" s="8" t="inlineStr">
        <is>
          <t>PEND-54B0008E4E43-A001</t>
        </is>
      </c>
      <c r="B93" s="8" t="inlineStr">
        <is>
          <t>ABIERTO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108754</t>
        </is>
      </c>
      <c r="F93" s="8" t="inlineStr">
        <is>
          <t>GRAVAMEN LEY 25413 S/CRED</t>
        </is>
      </c>
      <c r="G93" s="8" t="inlineStr">
        <is>
          <t>Anticipo Ganancias Ley 25.413 créditos</t>
        </is>
      </c>
      <c r="H93" s="8" t="inlineStr">
        <is>
          <t>Anticipo Impuesto a las Ganancias</t>
        </is>
      </c>
      <c r="I93" s="9" t="n">
        <v>682.13</v>
      </c>
      <c r="J93" s="9" t="inlineStr"/>
      <c r="K93" s="8" t="inlineStr">
        <is>
          <t>Copiar en Flexxus: Tipo=MB-EXT | Movimiento=GRAVAMEN LEY 25.413 S/CRED | Monto=682,13 | Fecha: 27/04/2026</t>
        </is>
      </c>
    </row>
    <row r="94">
      <c r="A94" s="8" t="inlineStr">
        <is>
          <t>PEND-5C7E5EE8A5A2-A001</t>
        </is>
      </c>
      <c r="B94" s="8" t="inlineStr">
        <is>
          <t>ABIERTO</t>
        </is>
      </c>
      <c r="C94" s="8" t="inlineStr">
        <is>
          <t>Banco egreso no Flexxus</t>
        </is>
      </c>
      <c r="D94" s="8" t="inlineStr">
        <is>
          <t>28/04/2026</t>
        </is>
      </c>
      <c r="E94" s="8" t="inlineStr">
        <is>
          <t>32032899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679.28</v>
      </c>
      <c r="J94" s="9" t="inlineStr"/>
      <c r="K94" s="8" t="inlineStr">
        <is>
          <t>Copiar en Flexxus: Tipo=MB-EXT | Movimiento=GRAVAMEN LEY 25.413 S/CRED | Monto=679,28 | Fecha: 28/04/2026</t>
        </is>
      </c>
    </row>
    <row r="95">
      <c r="A95" s="8" t="inlineStr">
        <is>
          <t>PEND-3FBD5226A65D-A001</t>
        </is>
      </c>
      <c r="B95" s="8" t="inlineStr">
        <is>
          <t>ABIERTO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108840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670.45</v>
      </c>
      <c r="J95" s="9" t="inlineStr"/>
      <c r="K95" s="8" t="inlineStr">
        <is>
          <t>Copiar en Flexxus: Tipo=MB-EXT | Movimiento=INGRESOS BRUTOS MENDOZA | Monto=670,45 | Fecha: 27/04/2026</t>
        </is>
      </c>
    </row>
    <row r="96">
      <c r="A96" s="8" t="inlineStr">
        <is>
          <t>PEND-623DD4F6F6DE-A001</t>
        </is>
      </c>
      <c r="B96" s="8" t="inlineStr">
        <is>
          <t>ABIERTO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31995644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660.33</v>
      </c>
      <c r="J96" s="9" t="inlineStr"/>
      <c r="K96" s="8" t="inlineStr">
        <is>
          <t>Copiar en Flexxus: Tipo=MB-EXT | Movimiento=GRAVAMEN LEY 25.413 S/CRED | Monto=660,33 | Fecha: 27/04/2026</t>
        </is>
      </c>
    </row>
    <row r="97">
      <c r="A97" s="8" t="inlineStr">
        <is>
          <t>PEND-B0D9BECD84B2-A001</t>
        </is>
      </c>
      <c r="B97" s="8" t="inlineStr">
        <is>
          <t>ABIERTO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108780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659.55</v>
      </c>
      <c r="J97" s="9" t="inlineStr"/>
      <c r="K97" s="8" t="inlineStr">
        <is>
          <t>Copiar en Flexxus: Tipo=MB-EXT | Movimiento=INGRESOS BRUTOS MENDOZA | Monto=659,55 | Fecha: 27/04/2026</t>
        </is>
      </c>
    </row>
    <row r="98">
      <c r="A98" s="8" t="inlineStr">
        <is>
          <t>PEND-155978B972C0-A001</t>
        </is>
      </c>
      <c r="B98" s="8" t="inlineStr">
        <is>
          <t>ABIERTO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108762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655.99</v>
      </c>
      <c r="J98" s="9" t="inlineStr"/>
      <c r="K98" s="8" t="inlineStr">
        <is>
          <t>Copiar en Flexxus: Tipo=MB-EXT | Movimiento=GRAVAMEN LEY 25.413 S/CRED | Monto=655,99 | Fecha: 27/04/2026</t>
        </is>
      </c>
    </row>
    <row r="99">
      <c r="A99" s="8" t="inlineStr">
        <is>
          <t>PEND-5118E17FE8B8-A001</t>
        </is>
      </c>
      <c r="B99" s="8" t="inlineStr">
        <is>
          <t>ABIERTO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108837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645.6900000000001</v>
      </c>
      <c r="J99" s="9" t="inlineStr"/>
      <c r="K99" s="8" t="inlineStr">
        <is>
          <t>Copiar en Flexxus: Tipo=MB-EXT | Movimiento=INGRESOS BRUTOS MENDOZA | Monto=645,69 | Fecha: 27/04/2026</t>
        </is>
      </c>
    </row>
    <row r="100">
      <c r="A100" s="8" t="inlineStr">
        <is>
          <t>PEND-45F9A18014BE-A001</t>
        </is>
      </c>
      <c r="B100" s="8" t="inlineStr">
        <is>
          <t>ABIERTO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108785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639.65</v>
      </c>
      <c r="J100" s="9" t="inlineStr"/>
      <c r="K100" s="8" t="inlineStr">
        <is>
          <t>Copiar en Flexxus: Tipo=MB-EXT | Movimiento=GRAVAMEN LEY 25.413 S/CRED | Monto=639,65 | Fecha: 27/04/2026</t>
        </is>
      </c>
    </row>
    <row r="101">
      <c r="A101" s="8" t="inlineStr">
        <is>
          <t>PEND-A1598A0AF5FE-A001</t>
        </is>
      </c>
      <c r="B101" s="8" t="inlineStr">
        <is>
          <t>ABIERTO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108782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630.83</v>
      </c>
      <c r="J101" s="9" t="inlineStr"/>
      <c r="K101" s="8" t="inlineStr">
        <is>
          <t>Copiar en Flexxus: Tipo=MB-EXT | Movimiento=INGRESOS BRUTOS MENDOZA | Monto=630,83 | Fecha: 27/04/2026</t>
        </is>
      </c>
    </row>
    <row r="102">
      <c r="A102" s="8" t="inlineStr">
        <is>
          <t>PEND-014C3176583B-A001</t>
        </is>
      </c>
      <c r="B102" s="8" t="inlineStr">
        <is>
          <t>ABIERTO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108775</t>
        </is>
      </c>
      <c r="F102" s="8" t="inlineStr">
        <is>
          <t>INGRESOS BRUTOS MENDOZA</t>
        </is>
      </c>
      <c r="G102" s="8" t="inlineStr">
        <is>
          <t>Retención Ingresos Brutos Mendoza</t>
        </is>
      </c>
      <c r="H102" s="8" t="inlineStr">
        <is>
          <t>Retención de Ingresos Brutos</t>
        </is>
      </c>
      <c r="I102" s="9" t="n">
        <v>626.87</v>
      </c>
      <c r="J102" s="9" t="inlineStr"/>
      <c r="K102" s="8" t="inlineStr">
        <is>
          <t>Copiar en Flexxus: Tipo=MB-EXT | Movimiento=INGRESOS BRUTOS MENDOZA | Monto=626,87 | Fecha: 27/04/2026</t>
        </is>
      </c>
    </row>
    <row r="103">
      <c r="A103" s="8" t="inlineStr">
        <is>
          <t>PEND-307F8BEFE8F1-A001</t>
        </is>
      </c>
      <c r="B103" s="8" t="inlineStr">
        <is>
          <t>ABIERTO</t>
        </is>
      </c>
      <c r="C103" s="8" t="inlineStr">
        <is>
          <t>Banco egreso no Flexxus</t>
        </is>
      </c>
      <c r="D103" s="8" t="inlineStr">
        <is>
          <t>28/04/2026</t>
        </is>
      </c>
      <c r="E103" s="8" t="inlineStr">
        <is>
          <t>29841705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626.0599999999999</v>
      </c>
      <c r="J103" s="9" t="inlineStr"/>
      <c r="K103" s="8" t="inlineStr">
        <is>
          <t>Copiar en Flexxus: Tipo=MB-EXT | Movimiento=INGRESOS BRUTOS MENDOZA | Monto=626,06 | Fecha: 28/04/2026</t>
        </is>
      </c>
    </row>
    <row r="104">
      <c r="A104" s="8" t="inlineStr">
        <is>
          <t>PEND-C12F99FD0D84-A001</t>
        </is>
      </c>
      <c r="B104" s="8" t="inlineStr">
        <is>
          <t>ABIERTO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108807</t>
        </is>
      </c>
      <c r="F104" s="8" t="inlineStr">
        <is>
          <t>INGRESOS BRUTOS MENDOZA</t>
        </is>
      </c>
      <c r="G104" s="8" t="inlineStr">
        <is>
          <t>Retención Ingresos Brutos Mendoza</t>
        </is>
      </c>
      <c r="H104" s="8" t="inlineStr">
        <is>
          <t>Retención de Ingresos Brutos</t>
        </is>
      </c>
      <c r="I104" s="9" t="n">
        <v>609.05</v>
      </c>
      <c r="J104" s="9" t="inlineStr"/>
      <c r="K104" s="8" t="inlineStr">
        <is>
          <t>Copiar en Flexxus: Tipo=MB-EXT | Movimiento=INGRESOS BRUTOS MENDOZA | Monto=609,05 | Fecha: 27/04/2026</t>
        </is>
      </c>
    </row>
    <row r="105">
      <c r="A105" s="8" t="inlineStr">
        <is>
          <t>PEND-85A11B561229-A001</t>
        </is>
      </c>
      <c r="B105" s="8" t="inlineStr">
        <is>
          <t>ABIERTO</t>
        </is>
      </c>
      <c r="C105" s="8" t="inlineStr">
        <is>
          <t>Banco egreso no Flexxus</t>
        </is>
      </c>
      <c r="D105" s="8" t="inlineStr">
        <is>
          <t>28/04/2026</t>
        </is>
      </c>
      <c r="E105" s="8" t="inlineStr">
        <is>
          <t>109244</t>
        </is>
      </c>
      <c r="F105" s="8" t="inlineStr">
        <is>
          <t>GRAVAMEN LEY 25413 S/CRED</t>
        </is>
      </c>
      <c r="G105" s="8" t="inlineStr">
        <is>
          <t>Anticipo Ganancias Ley 25.413 créditos</t>
        </is>
      </c>
      <c r="H105" s="8" t="inlineStr">
        <is>
          <t>Anticipo Impuesto a las Ganancias</t>
        </is>
      </c>
      <c r="I105" s="9" t="n">
        <v>607.86</v>
      </c>
      <c r="J105" s="9" t="inlineStr"/>
      <c r="K105" s="8" t="inlineStr">
        <is>
          <t>Copiar en Flexxus: Tipo=MB-EXT | Movimiento=GRAVAMEN LEY 25.413 S/CRED | Monto=607,86 | Fecha: 28/04/2026</t>
        </is>
      </c>
    </row>
    <row r="106">
      <c r="A106" s="8" t="inlineStr">
        <is>
          <t>PEND-771A82F5D7E5-A001</t>
        </is>
      </c>
      <c r="B106" s="8" t="inlineStr">
        <is>
          <t>ABIERTO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108842</t>
        </is>
      </c>
      <c r="F106" s="8" t="inlineStr">
        <is>
          <t>INGRESOS BRUTOS MENDOZA</t>
        </is>
      </c>
      <c r="G106" s="8" t="inlineStr">
        <is>
          <t>Retención Ingresos Brutos Mendoza</t>
        </is>
      </c>
      <c r="H106" s="8" t="inlineStr">
        <is>
          <t>Retención de Ingresos Brutos</t>
        </is>
      </c>
      <c r="I106" s="9" t="n">
        <v>600.13</v>
      </c>
      <c r="J106" s="9" t="inlineStr"/>
      <c r="K106" s="8" t="inlineStr">
        <is>
          <t>Copiar en Flexxus: Tipo=MB-EXT | Movimiento=INGRESOS BRUTOS MENDOZA | Monto=600,13 | Fecha: 27/04/2026</t>
        </is>
      </c>
    </row>
    <row r="107">
      <c r="A107" s="8" t="inlineStr">
        <is>
          <t>PEND-C1EA4D30AF29-A001</t>
        </is>
      </c>
      <c r="B107" s="8" t="inlineStr">
        <is>
          <t>ABIERTO</t>
        </is>
      </c>
      <c r="C107" s="8" t="inlineStr">
        <is>
          <t>Banco egreso no Flexxus</t>
        </is>
      </c>
      <c r="D107" s="8" t="inlineStr">
        <is>
          <t>28/04/2026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593.78</v>
      </c>
      <c r="J107" s="9" t="inlineStr"/>
      <c r="K107" s="8" t="inlineStr">
        <is>
          <t>Copiar en Flexxus: Tipo=MB-EXT | Movimiento=INGRESOS BRUTOS MENDOZA | Monto=593,78 | Fecha: 28/04/2026</t>
        </is>
      </c>
    </row>
    <row r="108">
      <c r="A108" s="8" t="inlineStr">
        <is>
          <t>PEND-DB8455348D2E-A001</t>
        </is>
      </c>
      <c r="B108" s="8" t="inlineStr">
        <is>
          <t>ABIERTO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31995644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592.8</v>
      </c>
      <c r="J108" s="9" t="inlineStr"/>
      <c r="K108" s="8" t="inlineStr">
        <is>
          <t>Copiar en Flexxus: Tipo=MB-EXT | Movimiento=GRAVAMEN LEY 25.413 S/CRED | Monto=592,80 | Fecha: 27/04/2026</t>
        </is>
      </c>
    </row>
    <row r="109">
      <c r="A109" s="8" t="inlineStr">
        <is>
          <t>PEND-13556158C1AB-A001</t>
        </is>
      </c>
      <c r="B109" s="8" t="inlineStr">
        <is>
          <t>ABIERTO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108781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578.35</v>
      </c>
      <c r="J109" s="9" t="inlineStr"/>
      <c r="K109" s="8" t="inlineStr">
        <is>
          <t>Copiar en Flexxus: Tipo=MB-EXT | Movimiento=INGRESOS BRUTOS MENDOZA | Monto=578,35 | Fecha: 27/04/2026</t>
        </is>
      </c>
    </row>
    <row r="110">
      <c r="A110" s="8" t="inlineStr">
        <is>
          <t>PEND-D5F041D4D407-A001</t>
        </is>
      </c>
      <c r="B110" s="8" t="inlineStr">
        <is>
          <t>ABIERTO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108841</t>
        </is>
      </c>
      <c r="F110" s="8" t="inlineStr">
        <is>
          <t>INGRESOS BRUTOS MENDOZA</t>
        </is>
      </c>
      <c r="G110" s="8" t="inlineStr">
        <is>
          <t>Retención Ingresos Brutos Mendoza</t>
        </is>
      </c>
      <c r="H110" s="8" t="inlineStr">
        <is>
          <t>Retención de Ingresos Brutos</t>
        </is>
      </c>
      <c r="I110" s="9" t="n">
        <v>576.37</v>
      </c>
      <c r="J110" s="9" t="inlineStr"/>
      <c r="K110" s="8" t="inlineStr">
        <is>
          <t>Copiar en Flexxus: Tipo=MB-EXT | Movimiento=INGRESOS BRUTOS MENDOZA | Monto=576,37 | Fecha: 27/04/2026</t>
        </is>
      </c>
    </row>
    <row r="111">
      <c r="A111" s="8" t="inlineStr">
        <is>
          <t>PEND-6AB0A8CC9996-A001</t>
        </is>
      </c>
      <c r="B111" s="8" t="inlineStr">
        <is>
          <t>ABIERTO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108818</t>
        </is>
      </c>
      <c r="F111" s="8" t="inlineStr">
        <is>
          <t>GRAVAMEN LEY 25413 S/CRED</t>
        </is>
      </c>
      <c r="G111" s="8" t="inlineStr">
        <is>
          <t>Anticipo Ganancias Ley 25.413 créditos</t>
        </is>
      </c>
      <c r="H111" s="8" t="inlineStr">
        <is>
          <t>Anticipo Impuesto a las Ganancias</t>
        </is>
      </c>
      <c r="I111" s="9" t="n">
        <v>564.48</v>
      </c>
      <c r="J111" s="9" t="inlineStr"/>
      <c r="K111" s="8" t="inlineStr">
        <is>
          <t>Copiar en Flexxus: Tipo=MB-EXT | Movimiento=GRAVAMEN LEY 25.413 S/CRED | Monto=564,48 | Fecha: 27/04/2026</t>
        </is>
      </c>
    </row>
    <row r="112">
      <c r="A112" s="8" t="inlineStr">
        <is>
          <t>PEND-422B21AF634D-A001</t>
        </is>
      </c>
      <c r="B112" s="8" t="inlineStr">
        <is>
          <t>ABIERTO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108830</t>
        </is>
      </c>
      <c r="F112" s="8" t="inlineStr">
        <is>
          <t>INGRESOS BRUTOS MENDOZA</t>
        </is>
      </c>
      <c r="G112" s="8" t="inlineStr">
        <is>
          <t>Retención Ingresos Brutos Mendoza</t>
        </is>
      </c>
      <c r="H112" s="8" t="inlineStr">
        <is>
          <t>Retención de Ingresos Brutos</t>
        </is>
      </c>
      <c r="I112" s="9" t="n">
        <v>549.63</v>
      </c>
      <c r="J112" s="9" t="inlineStr"/>
      <c r="K112" s="8" t="inlineStr">
        <is>
          <t>Copiar en Flexxus: Tipo=MB-EXT | Movimiento=INGRESOS BRUTOS MENDOZA | Monto=549,63 | Fecha: 27/04/2026</t>
        </is>
      </c>
    </row>
    <row r="113">
      <c r="A113" s="8" t="inlineStr">
        <is>
          <t>PEND-89ED2303F82E-A001</t>
        </is>
      </c>
      <c r="B113" s="8" t="inlineStr">
        <is>
          <t>ABIERTO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31995644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543.0599999999999</v>
      </c>
      <c r="J113" s="9" t="inlineStr"/>
      <c r="K113" s="8" t="inlineStr">
        <is>
          <t>Copiar en Flexxus: Tipo=MB-EXT | Movimiento=INGRESOS BRUTOS MENDOZA | Monto=543,06 | Fecha: 27/04/2026</t>
        </is>
      </c>
    </row>
    <row r="114">
      <c r="A114" s="8" t="inlineStr">
        <is>
          <t>PEND-3E11D9C7B7E8-A001</t>
        </is>
      </c>
      <c r="B114" s="8" t="inlineStr">
        <is>
          <t>ABIERTO</t>
        </is>
      </c>
      <c r="C114" s="8" t="inlineStr">
        <is>
          <t>Banco egreso no Flexxus</t>
        </is>
      </c>
      <c r="D114" s="8" t="inlineStr">
        <is>
          <t>28/04/2026</t>
        </is>
      </c>
      <c r="E114" s="8" t="inlineStr">
        <is>
          <t>29841627</t>
        </is>
      </c>
      <c r="F114" s="8" t="inlineStr">
        <is>
          <t>INGRESOS BRUTOS MENDOZA</t>
        </is>
      </c>
      <c r="G114" s="8" t="inlineStr">
        <is>
          <t>Retención Ingresos Brutos Mendoza</t>
        </is>
      </c>
      <c r="H114" s="8" t="inlineStr">
        <is>
          <t>Retención de Ingresos Brutos</t>
        </is>
      </c>
      <c r="I114" s="9" t="n">
        <v>528.24</v>
      </c>
      <c r="J114" s="9" t="inlineStr"/>
      <c r="K114" s="8" t="inlineStr">
        <is>
          <t>Copiar en Flexxus: Tipo=MB-EXT | Movimiento=INGRESOS BRUTOS MENDOZA | Monto=528,24 | Fecha: 28/04/2026</t>
        </is>
      </c>
    </row>
    <row r="115">
      <c r="A115" s="8" t="inlineStr">
        <is>
          <t>PEND-19A32B74E3F8-A001</t>
        </is>
      </c>
      <c r="B115" s="8" t="inlineStr">
        <is>
          <t>ABIERTO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108770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524.87</v>
      </c>
      <c r="J115" s="9" t="inlineStr"/>
      <c r="K115" s="8" t="inlineStr">
        <is>
          <t>Copiar en Flexxus: Tipo=MB-EXT | Movimiento=INGRESOS BRUTOS MENDOZA | Monto=524,87 | Fecha: 27/04/2026</t>
        </is>
      </c>
    </row>
    <row r="116">
      <c r="A116" s="8" t="inlineStr">
        <is>
          <t>PEND-897B2E6260D9-A001</t>
        </is>
      </c>
      <c r="B116" s="8" t="inlineStr">
        <is>
          <t>ABIERTO</t>
        </is>
      </c>
      <c r="C116" s="8" t="inlineStr">
        <is>
          <t>Banco egreso no Flexxus</t>
        </is>
      </c>
      <c r="D116" s="8" t="inlineStr">
        <is>
          <t>28/04/2026</t>
        </is>
      </c>
      <c r="E116" s="8" t="inlineStr">
        <is>
          <t>29841642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522.96</v>
      </c>
      <c r="J116" s="9" t="inlineStr"/>
      <c r="K116" s="8" t="inlineStr">
        <is>
          <t>Copiar en Flexxus: Tipo=MB-EXT | Movimiento=GRAVAMEN LEY 25.413 S/CRED | Monto=522,96 | Fecha: 28/04/2026</t>
        </is>
      </c>
    </row>
    <row r="117">
      <c r="A117" s="8" t="inlineStr">
        <is>
          <t>PEND-BF9D93CE6E7C-A001</t>
        </is>
      </c>
      <c r="B117" s="8" t="inlineStr">
        <is>
          <t>ABIERTO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108811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512.99</v>
      </c>
      <c r="J117" s="9" t="inlineStr"/>
      <c r="K117" s="8" t="inlineStr">
        <is>
          <t>Copiar en Flexxus: Tipo=MB-EXT | Movimiento=INGRESOS BRUTOS MENDOZA | Monto=512,99 | Fecha: 27/04/2026</t>
        </is>
      </c>
    </row>
    <row r="118">
      <c r="A118" s="8" t="inlineStr">
        <is>
          <t>PEND-F506FE40BA4C-A001</t>
        </is>
      </c>
      <c r="B118" s="8" t="inlineStr">
        <is>
          <t>ABIERTO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29841683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512.13</v>
      </c>
      <c r="J118" s="9" t="inlineStr"/>
      <c r="K118" s="8" t="inlineStr">
        <is>
          <t>Copiar en Flexxus: Tipo=MB-EXT | Movimiento=GRAVAMEN LEY 25.413 S/CRED | Monto=512,13 | Fecha: 27/04/2026</t>
        </is>
      </c>
    </row>
    <row r="119">
      <c r="A119" s="8" t="inlineStr">
        <is>
          <t>PEND-7AA9CDA57522-A001</t>
        </is>
      </c>
      <c r="B119" s="8" t="inlineStr">
        <is>
          <t>ABIERTO</t>
        </is>
      </c>
      <c r="C119" s="8" t="inlineStr">
        <is>
          <t>Banco egreso no Flexxus</t>
        </is>
      </c>
      <c r="D119" s="8" t="inlineStr">
        <is>
          <t>28/04/2026</t>
        </is>
      </c>
      <c r="E119" s="8" t="inlineStr">
        <is>
          <t>31995644</t>
        </is>
      </c>
      <c r="F119" s="8" t="inlineStr">
        <is>
          <t>GRAVAMEN LEY 25413 S/CRED</t>
        </is>
      </c>
      <c r="G119" s="8" t="inlineStr">
        <is>
          <t>Anticipo Ganancias Ley 25.413 créditos</t>
        </is>
      </c>
      <c r="H119" s="8" t="inlineStr">
        <is>
          <t>Anticipo Impuesto a las Ganancias</t>
        </is>
      </c>
      <c r="I119" s="9" t="n">
        <v>510.04</v>
      </c>
      <c r="J119" s="9" t="inlineStr"/>
      <c r="K119" s="8" t="inlineStr">
        <is>
          <t>Copiar en Flexxus: Tipo=MB-EXT | Movimiento=GRAVAMEN LEY 25.413 S/CRED | Monto=510,04 | Fecha: 28/04/2026</t>
        </is>
      </c>
    </row>
    <row r="120">
      <c r="A120" s="8" t="inlineStr">
        <is>
          <t>PEND-373494BB201A-A001</t>
        </is>
      </c>
      <c r="B120" s="8" t="inlineStr">
        <is>
          <t>ABIERTO</t>
        </is>
      </c>
      <c r="C120" s="8" t="inlineStr">
        <is>
          <t>Banco egreso no Flexxus</t>
        </is>
      </c>
      <c r="D120" s="8" t="inlineStr">
        <is>
          <t>28/04/2026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508.87</v>
      </c>
      <c r="J120" s="9" t="inlineStr"/>
      <c r="K120" s="8" t="inlineStr">
        <is>
          <t>Copiar en Flexxus: Tipo=MB-EXT | Movimiento=GRAVAMEN LEY 25.413 S/CRED | Monto=508,87 | Fecha: 28/04/2026</t>
        </is>
      </c>
    </row>
    <row r="121">
      <c r="A121" s="8" t="inlineStr">
        <is>
          <t>PEND-FFC895FC315A-A001</t>
        </is>
      </c>
      <c r="B121" s="8" t="inlineStr">
        <is>
          <t>ABIERTO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108795</t>
        </is>
      </c>
      <c r="F121" s="8" t="inlineStr">
        <is>
          <t>GRAVAMEN LEY 25413 S/CRED</t>
        </is>
      </c>
      <c r="G121" s="8" t="inlineStr">
        <is>
          <t>Anticipo Ganancias Ley 25.413 créditos</t>
        </is>
      </c>
      <c r="H121" s="8" t="inlineStr">
        <is>
          <t>Anticipo Impuesto a las Ganancias</t>
        </is>
      </c>
      <c r="I121" s="9" t="n">
        <v>506.25</v>
      </c>
      <c r="J121" s="9" t="inlineStr"/>
      <c r="K121" s="8" t="inlineStr">
        <is>
          <t>Copiar en Flexxus: Tipo=MB-EXT | Movimiento=GRAVAMEN LEY 25.413 S/CRED | Monto=506,25 | Fecha: 27/04/2026</t>
        </is>
      </c>
    </row>
    <row r="122">
      <c r="A122" s="8" t="inlineStr">
        <is>
          <t>PEND-DB776A85B8CB-A001</t>
        </is>
      </c>
      <c r="B122" s="8" t="inlineStr">
        <is>
          <t>ABIERTO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108763</t>
        </is>
      </c>
      <c r="F122" s="8" t="inlineStr">
        <is>
          <t>INGRESOS BRUTOS MENDOZA</t>
        </is>
      </c>
      <c r="G122" s="8" t="inlineStr">
        <is>
          <t>Retención Ingresos Brutos Mendoza</t>
        </is>
      </c>
      <c r="H122" s="8" t="inlineStr">
        <is>
          <t>Retención de Ingresos Brutos</t>
        </is>
      </c>
      <c r="I122" s="9" t="n">
        <v>506.05</v>
      </c>
      <c r="J122" s="9" t="inlineStr"/>
      <c r="K122" s="8" t="inlineStr">
        <is>
          <t>Copiar en Flexxus: Tipo=MB-EXT | Movimiento=INGRESOS BRUTOS MENDOZA | Monto=506,05 | Fecha: 27/04/2026</t>
        </is>
      </c>
    </row>
    <row r="123">
      <c r="A123" s="8" t="inlineStr">
        <is>
          <t>PEND-094E5E0346D4-A001</t>
        </is>
      </c>
      <c r="B123" s="8" t="inlineStr">
        <is>
          <t>ABIERTO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108812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495.16</v>
      </c>
      <c r="J123" s="9" t="inlineStr"/>
      <c r="K123" s="8" t="inlineStr">
        <is>
          <t>Copiar en Flexxus: Tipo=MB-EXT | Movimiento=INGRESOS BRUTOS MENDOZA | Monto=495,16 | Fecha: 27/04/2026</t>
        </is>
      </c>
    </row>
    <row r="124">
      <c r="A124" s="8" t="inlineStr">
        <is>
          <t>PEND-BB7F391A6524-A001</t>
        </is>
      </c>
      <c r="B124" s="8" t="inlineStr">
        <is>
          <t>ABIERTO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108821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478.32</v>
      </c>
      <c r="J124" s="9" t="inlineStr"/>
      <c r="K124" s="8" t="inlineStr">
        <is>
          <t>Copiar en Flexxus: Tipo=MB-EXT | Movimiento=GRAVAMEN LEY 25.413 S/CRED | Monto=478,32 | Fecha: 27/04/2026</t>
        </is>
      </c>
    </row>
    <row r="125">
      <c r="A125" s="8" t="inlineStr">
        <is>
          <t>PEND-A7DA1CE584DC-A001</t>
        </is>
      </c>
      <c r="B125" s="8" t="inlineStr">
        <is>
          <t>ABIERTO</t>
        </is>
      </c>
      <c r="C125" s="8" t="inlineStr">
        <is>
          <t>Banco egreso no Flexxus</t>
        </is>
      </c>
      <c r="D125" s="8" t="inlineStr">
        <is>
          <t>28/04/2026</t>
        </is>
      </c>
      <c r="E125" s="8" t="inlineStr">
        <is>
          <t>109261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478.32</v>
      </c>
      <c r="J125" s="9" t="inlineStr"/>
      <c r="K125" s="8" t="inlineStr">
        <is>
          <t>Copiar en Flexxus: Tipo=MB-EXT | Movimiento=INGRESOS BRUTOS MENDOZA | Monto=478,32 | Fecha: 28/04/2026</t>
        </is>
      </c>
    </row>
    <row r="126">
      <c r="A126" s="8" t="inlineStr">
        <is>
          <t>PEND-065A52F61748-A001</t>
        </is>
      </c>
      <c r="B126" s="8" t="inlineStr">
        <is>
          <t>ABIERTO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108796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468.22</v>
      </c>
      <c r="J126" s="9" t="inlineStr"/>
      <c r="K126" s="8" t="inlineStr">
        <is>
          <t>Copiar en Flexxus: Tipo=MB-EXT | Movimiento=GRAVAMEN LEY 25.413 S/CRED | Monto=468,22 | Fecha: 27/04/2026</t>
        </is>
      </c>
    </row>
    <row r="127">
      <c r="A127" s="8" t="inlineStr">
        <is>
          <t>PEND-C14D000D526E-A001</t>
        </is>
      </c>
      <c r="B127" s="8" t="inlineStr">
        <is>
          <t>ABIERTO</t>
        </is>
      </c>
      <c r="C127" s="8" t="inlineStr">
        <is>
          <t>Banco egreso no Flexxus</t>
        </is>
      </c>
      <c r="D127" s="8" t="inlineStr">
        <is>
          <t>28/04/2026</t>
        </is>
      </c>
      <c r="E127" s="8" t="inlineStr">
        <is>
          <t>29841642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464.31</v>
      </c>
      <c r="J127" s="9" t="inlineStr"/>
      <c r="K127" s="8" t="inlineStr">
        <is>
          <t>Copiar en Flexxus: Tipo=MB-EXT | Movimiento=INGRESOS BRUTOS MENDOZA | Monto=464,31 | Fecha: 28/04/2026</t>
        </is>
      </c>
    </row>
    <row r="128">
      <c r="A128" s="8" t="inlineStr">
        <is>
          <t>PEND-DC3A19B8E43F-A001</t>
        </is>
      </c>
      <c r="B128" s="8" t="inlineStr">
        <is>
          <t>ABIERTO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108771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459.51</v>
      </c>
      <c r="J128" s="9" t="inlineStr"/>
      <c r="K128" s="8" t="inlineStr">
        <is>
          <t>Copiar en Flexxus: Tipo=MB-EXT | Movimiento=INGRESOS BRUTOS MENDOZA | Monto=459,51 | Fecha: 27/04/2026</t>
        </is>
      </c>
    </row>
    <row r="129">
      <c r="A129" s="8" t="inlineStr">
        <is>
          <t>PEND-81A67D1D346F-A001</t>
        </is>
      </c>
      <c r="B129" s="8" t="inlineStr">
        <is>
          <t>ABIERTO</t>
        </is>
      </c>
      <c r="C129" s="8" t="inlineStr">
        <is>
          <t>Banco egreso no Flexxus</t>
        </is>
      </c>
      <c r="D129" s="8" t="inlineStr">
        <is>
          <t>28/04/2026</t>
        </is>
      </c>
      <c r="E129" s="8" t="inlineStr">
        <is>
          <t>29841627</t>
        </is>
      </c>
      <c r="F129" s="8" t="inlineStr">
        <is>
          <t>GRAVAMEN LEY 25413 S/CRED</t>
        </is>
      </c>
      <c r="G129" s="8" t="inlineStr">
        <is>
          <t>Anticipo Ganancias Ley 25.413 créditos</t>
        </is>
      </c>
      <c r="H129" s="8" t="inlineStr">
        <is>
          <t>Anticipo Impuesto a las Ganancias</t>
        </is>
      </c>
      <c r="I129" s="9" t="n">
        <v>456.94</v>
      </c>
      <c r="J129" s="9" t="inlineStr"/>
      <c r="K129" s="8" t="inlineStr">
        <is>
          <t>Copiar en Flexxus: Tipo=MB-EXT | Movimiento=GRAVAMEN LEY 25.413 S/CRED | Monto=456,94 | Fecha: 28/04/2026</t>
        </is>
      </c>
    </row>
    <row r="130">
      <c r="A130" s="8" t="inlineStr">
        <is>
          <t>PEND-B9F31FC0E914-A001</t>
        </is>
      </c>
      <c r="B130" s="8" t="inlineStr">
        <is>
          <t>ABIERTO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108810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454.56</v>
      </c>
      <c r="J130" s="9" t="inlineStr"/>
      <c r="K130" s="8" t="inlineStr">
        <is>
          <t>Copiar en Flexxus: Tipo=MB-EXT | Movimiento=GRAVAMEN LEY 25.413 S/CRED | Monto=454,56 | Fecha: 27/04/2026</t>
        </is>
      </c>
    </row>
    <row r="131">
      <c r="A131" s="8" t="inlineStr">
        <is>
          <t>PEND-4AEE7A1B795E-A001</t>
        </is>
      </c>
      <c r="B131" s="8" t="inlineStr">
        <is>
          <t>ABIERTO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108787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454.56</v>
      </c>
      <c r="J131" s="9" t="inlineStr"/>
      <c r="K131" s="8" t="inlineStr">
        <is>
          <t>Copiar en Flexxus: Tipo=MB-EXT | Movimiento=INGRESOS BRUTOS MENDOZA | Monto=454,56 | Fecha: 27/04/2026</t>
        </is>
      </c>
    </row>
    <row r="132">
      <c r="A132" s="8" t="inlineStr">
        <is>
          <t>PEND-62DE2A4369C7-A001</t>
        </is>
      </c>
      <c r="B132" s="8" t="inlineStr">
        <is>
          <t>ABIERTO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108774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453.37</v>
      </c>
      <c r="J132" s="9" t="inlineStr"/>
      <c r="K132" s="8" t="inlineStr">
        <is>
          <t>Copiar en Flexxus: Tipo=MB-EXT | Movimiento=GRAVAMEN LEY 25.413 S/CRED | Monto=453,37 | Fecha: 27/04/2026</t>
        </is>
      </c>
    </row>
    <row r="133">
      <c r="A133" s="8" t="inlineStr">
        <is>
          <t>PEND-1CC45A8543E1-A001</t>
        </is>
      </c>
      <c r="B133" s="8" t="inlineStr">
        <is>
          <t>ABIERTO</t>
        </is>
      </c>
      <c r="C133" s="8" t="inlineStr">
        <is>
          <t>Banco egreso no Flexxus</t>
        </is>
      </c>
      <c r="D133" s="8" t="inlineStr">
        <is>
          <t>28/04/2026</t>
        </is>
      </c>
      <c r="E133" s="8" t="inlineStr">
        <is>
          <t>31995644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438.13</v>
      </c>
      <c r="J133" s="9" t="inlineStr"/>
      <c r="K133" s="8" t="inlineStr">
        <is>
          <t>Copiar en Flexxus: Tipo=MB-EXT | Movimiento=INGRESOS BRUTOS MENDOZA | Monto=438,13 | Fecha: 28/04/2026</t>
        </is>
      </c>
    </row>
    <row r="134">
      <c r="A134" s="8" t="inlineStr">
        <is>
          <t>PEND-16B15324D2AE-A001</t>
        </is>
      </c>
      <c r="B134" s="8" t="inlineStr">
        <is>
          <t>ABIERTO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108784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437.33</v>
      </c>
      <c r="J134" s="9" t="inlineStr"/>
      <c r="K134" s="8" t="inlineStr">
        <is>
          <t>Copiar en Flexxus: Tipo=MB-EXT | Movimiento=GRAVAMEN LEY 25.413 S/CRED | Monto=437,33 | Fecha: 27/04/2026</t>
        </is>
      </c>
    </row>
    <row r="135">
      <c r="A135" s="8" t="inlineStr">
        <is>
          <t>PEND-ABA16C4D608F-A001</t>
        </is>
      </c>
      <c r="B135" s="8" t="inlineStr">
        <is>
          <t>ABIERTO</t>
        </is>
      </c>
      <c r="C135" s="8" t="inlineStr">
        <is>
          <t>Banco egreso no Flexxus</t>
        </is>
      </c>
      <c r="D135" s="8" t="inlineStr">
        <is>
          <t>28/04/2026</t>
        </is>
      </c>
      <c r="E135" s="8" t="inlineStr">
        <is>
          <t>32032899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436.97</v>
      </c>
      <c r="J135" s="9" t="inlineStr"/>
      <c r="K135" s="8" t="inlineStr">
        <is>
          <t>Copiar en Flexxus: Tipo=MB-EXT | Movimiento=GRAVAMEN LEY 25.413 S/CRED | Monto=436,97 | Fecha: 28/04/2026</t>
        </is>
      </c>
    </row>
    <row r="136">
      <c r="A136" s="8" t="inlineStr">
        <is>
          <t>PEND-4336E1E265EF-A001</t>
        </is>
      </c>
      <c r="B136" s="8" t="inlineStr">
        <is>
          <t>ABIERTO</t>
        </is>
      </c>
      <c r="C136" s="8" t="inlineStr">
        <is>
          <t>Banco egreso no Flexxus</t>
        </is>
      </c>
      <c r="D136" s="8" t="inlineStr">
        <is>
          <t>28/04/2026</t>
        </is>
      </c>
      <c r="E136" s="8" t="inlineStr">
        <is>
          <t>109283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434.95</v>
      </c>
      <c r="J136" s="9" t="inlineStr"/>
      <c r="K136" s="8" t="inlineStr">
        <is>
          <t>Copiar en Flexxus: Tipo=MB-EXT | Movimiento=GRAVAMEN LEY 25.413 S/CRED | Monto=434,95 | Fecha: 28/04/2026</t>
        </is>
      </c>
    </row>
    <row r="137">
      <c r="A137" s="8" t="inlineStr">
        <is>
          <t>PEND-FF69AFE61B71-A001</t>
        </is>
      </c>
      <c r="B137" s="8" t="inlineStr">
        <is>
          <t>ABIERTO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108817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433.76</v>
      </c>
      <c r="J137" s="9" t="inlineStr"/>
      <c r="K137" s="8" t="inlineStr">
        <is>
          <t>Copiar en Flexxus: Tipo=MB-EXT | Movimiento=INGRESOS BRUTOS MENDOZA | Monto=433,76 | Fecha: 27/04/2026</t>
        </is>
      </c>
    </row>
    <row r="138">
      <c r="A138" s="8" t="inlineStr">
        <is>
          <t>PEND-7C6E9A7E614F-A001</t>
        </is>
      </c>
      <c r="B138" s="8" t="inlineStr">
        <is>
          <t>ABIERTO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108798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429.8</v>
      </c>
      <c r="J138" s="9" t="inlineStr"/>
      <c r="K138" s="8" t="inlineStr">
        <is>
          <t>Copiar en Flexxus: Tipo=MB-EXT | Movimiento=INGRESOS BRUTOS MENDOZA | Monto=429,80 | Fecha: 27/04/2026</t>
        </is>
      </c>
    </row>
    <row r="139">
      <c r="A139" s="8" t="inlineStr">
        <is>
          <t>PEND-8DD43409A7DE-A001</t>
        </is>
      </c>
      <c r="B139" s="8" t="inlineStr">
        <is>
          <t>ABIERTO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108827</t>
        </is>
      </c>
      <c r="F139" s="8" t="inlineStr">
        <is>
          <t>GRAVAMEN LEY 25413 S/CRED</t>
        </is>
      </c>
      <c r="G139" s="8" t="inlineStr">
        <is>
          <t>Anticipo Ganancias Ley 25.413 créditos</t>
        </is>
      </c>
      <c r="H139" s="8" t="inlineStr">
        <is>
          <t>Anticipo Impuesto a las Ganancias</t>
        </is>
      </c>
      <c r="I139" s="9" t="n">
        <v>419.5</v>
      </c>
      <c r="J139" s="9" t="inlineStr"/>
      <c r="K139" s="8" t="inlineStr">
        <is>
          <t>Copiar en Flexxus: Tipo=MB-EXT | Movimiento=GRAVAMEN LEY 25.413 S/CRED | Monto=419,50 | Fecha: 27/04/2026</t>
        </is>
      </c>
    </row>
    <row r="140">
      <c r="A140" s="8" t="inlineStr">
        <is>
          <t>PEND-6DBBADEAF2DB-A001</t>
        </is>
      </c>
      <c r="B140" s="8" t="inlineStr">
        <is>
          <t>ABIERTO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108838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417.12</v>
      </c>
      <c r="J140" s="9" t="inlineStr"/>
      <c r="K140" s="8" t="inlineStr">
        <is>
          <t>Copiar en Flexxus: Tipo=MB-EXT | Movimiento=GRAVAMEN LEY 25.413 S/CRED | Monto=417,12 | Fecha: 27/04/2026</t>
        </is>
      </c>
    </row>
    <row r="141">
      <c r="A141" s="8" t="inlineStr">
        <is>
          <t>PEND-8905E3CA91A2-A001</t>
        </is>
      </c>
      <c r="B141" s="8" t="inlineStr">
        <is>
          <t>ABIERTO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29841670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413.2</v>
      </c>
      <c r="J141" s="9" t="inlineStr"/>
      <c r="K141" s="8" t="inlineStr">
        <is>
          <t>Copiar en Flexxus: Tipo=MB-EXT | Movimiento=GRAVAMEN LEY 25.413 S/CRED | Monto=413,20 | Fecha: 27/04/2026</t>
        </is>
      </c>
    </row>
    <row r="142">
      <c r="A142" s="8" t="inlineStr">
        <is>
          <t>PEND-C2A5237B04C5-A001</t>
        </is>
      </c>
      <c r="B142" s="8" t="inlineStr">
        <is>
          <t>ABIERTO</t>
        </is>
      </c>
      <c r="C142" s="8" t="inlineStr">
        <is>
          <t>Banco egreso no Flexxus</t>
        </is>
      </c>
      <c r="D142" s="8" t="inlineStr">
        <is>
          <t>28/04/2026</t>
        </is>
      </c>
      <c r="E142" s="8" t="inlineStr">
        <is>
          <t>109281</t>
        </is>
      </c>
      <c r="F142" s="8" t="inlineStr">
        <is>
          <t>INGRESOS BRUTOS MENDOZA</t>
        </is>
      </c>
      <c r="G142" s="8" t="inlineStr">
        <is>
          <t>Retención Ingresos Brutos Mendoza</t>
        </is>
      </c>
      <c r="H142" s="8" t="inlineStr">
        <is>
          <t>Retención de Ingresos Brutos</t>
        </is>
      </c>
      <c r="I142" s="9" t="n">
        <v>406.03</v>
      </c>
      <c r="J142" s="9" t="inlineStr"/>
      <c r="K142" s="8" t="inlineStr">
        <is>
          <t>Copiar en Flexxus: Tipo=MB-EXT | Movimiento=INGRESOS BRUTOS MENDOZA | Monto=406,03 | Fecha: 28/04/2026</t>
        </is>
      </c>
    </row>
    <row r="143">
      <c r="A143" s="8" t="inlineStr">
        <is>
          <t>PEND-A92487D06EC2-A001</t>
        </is>
      </c>
      <c r="B143" s="8" t="inlineStr">
        <is>
          <t>ABIERTO</t>
        </is>
      </c>
      <c r="C143" s="8" t="inlineStr">
        <is>
          <t>Banco egreso no Flexxus</t>
        </is>
      </c>
      <c r="D143" s="8" t="inlineStr">
        <is>
          <t>28/04/2026</t>
        </is>
      </c>
      <c r="E143" s="8" t="inlineStr">
        <is>
          <t>109280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406.03</v>
      </c>
      <c r="J143" s="9" t="inlineStr"/>
      <c r="K143" s="8" t="inlineStr">
        <is>
          <t>Copiar en Flexxus: Tipo=MB-EXT | Movimiento=INGRESOS BRUTOS MENDOZA | Monto=406,03 | Fecha: 28/04/2026</t>
        </is>
      </c>
    </row>
    <row r="144">
      <c r="A144" s="8" t="inlineStr">
        <is>
          <t>PEND-AC49CCAD2E3A-A001</t>
        </is>
      </c>
      <c r="B144" s="8" t="inlineStr">
        <is>
          <t>ABIERTO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108840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402.27</v>
      </c>
      <c r="J144" s="9" t="inlineStr"/>
      <c r="K144" s="8" t="inlineStr">
        <is>
          <t>Copiar en Flexxus: Tipo=MB-EXT | Movimiento=GRAVAMEN LEY 25.413 S/CRED | Monto=402,27 | Fecha: 27/04/2026</t>
        </is>
      </c>
    </row>
    <row r="145">
      <c r="A145" s="8" t="inlineStr">
        <is>
          <t>PEND-9DC7167ED0B3-A001</t>
        </is>
      </c>
      <c r="B145" s="8" t="inlineStr">
        <is>
          <t>ABIERTO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108761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401.08</v>
      </c>
      <c r="J145" s="9" t="inlineStr"/>
      <c r="K145" s="8" t="inlineStr">
        <is>
          <t>Copiar en Flexxus: Tipo=MB-EXT | Movimiento=INGRESOS BRUTOS MENDOZA | Monto=401,08 | Fecha: 27/04/2026</t>
        </is>
      </c>
    </row>
    <row r="146">
      <c r="A146" s="8" t="inlineStr">
        <is>
          <t>PEND-BF4669D985E2-A001</t>
        </is>
      </c>
      <c r="B146" s="8" t="inlineStr">
        <is>
          <t>ABIERTO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29841670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397.16</v>
      </c>
      <c r="J146" s="9" t="inlineStr"/>
      <c r="K146" s="8" t="inlineStr">
        <is>
          <t>Copiar en Flexxus: Tipo=MB-EXT | Movimiento=INGRESOS BRUTOS MENDOZA | Monto=397,16 | Fecha: 27/04/2026</t>
        </is>
      </c>
    </row>
    <row r="147">
      <c r="A147" s="8" t="inlineStr">
        <is>
          <t>PEND-7953228046DD-A001</t>
        </is>
      </c>
      <c r="B147" s="8" t="inlineStr">
        <is>
          <t>ABIERTO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108780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395.73</v>
      </c>
      <c r="J147" s="9" t="inlineStr"/>
      <c r="K147" s="8" t="inlineStr">
        <is>
          <t>Copiar en Flexxus: Tipo=MB-EXT | Movimiento=GRAVAMEN LEY 25.413 S/CRED | Monto=395,73 | Fecha: 27/04/2026</t>
        </is>
      </c>
    </row>
    <row r="148">
      <c r="A148" s="8" t="inlineStr">
        <is>
          <t>PEND-3A8F28548126-A001</t>
        </is>
      </c>
      <c r="B148" s="8" t="inlineStr">
        <is>
          <t>ABIERTO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108804</t>
        </is>
      </c>
      <c r="F148" s="8" t="inlineStr">
        <is>
          <t>INGRESOS BRUTOS MENDOZA</t>
        </is>
      </c>
      <c r="G148" s="8" t="inlineStr">
        <is>
          <t>Retención Ingresos Brutos Mendoza</t>
        </is>
      </c>
      <c r="H148" s="8" t="inlineStr">
        <is>
          <t>Retención de Ingresos Brutos</t>
        </is>
      </c>
      <c r="I148" s="9" t="n">
        <v>388.21</v>
      </c>
      <c r="J148" s="9" t="inlineStr"/>
      <c r="K148" s="8" t="inlineStr">
        <is>
          <t>Copiar en Flexxus: Tipo=MB-EXT | Movimiento=INGRESOS BRUTOS MENDOZA | Monto=388,21 | Fecha: 27/04/2026</t>
        </is>
      </c>
    </row>
    <row r="149">
      <c r="A149" s="8" t="inlineStr">
        <is>
          <t>PEND-63A109388859-A001</t>
        </is>
      </c>
      <c r="B149" s="8" t="inlineStr">
        <is>
          <t>ABIERTO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108837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387.41</v>
      </c>
      <c r="J149" s="9" t="inlineStr"/>
      <c r="K149" s="8" t="inlineStr">
        <is>
          <t>Copiar en Flexxus: Tipo=MB-EXT | Movimiento=GRAVAMEN LEY 25.413 S/CRED | Monto=387,41 | Fecha: 27/04/2026</t>
        </is>
      </c>
    </row>
    <row r="150">
      <c r="A150" s="8" t="inlineStr">
        <is>
          <t>PEND-F883EACCC507-A001</t>
        </is>
      </c>
      <c r="B150" s="8" t="inlineStr">
        <is>
          <t>ABIERTO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108833</t>
        </is>
      </c>
      <c r="F150" s="8" t="inlineStr">
        <is>
          <t>INGRESOS BRUTOS MENDOZA</t>
        </is>
      </c>
      <c r="G150" s="8" t="inlineStr">
        <is>
          <t>Retención Ingresos Brutos Mendoza</t>
        </is>
      </c>
      <c r="H150" s="8" t="inlineStr">
        <is>
          <t>Retención de Ingresos Brutos</t>
        </is>
      </c>
      <c r="I150" s="9" t="n">
        <v>387.22</v>
      </c>
      <c r="J150" s="9" t="inlineStr"/>
      <c r="K150" s="8" t="inlineStr">
        <is>
          <t>Copiar en Flexxus: Tipo=MB-EXT | Movimiento=INGRESOS BRUTOS MENDOZA | Monto=387,22 | Fecha: 27/04/2026</t>
        </is>
      </c>
    </row>
    <row r="151">
      <c r="A151" s="8" t="inlineStr">
        <is>
          <t>PEND-3852F852D99F-A001</t>
        </is>
      </c>
      <c r="B151" s="8" t="inlineStr">
        <is>
          <t>ABIERTO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108802</t>
        </is>
      </c>
      <c r="F151" s="8" t="inlineStr">
        <is>
          <t>INGRESOS BRUTOS MENDOZA</t>
        </is>
      </c>
      <c r="G151" s="8" t="inlineStr">
        <is>
          <t>Retención Ingresos Brutos Mendoza</t>
        </is>
      </c>
      <c r="H151" s="8" t="inlineStr">
        <is>
          <t>Retención de Ingresos Brutos</t>
        </is>
      </c>
      <c r="I151" s="9" t="n">
        <v>381.27</v>
      </c>
      <c r="J151" s="9" t="inlineStr"/>
      <c r="K151" s="8" t="inlineStr">
        <is>
          <t>Copiar en Flexxus: Tipo=MB-EXT | Movimiento=INGRESOS BRUTOS MENDOZA | Monto=381,27 | Fecha: 27/04/2026</t>
        </is>
      </c>
    </row>
    <row r="152">
      <c r="A152" s="8" t="inlineStr">
        <is>
          <t>PEND-9ADC81A6494A-A001</t>
        </is>
      </c>
      <c r="B152" s="8" t="inlineStr">
        <is>
          <t>ABIERTO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108782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378.5</v>
      </c>
      <c r="J152" s="9" t="inlineStr"/>
      <c r="K152" s="8" t="inlineStr">
        <is>
          <t>Copiar en Flexxus: Tipo=MB-EXT | Movimiento=GRAVAMEN LEY 25.413 S/CRED | Monto=378,50 | Fecha: 27/04/2026</t>
        </is>
      </c>
    </row>
    <row r="153">
      <c r="A153" s="8" t="inlineStr">
        <is>
          <t>PEND-F6143F5D772F-A001</t>
        </is>
      </c>
      <c r="B153" s="8" t="inlineStr">
        <is>
          <t>ABIERTO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108775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376.12</v>
      </c>
      <c r="J153" s="9" t="inlineStr"/>
      <c r="K153" s="8" t="inlineStr">
        <is>
          <t>Copiar en Flexxus: Tipo=MB-EXT | Movimiento=GRAVAMEN LEY 25.413 S/CRED | Monto=376,12 | Fecha: 27/04/2026</t>
        </is>
      </c>
    </row>
    <row r="154">
      <c r="A154" s="8" t="inlineStr">
        <is>
          <t>PEND-D737B5E7C16B-A001</t>
        </is>
      </c>
      <c r="B154" s="8" t="inlineStr">
        <is>
          <t>ABIERTO</t>
        </is>
      </c>
      <c r="C154" s="8" t="inlineStr">
        <is>
          <t>Banco egreso no Flexxus</t>
        </is>
      </c>
      <c r="D154" s="8" t="inlineStr">
        <is>
          <t>28/04/2026</t>
        </is>
      </c>
      <c r="E154" s="8" t="inlineStr">
        <is>
          <t>29841705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375.64</v>
      </c>
      <c r="J154" s="9" t="inlineStr"/>
      <c r="K154" s="8" t="inlineStr">
        <is>
          <t>Copiar en Flexxus: Tipo=MB-EXT | Movimiento=GRAVAMEN LEY 25.413 S/CRED | Monto=375,64 | Fecha: 28/04/2026</t>
        </is>
      </c>
    </row>
    <row r="155">
      <c r="A155" s="8" t="inlineStr">
        <is>
          <t>PEND-A298C9150C20-A001</t>
        </is>
      </c>
      <c r="B155" s="8" t="inlineStr">
        <is>
          <t>ABIERTO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108807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365.43</v>
      </c>
      <c r="J155" s="9" t="inlineStr"/>
      <c r="K155" s="8" t="inlineStr">
        <is>
          <t>Copiar en Flexxus: Tipo=MB-EXT | Movimiento=GRAVAMEN LEY 25.413 S/CRED | Monto=365,43 | Fecha: 27/04/2026</t>
        </is>
      </c>
    </row>
    <row r="156">
      <c r="A156" s="8" t="inlineStr">
        <is>
          <t>PEND-F64547B80AB0-A001</t>
        </is>
      </c>
      <c r="B156" s="8" t="inlineStr">
        <is>
          <t>ABIERTO</t>
        </is>
      </c>
      <c r="C156" s="8" t="inlineStr">
        <is>
          <t>Banco egreso no Flexxus</t>
        </is>
      </c>
      <c r="D156" s="8" t="inlineStr">
        <is>
          <t>28/04/2026</t>
        </is>
      </c>
      <c r="E156" s="8" t="inlineStr">
        <is>
          <t>109243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361.47</v>
      </c>
      <c r="J156" s="9" t="inlineStr"/>
      <c r="K156" s="8" t="inlineStr">
        <is>
          <t>Copiar en Flexxus: Tipo=MB-EXT | Movimiento=INGRESOS BRUTOS MENDOZA | Monto=361,47 | Fecha: 28/04/2026</t>
        </is>
      </c>
    </row>
    <row r="157">
      <c r="A157" s="8" t="inlineStr">
        <is>
          <t>PEND-94CE5B1530E5-A001</t>
        </is>
      </c>
      <c r="B157" s="8" t="inlineStr">
        <is>
          <t>ABIERTO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108842</t>
        </is>
      </c>
      <c r="F157" s="8" t="inlineStr">
        <is>
          <t>GRAVAMEN LEY 25413 S/CRED</t>
        </is>
      </c>
      <c r="G157" s="8" t="inlineStr">
        <is>
          <t>Anticipo Ganancias Ley 25.413 créditos</t>
        </is>
      </c>
      <c r="H157" s="8" t="inlineStr">
        <is>
          <t>Anticipo Impuesto a las Ganancias</t>
        </is>
      </c>
      <c r="I157" s="9" t="n">
        <v>360.08</v>
      </c>
      <c r="J157" s="9" t="inlineStr"/>
      <c r="K157" s="8" t="inlineStr">
        <is>
          <t>Copiar en Flexxus: Tipo=MB-EXT | Movimiento=GRAVAMEN LEY 25.413 S/CRED | Monto=360,08 | Fecha: 27/04/2026</t>
        </is>
      </c>
    </row>
    <row r="158">
      <c r="A158" s="8" t="inlineStr">
        <is>
          <t>PEND-487F6E9F3374-A001</t>
        </is>
      </c>
      <c r="B158" s="8" t="inlineStr">
        <is>
          <t>ABIERTO</t>
        </is>
      </c>
      <c r="C158" s="8" t="inlineStr">
        <is>
          <t>Banco egreso no Flexxus</t>
        </is>
      </c>
      <c r="D158" s="8" t="inlineStr">
        <is>
          <t>28/04/2026</t>
        </is>
      </c>
      <c r="E158" s="8" t="inlineStr">
        <is>
          <t>32032899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356.27</v>
      </c>
      <c r="J158" s="9" t="inlineStr"/>
      <c r="K158" s="8" t="inlineStr">
        <is>
          <t>Copiar en Flexxus: Tipo=MB-EXT | Movimiento=GRAVAMEN LEY 25.413 S/CRED | Monto=356,27 | Fecha: 28/04/2026</t>
        </is>
      </c>
    </row>
    <row r="159">
      <c r="A159" s="8" t="inlineStr">
        <is>
          <t>PEND-252F0FEAA98B-A001</t>
        </is>
      </c>
      <c r="B159" s="8" t="inlineStr">
        <is>
          <t>ABIERTO</t>
        </is>
      </c>
      <c r="C159" s="8" t="inlineStr">
        <is>
          <t>Banco egreso no Flexxus</t>
        </is>
      </c>
      <c r="D159" s="8" t="inlineStr">
        <is>
          <t>28/04/2026</t>
        </is>
      </c>
      <c r="E159" s="8" t="inlineStr">
        <is>
          <t>29841705</t>
        </is>
      </c>
      <c r="F159" s="8" t="inlineStr">
        <is>
          <t>INGRESOS BRUTOS MENDOZA</t>
        </is>
      </c>
      <c r="G159" s="8" t="inlineStr">
        <is>
          <t>Retención Ingresos Brutos Mendoza</t>
        </is>
      </c>
      <c r="H159" s="8" t="inlineStr">
        <is>
          <t>Retención de Ingresos Brutos</t>
        </is>
      </c>
      <c r="I159" s="9" t="n">
        <v>352.16</v>
      </c>
      <c r="J159" s="9" t="inlineStr"/>
      <c r="K159" s="8" t="inlineStr">
        <is>
          <t>Copiar en Flexxus: Tipo=MB-EXT | Movimiento=INGRESOS BRUTOS MENDOZA | Monto=352,16 | Fecha: 28/04/2026</t>
        </is>
      </c>
    </row>
    <row r="160">
      <c r="A160" s="8" t="inlineStr">
        <is>
          <t>PEND-430B9F510052-A001</t>
        </is>
      </c>
      <c r="B160" s="8" t="inlineStr">
        <is>
          <t>ABIERTO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108781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347.01</v>
      </c>
      <c r="J160" s="9" t="inlineStr"/>
      <c r="K160" s="8" t="inlineStr">
        <is>
          <t>Copiar en Flexxus: Tipo=MB-EXT | Movimiento=GRAVAMEN LEY 25.413 S/CRED | Monto=347,01 | Fecha: 27/04/2026</t>
        </is>
      </c>
    </row>
    <row r="161">
      <c r="A161" s="8" t="inlineStr">
        <is>
          <t>PEND-61DAA36662F9-A001</t>
        </is>
      </c>
      <c r="B161" s="8" t="inlineStr">
        <is>
          <t>ABIERTO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108841</t>
        </is>
      </c>
      <c r="F161" s="8" t="inlineStr">
        <is>
          <t>GRAVAMEN LEY 25413 S/CRED</t>
        </is>
      </c>
      <c r="G161" s="8" t="inlineStr">
        <is>
          <t>Anticipo Ganancias Ley 25.413 créditos</t>
        </is>
      </c>
      <c r="H161" s="8" t="inlineStr">
        <is>
          <t>Anticipo Impuesto a las Ganancias</t>
        </is>
      </c>
      <c r="I161" s="9" t="n">
        <v>345.82</v>
      </c>
      <c r="J161" s="9" t="inlineStr"/>
      <c r="K161" s="8" t="inlineStr">
        <is>
          <t>Copiar en Flexxus: Tipo=MB-EXT | Movimiento=GRAVAMEN LEY 25.413 S/CRED | Monto=345,82 | Fecha: 27/04/2026</t>
        </is>
      </c>
    </row>
    <row r="162">
      <c r="A162" s="8" t="inlineStr">
        <is>
          <t>PEND-A2BA4951E622-A001</t>
        </is>
      </c>
      <c r="B162" s="8" t="inlineStr">
        <is>
          <t>ABIERTO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108836</t>
        </is>
      </c>
      <c r="F162" s="8" t="inlineStr">
        <is>
          <t>INGRESOS BRUTOS MENDOZA</t>
        </is>
      </c>
      <c r="G162" s="8" t="inlineStr">
        <is>
          <t>Retención Ingresos Brutos Mendoza</t>
        </is>
      </c>
      <c r="H162" s="8" t="inlineStr">
        <is>
          <t>Retención de Ingresos Brutos</t>
        </is>
      </c>
      <c r="I162" s="9" t="n">
        <v>344.63</v>
      </c>
      <c r="J162" s="9" t="inlineStr"/>
      <c r="K162" s="8" t="inlineStr">
        <is>
          <t>Copiar en Flexxus: Tipo=MB-EXT | Movimiento=INGRESOS BRUTOS MENDOZA | Monto=344,63 | Fecha: 27/04/2026</t>
        </is>
      </c>
    </row>
    <row r="163">
      <c r="A163" s="8" t="inlineStr">
        <is>
          <t>PEND-8A945D9ADCDB-A001</t>
        </is>
      </c>
      <c r="B163" s="8" t="inlineStr">
        <is>
          <t>ABIERTO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108824</t>
        </is>
      </c>
      <c r="F163" s="8" t="inlineStr">
        <is>
          <t>INGRESOS BRUTOS MENDOZA</t>
        </is>
      </c>
      <c r="G163" s="8" t="inlineStr">
        <is>
          <t>Retención Ingresos Brutos Mendoza</t>
        </is>
      </c>
      <c r="H163" s="8" t="inlineStr">
        <is>
          <t>Retención de Ingresos Brutos</t>
        </is>
      </c>
      <c r="I163" s="9" t="n">
        <v>341.66</v>
      </c>
      <c r="J163" s="9" t="inlineStr"/>
      <c r="K163" s="8" t="inlineStr">
        <is>
          <t>Copiar en Flexxus: Tipo=MB-EXT | Movimiento=INGRESOS BRUTOS MENDOZA | Monto=341,66 | Fecha: 27/04/2026</t>
        </is>
      </c>
    </row>
    <row r="164">
      <c r="A164" s="8" t="inlineStr">
        <is>
          <t>PEND-E00377C6213E-A001</t>
        </is>
      </c>
      <c r="B164" s="8" t="inlineStr">
        <is>
          <t>ABIERTO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108791</t>
        </is>
      </c>
      <c r="F164" s="8" t="inlineStr">
        <is>
          <t>INGRESOS BRUTOS MENDOZA</t>
        </is>
      </c>
      <c r="G164" s="8" t="inlineStr">
        <is>
          <t>Retención Ingresos Brutos Mendoza</t>
        </is>
      </c>
      <c r="H164" s="8" t="inlineStr">
        <is>
          <t>Retención de Ingresos Brutos</t>
        </is>
      </c>
      <c r="I164" s="9" t="n">
        <v>341.66</v>
      </c>
      <c r="J164" s="9" t="inlineStr"/>
      <c r="K164" s="8" t="inlineStr">
        <is>
          <t>Copiar en Flexxus: Tipo=MB-EXT | Movimiento=INGRESOS BRUTOS MENDOZA | Monto=341,66 | Fecha: 27/04/2026</t>
        </is>
      </c>
    </row>
    <row r="165">
      <c r="A165" s="8" t="inlineStr">
        <is>
          <t>PEND-AD2D007C705D-A001</t>
        </is>
      </c>
      <c r="B165" s="8" t="inlineStr">
        <is>
          <t>ABIERTO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108760</t>
        </is>
      </c>
      <c r="F165" s="8" t="inlineStr">
        <is>
          <t>INGRESOS BRUTOS MENDOZA</t>
        </is>
      </c>
      <c r="G165" s="8" t="inlineStr">
        <is>
          <t>Retención Ingresos Brutos Mendoza</t>
        </is>
      </c>
      <c r="H165" s="8" t="inlineStr">
        <is>
          <t>Retención de Ingresos Brutos</t>
        </is>
      </c>
      <c r="I165" s="9" t="n">
        <v>336.71</v>
      </c>
      <c r="J165" s="9" t="inlineStr"/>
      <c r="K165" s="8" t="inlineStr">
        <is>
          <t>Copiar en Flexxus: Tipo=MB-EXT | Movimiento=INGRESOS BRUTOS MENDOZA | Monto=336,71 | Fecha: 27/04/2026</t>
        </is>
      </c>
    </row>
    <row r="166">
      <c r="A166" s="8" t="inlineStr">
        <is>
          <t>PEND-8237B6FF11AB-A001</t>
        </is>
      </c>
      <c r="B166" s="8" t="inlineStr">
        <is>
          <t>ABIERTO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108778</t>
        </is>
      </c>
      <c r="F166" s="8" t="inlineStr">
        <is>
          <t>INGRESOS BRUTOS MENDOZA</t>
        </is>
      </c>
      <c r="G166" s="8" t="inlineStr">
        <is>
          <t>Retención Ingresos Brutos Mendoza</t>
        </is>
      </c>
      <c r="H166" s="8" t="inlineStr">
        <is>
          <t>Retención de Ingresos Brutos</t>
        </is>
      </c>
      <c r="I166" s="9" t="n">
        <v>331.76</v>
      </c>
      <c r="J166" s="9" t="inlineStr"/>
      <c r="K166" s="8" t="inlineStr">
        <is>
          <t>Copiar en Flexxus: Tipo=MB-EXT | Movimiento=INGRESOS BRUTOS MENDOZA | Monto=331,76 | Fecha: 27/04/2026</t>
        </is>
      </c>
    </row>
    <row r="167">
      <c r="A167" s="8" t="inlineStr">
        <is>
          <t>PEND-8D055DF451EE-A001</t>
        </is>
      </c>
      <c r="B167" s="8" t="inlineStr">
        <is>
          <t>ABIERTO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108777</t>
        </is>
      </c>
      <c r="F167" s="8" t="inlineStr">
        <is>
          <t>INGRESOS BRUTOS MENDOZA</t>
        </is>
      </c>
      <c r="G167" s="8" t="inlineStr">
        <is>
          <t>Retención Ingresos Brutos Mendoza</t>
        </is>
      </c>
      <c r="H167" s="8" t="inlineStr">
        <is>
          <t>Retención de Ingresos Brutos</t>
        </is>
      </c>
      <c r="I167" s="9" t="n">
        <v>331.76</v>
      </c>
      <c r="J167" s="9" t="inlineStr"/>
      <c r="K167" s="8" t="inlineStr">
        <is>
          <t>Copiar en Flexxus: Tipo=MB-EXT | Movimiento=INGRESOS BRUTOS MENDOZA | Monto=331,76 | Fecha: 27/04/2026</t>
        </is>
      </c>
    </row>
    <row r="168">
      <c r="A168" s="8" t="inlineStr">
        <is>
          <t>PEND-CAD7D4B388C7-A001</t>
        </is>
      </c>
      <c r="B168" s="8" t="inlineStr">
        <is>
          <t>ABIERTO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108830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329.78</v>
      </c>
      <c r="J168" s="9" t="inlineStr"/>
      <c r="K168" s="8" t="inlineStr">
        <is>
          <t>Copiar en Flexxus: Tipo=MB-EXT | Movimiento=GRAVAMEN LEY 25.413 S/CRED | Monto=329,78 | Fecha: 27/04/2026</t>
        </is>
      </c>
    </row>
    <row r="169">
      <c r="A169" s="8" t="inlineStr">
        <is>
          <t>PEND-56AAF504E44C-A001</t>
        </is>
      </c>
      <c r="B169" s="8" t="inlineStr">
        <is>
          <t>ABIERTO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29841705</t>
        </is>
      </c>
      <c r="F169" s="8" t="inlineStr">
        <is>
          <t>INGRESOS BRUTOS MENDOZA</t>
        </is>
      </c>
      <c r="G169" s="8" t="inlineStr">
        <is>
          <t>Retención Ingresos Brutos Mendoza</t>
        </is>
      </c>
      <c r="H169" s="8" t="inlineStr">
        <is>
          <t>Retención de Ingresos Brutos</t>
        </is>
      </c>
      <c r="I169" s="9" t="n">
        <v>326.01</v>
      </c>
      <c r="J169" s="9" t="inlineStr"/>
      <c r="K169" s="8" t="inlineStr">
        <is>
          <t>Copiar en Flexxus: Tipo=MB-EXT | Movimiento=INGRESOS BRUTOS MENDOZA | Monto=326,01 | Fecha: 27/04/2026</t>
        </is>
      </c>
    </row>
    <row r="170">
      <c r="A170" s="8" t="inlineStr">
        <is>
          <t>PEND-A9E0590C2BE2-A001</t>
        </is>
      </c>
      <c r="B170" s="8" t="inlineStr">
        <is>
          <t>ABIERTO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31995644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325.84</v>
      </c>
      <c r="J170" s="9" t="inlineStr"/>
      <c r="K170" s="8" t="inlineStr">
        <is>
          <t>Copiar en Flexxus: Tipo=MB-EXT | Movimiento=GRAVAMEN LEY 25.413 S/CRED | Monto=325,84 | Fecha: 27/04/2026</t>
        </is>
      </c>
    </row>
    <row r="171">
      <c r="A171" s="8" t="inlineStr">
        <is>
          <t>PEND-6924E8DF6207-A001</t>
        </is>
      </c>
      <c r="B171" s="8" t="inlineStr">
        <is>
          <t>ABIERTO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108846</t>
        </is>
      </c>
      <c r="F171" s="8" t="inlineStr">
        <is>
          <t>INGRESOS BRUTOS MENDOZA</t>
        </is>
      </c>
      <c r="G171" s="8" t="inlineStr">
        <is>
          <t>Retención Ingresos Brutos Mendoza</t>
        </is>
      </c>
      <c r="H171" s="8" t="inlineStr">
        <is>
          <t>Retención de Ingresos Brutos</t>
        </is>
      </c>
      <c r="I171" s="9" t="n">
        <v>324.83</v>
      </c>
      <c r="J171" s="9" t="inlineStr"/>
      <c r="K171" s="8" t="inlineStr">
        <is>
          <t>Copiar en Flexxus: Tipo=MB-EXT | Movimiento=INGRESOS BRUTOS MENDOZA | Monto=324,83 | Fecha: 27/04/2026</t>
        </is>
      </c>
    </row>
    <row r="172">
      <c r="A172" s="8" t="inlineStr">
        <is>
          <t>PEND-A696EA5E4938-A001</t>
        </is>
      </c>
      <c r="B172" s="8" t="inlineStr">
        <is>
          <t>ABIERTO</t>
        </is>
      </c>
      <c r="C172" s="8" t="inlineStr">
        <is>
          <t>Banco egreso no Flexxus</t>
        </is>
      </c>
      <c r="D172" s="8" t="inlineStr">
        <is>
          <t>28/04/2026</t>
        </is>
      </c>
      <c r="E172" s="8" t="inlineStr">
        <is>
          <t>109286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320.86</v>
      </c>
      <c r="J172" s="9" t="inlineStr"/>
      <c r="K172" s="8" t="inlineStr">
        <is>
          <t>Copiar en Flexxus: Tipo=MB-EXT | Movimiento=INGRESOS BRUTOS MENDOZA | Monto=320,86 | Fecha: 28/04/2026</t>
        </is>
      </c>
    </row>
    <row r="173">
      <c r="A173" s="8" t="inlineStr">
        <is>
          <t>PEND-01CD144E2513-A001</t>
        </is>
      </c>
      <c r="B173" s="8" t="inlineStr">
        <is>
          <t>ABIERTO</t>
        </is>
      </c>
      <c r="C173" s="8" t="inlineStr">
        <is>
          <t>Banco egreso no Flexxus</t>
        </is>
      </c>
      <c r="D173" s="8" t="inlineStr">
        <is>
          <t>28/04/2026</t>
        </is>
      </c>
      <c r="E173" s="8" t="inlineStr">
        <is>
          <t>32032899</t>
        </is>
      </c>
      <c r="F173" s="8" t="inlineStr">
        <is>
          <t>INGRESOS BRUTOS MENDOZA</t>
        </is>
      </c>
      <c r="G173" s="8" t="inlineStr">
        <is>
          <t>Retención Ingresos Brutos Mendoza</t>
        </is>
      </c>
      <c r="H173" s="8" t="inlineStr">
        <is>
          <t>Retención de Ingresos Brutos</t>
        </is>
      </c>
      <c r="I173" s="9" t="n">
        <v>320.86</v>
      </c>
      <c r="J173" s="9" t="inlineStr"/>
      <c r="K173" s="8" t="inlineStr">
        <is>
          <t>Copiar en Flexxus: Tipo=MB-EXT | Movimiento=INGRESOS BRUTOS MENDOZA | Monto=320,86 | Fecha: 28/04/2026</t>
        </is>
      </c>
    </row>
    <row r="174">
      <c r="A174" s="8" t="inlineStr">
        <is>
          <t>PEND-512926C3F8E2-A001</t>
        </is>
      </c>
      <c r="B174" s="8" t="inlineStr">
        <is>
          <t>ABIERTO</t>
        </is>
      </c>
      <c r="C174" s="8" t="inlineStr">
        <is>
          <t>Banco egreso no Flexxus</t>
        </is>
      </c>
      <c r="D174" s="8" t="inlineStr">
        <is>
          <t>28/04/2026</t>
        </is>
      </c>
      <c r="E174" s="8" t="inlineStr">
        <is>
          <t>29841627</t>
        </is>
      </c>
      <c r="F174" s="8" t="inlineStr">
        <is>
          <t>GRAVAMEN LEY 25413 S/CRED</t>
        </is>
      </c>
      <c r="G174" s="8" t="inlineStr">
        <is>
          <t>Anticipo Ganancias Ley 25.413 créditos</t>
        </is>
      </c>
      <c r="H174" s="8" t="inlineStr">
        <is>
          <t>Anticipo Impuesto a las Ganancias</t>
        </is>
      </c>
      <c r="I174" s="9" t="n">
        <v>316.94</v>
      </c>
      <c r="J174" s="9" t="inlineStr"/>
      <c r="K174" s="8" t="inlineStr">
        <is>
          <t>Copiar en Flexxus: Tipo=MB-EXT | Movimiento=GRAVAMEN LEY 25.413 S/CRED | Monto=316,94 | Fecha: 28/04/2026</t>
        </is>
      </c>
    </row>
    <row r="175">
      <c r="A175" s="8" t="inlineStr">
        <is>
          <t>PEND-C70D4A0CBF24-A001</t>
        </is>
      </c>
      <c r="B175" s="8" t="inlineStr">
        <is>
          <t>ABIERTO</t>
        </is>
      </c>
      <c r="C175" s="8" t="inlineStr">
        <is>
          <t>Banco egreso no Flexxus</t>
        </is>
      </c>
      <c r="D175" s="8" t="inlineStr">
        <is>
          <t>28/04/2026</t>
        </is>
      </c>
      <c r="E175" s="8" t="inlineStr">
        <is>
          <t>29841683</t>
        </is>
      </c>
      <c r="F175" s="8" t="inlineStr">
        <is>
          <t>INGRESOS BRUTOS MENDOZA</t>
        </is>
      </c>
      <c r="G175" s="8" t="inlineStr">
        <is>
          <t>Retención Ingresos Brutos Mendoza</t>
        </is>
      </c>
      <c r="H175" s="8" t="inlineStr">
        <is>
          <t>Retención de Ingresos Brutos</t>
        </is>
      </c>
      <c r="I175" s="9" t="n">
        <v>316.94</v>
      </c>
      <c r="J175" s="9" t="inlineStr"/>
      <c r="K175" s="8" t="inlineStr">
        <is>
          <t>Copiar en Flexxus: Tipo=MB-EXT | Movimiento=INGRESOS BRUTOS MENDOZA | Monto=316,94 | Fecha: 28/04/2026</t>
        </is>
      </c>
    </row>
    <row r="176">
      <c r="A176" s="8" t="inlineStr">
        <is>
          <t>PEND-61182E7A4EF0-A001</t>
        </is>
      </c>
      <c r="B176" s="8" t="inlineStr">
        <is>
          <t>ABIERTO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108783</t>
        </is>
      </c>
      <c r="F176" s="8" t="inlineStr">
        <is>
          <t>INGRESOS BRUTOS MENDOZA</t>
        </is>
      </c>
      <c r="G176" s="8" t="inlineStr">
        <is>
          <t>Retención Ingresos Brutos Mendoza</t>
        </is>
      </c>
      <c r="H176" s="8" t="inlineStr">
        <is>
          <t>Retención de Ingresos Brutos</t>
        </is>
      </c>
      <c r="I176" s="9" t="n">
        <v>315.42</v>
      </c>
      <c r="J176" s="9" t="inlineStr"/>
      <c r="K176" s="8" t="inlineStr">
        <is>
          <t>Copiar en Flexxus: Tipo=MB-EXT | Movimiento=INGRESOS BRUTOS MENDOZA | Monto=315,42 | Fecha: 27/04/2026</t>
        </is>
      </c>
    </row>
    <row r="177">
      <c r="A177" s="8" t="inlineStr">
        <is>
          <t>PEND-5069378194E0-A001</t>
        </is>
      </c>
      <c r="B177" s="8" t="inlineStr">
        <is>
          <t>ABIERTO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108770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314.92</v>
      </c>
      <c r="J177" s="9" t="inlineStr"/>
      <c r="K177" s="8" t="inlineStr">
        <is>
          <t>Copiar en Flexxus: Tipo=MB-EXT | Movimiento=GRAVAMEN LEY 25.413 S/CRED | Monto=314,92 | Fecha: 27/04/2026</t>
        </is>
      </c>
    </row>
    <row r="178">
      <c r="A178" s="8" t="inlineStr">
        <is>
          <t>PEND-CA94B777CAE2-A001</t>
        </is>
      </c>
      <c r="B178" s="8" t="inlineStr">
        <is>
          <t>ABIERTO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108811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307.79</v>
      </c>
      <c r="J178" s="9" t="inlineStr"/>
      <c r="K178" s="8" t="inlineStr">
        <is>
          <t>Copiar en Flexxus: Tipo=MB-EXT | Movimiento=GRAVAMEN LEY 25.413 S/CRED | Monto=307,79 | Fecha: 27/04/2026</t>
        </is>
      </c>
    </row>
    <row r="179">
      <c r="A179" s="8" t="inlineStr">
        <is>
          <t>PEND-8895F5DF7603-A001</t>
        </is>
      </c>
      <c r="B179" s="8" t="inlineStr">
        <is>
          <t>ABIERTO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108763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303.63</v>
      </c>
      <c r="J179" s="9" t="inlineStr"/>
      <c r="K179" s="8" t="inlineStr">
        <is>
          <t>Copiar en Flexxus: Tipo=MB-EXT | Movimiento=GRAVAMEN LEY 25.413 S/CRED | Monto=303,63 | Fecha: 27/04/2026</t>
        </is>
      </c>
    </row>
    <row r="180">
      <c r="A180" s="8" t="inlineStr">
        <is>
          <t>PEND-F919B5C2D536-A001</t>
        </is>
      </c>
      <c r="B180" s="8" t="inlineStr">
        <is>
          <t>ABIERTO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29841705</t>
        </is>
      </c>
      <c r="F180" s="8" t="inlineStr">
        <is>
          <t>INGRESOS BRUTOS MENDOZA</t>
        </is>
      </c>
      <c r="G180" s="8" t="inlineStr">
        <is>
          <t>Retención Ingresos Brutos Mendoza</t>
        </is>
      </c>
      <c r="H180" s="8" t="inlineStr">
        <is>
          <t>Retención de Ingresos Brutos</t>
        </is>
      </c>
      <c r="I180" s="9" t="n">
        <v>300.31</v>
      </c>
      <c r="J180" s="9" t="inlineStr"/>
      <c r="K180" s="8" t="inlineStr">
        <is>
          <t>Copiar en Flexxus: Tipo=MB-EXT | Movimiento=INGRESOS BRUTOS MENDOZA | Monto=300,31 | Fecha: 27/04/2026</t>
        </is>
      </c>
    </row>
    <row r="181">
      <c r="A181" s="8" t="inlineStr">
        <is>
          <t>PEND-302DB2CB0DC8-A001</t>
        </is>
      </c>
      <c r="B181" s="8" t="inlineStr">
        <is>
          <t>ABIERTO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108812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297.1</v>
      </c>
      <c r="J181" s="9" t="inlineStr"/>
      <c r="K181" s="8" t="inlineStr">
        <is>
          <t>Copiar en Flexxus: Tipo=MB-EXT | Movimiento=GRAVAMEN LEY 25.413 S/CRED | Monto=297,10 | Fecha: 27/04/2026</t>
        </is>
      </c>
    </row>
    <row r="182">
      <c r="A182" s="8" t="inlineStr">
        <is>
          <t>PEND-24C4EEE87122-A001</t>
        </is>
      </c>
      <c r="B182" s="8" t="inlineStr">
        <is>
          <t>ABIERTO</t>
        </is>
      </c>
      <c r="C182" s="8" t="inlineStr">
        <is>
          <t>Banco egreso no Flexxus</t>
        </is>
      </c>
      <c r="D182" s="8" t="inlineStr">
        <is>
          <t>28/04/2026</t>
        </is>
      </c>
      <c r="E182" s="8" t="inlineStr">
        <is>
          <t>109282</t>
        </is>
      </c>
      <c r="F182" s="8" t="inlineStr">
        <is>
          <t>INGRESOS BRUTOS MENDOZA</t>
        </is>
      </c>
      <c r="G182" s="8" t="inlineStr">
        <is>
          <t>Retención Ingresos Brutos Mendoza</t>
        </is>
      </c>
      <c r="H182" s="8" t="inlineStr">
        <is>
          <t>Retención de Ingresos Brutos</t>
        </is>
      </c>
      <c r="I182" s="9" t="n">
        <v>287.19</v>
      </c>
      <c r="J182" s="9" t="inlineStr"/>
      <c r="K182" s="8" t="inlineStr">
        <is>
          <t>Copiar en Flexxus: Tipo=MB-EXT | Movimiento=INGRESOS BRUTOS MENDOZA | Monto=287,19 | Fecha: 28/04/2026</t>
        </is>
      </c>
    </row>
    <row r="183">
      <c r="A183" s="8" t="inlineStr">
        <is>
          <t>PEND-BAB21876B6BC-A001</t>
        </is>
      </c>
      <c r="B183" s="8" t="inlineStr">
        <is>
          <t>ABIERTO</t>
        </is>
      </c>
      <c r="C183" s="8" t="inlineStr">
        <is>
          <t>Banco egreso no Flexxus</t>
        </is>
      </c>
      <c r="D183" s="8" t="inlineStr">
        <is>
          <t>28/04/2026</t>
        </is>
      </c>
      <c r="E183" s="8" t="inlineStr">
        <is>
          <t>109261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286.99</v>
      </c>
      <c r="J183" s="9" t="inlineStr"/>
      <c r="K183" s="8" t="inlineStr">
        <is>
          <t>Copiar en Flexxus: Tipo=MB-EXT | Movimiento=GRAVAMEN LEY 25.413 S/CRED | Monto=286,99 | Fecha: 28/04/2026</t>
        </is>
      </c>
    </row>
    <row r="184">
      <c r="A184" s="8" t="inlineStr">
        <is>
          <t>PEND-2BB2AAEEB82D-A001</t>
        </is>
      </c>
      <c r="B184" s="8" t="inlineStr">
        <is>
          <t>ABIERTO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108806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280.26</v>
      </c>
      <c r="J184" s="9" t="inlineStr"/>
      <c r="K184" s="8" t="inlineStr">
        <is>
          <t>Copiar en Flexxus: Tipo=MB-EXT | Movimiento=INGRESOS BRUTOS MENDOZA | Monto=280,26 | Fecha: 27/04/2026</t>
        </is>
      </c>
    </row>
    <row r="185">
      <c r="A185" s="8" t="inlineStr">
        <is>
          <t>PEND-83021597DDD6-A001</t>
        </is>
      </c>
      <c r="B185" s="8" t="inlineStr">
        <is>
          <t>ABIERTO</t>
        </is>
      </c>
      <c r="C185" s="8" t="inlineStr">
        <is>
          <t>Banco egreso no Flexxus</t>
        </is>
      </c>
      <c r="D185" s="8" t="inlineStr">
        <is>
          <t>28/04/2026</t>
        </is>
      </c>
      <c r="E185" s="8" t="inlineStr">
        <is>
          <t>29841642</t>
        </is>
      </c>
      <c r="F185" s="8" t="inlineStr">
        <is>
          <t>GRAVAMEN LEY 25413 S/CRED</t>
        </is>
      </c>
      <c r="G185" s="8" t="inlineStr">
        <is>
          <t>Anticipo Ganancias Ley 25.413 créditos</t>
        </is>
      </c>
      <c r="H185" s="8" t="inlineStr">
        <is>
          <t>Anticipo Impuesto a las Ganancias</t>
        </is>
      </c>
      <c r="I185" s="9" t="n">
        <v>278.59</v>
      </c>
      <c r="J185" s="9" t="inlineStr"/>
      <c r="K185" s="8" t="inlineStr">
        <is>
          <t>Copiar en Flexxus: Tipo=MB-EXT | Movimiento=GRAVAMEN LEY 25.413 S/CRED | Monto=278,59 | Fecha: 28/04/2026</t>
        </is>
      </c>
    </row>
    <row r="186">
      <c r="A186" s="8" t="inlineStr">
        <is>
          <t>PEND-FDAD2FA15248-A001</t>
        </is>
      </c>
      <c r="B186" s="8" t="inlineStr">
        <is>
          <t>ABIERTO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108829</t>
        </is>
      </c>
      <c r="F186" s="8" t="inlineStr">
        <is>
          <t>INGRESOS BRUTOS MENDOZA</t>
        </is>
      </c>
      <c r="G186" s="8" t="inlineStr">
        <is>
          <t>Retención Ingresos Brutos Mendoza</t>
        </is>
      </c>
      <c r="H186" s="8" t="inlineStr">
        <is>
          <t>Retención de Ingresos Brutos</t>
        </is>
      </c>
      <c r="I186" s="9" t="n">
        <v>276.3</v>
      </c>
      <c r="J186" s="9" t="inlineStr"/>
      <c r="K186" s="8" t="inlineStr">
        <is>
          <t>Copiar en Flexxus: Tipo=MB-EXT | Movimiento=INGRESOS BRUTOS MENDOZA | Monto=276,30 | Fecha: 27/04/2026</t>
        </is>
      </c>
    </row>
    <row r="187">
      <c r="A187" s="8" t="inlineStr">
        <is>
          <t>PEND-DA2EE209C4E0-A001</t>
        </is>
      </c>
      <c r="B187" s="8" t="inlineStr">
        <is>
          <t>ABIERTO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108771</t>
        </is>
      </c>
      <c r="F187" s="8" t="inlineStr">
        <is>
          <t>GRAVAMEN LEY 25413 S/CRED</t>
        </is>
      </c>
      <c r="G187" s="8" t="inlineStr">
        <is>
          <t>Anticipo Ganancias Ley 25.413 créditos</t>
        </is>
      </c>
      <c r="H187" s="8" t="inlineStr">
        <is>
          <t>Anticipo Impuesto a las Ganancias</t>
        </is>
      </c>
      <c r="I187" s="9" t="n">
        <v>275.71</v>
      </c>
      <c r="J187" s="9" t="inlineStr"/>
      <c r="K187" s="8" t="inlineStr">
        <is>
          <t>Copiar en Flexxus: Tipo=MB-EXT | Movimiento=GRAVAMEN LEY 25.413 S/CRED | Monto=275,71 | Fecha: 27/04/2026</t>
        </is>
      </c>
    </row>
    <row r="188">
      <c r="A188" s="8" t="inlineStr">
        <is>
          <t>PEND-F1C85895588C-A001</t>
        </is>
      </c>
      <c r="B188" s="8" t="inlineStr">
        <is>
          <t>ABIERTO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108787</t>
        </is>
      </c>
      <c r="F188" s="8" t="inlineStr">
        <is>
          <t>GRAVAMEN LEY 25413 S/CRED</t>
        </is>
      </c>
      <c r="G188" s="8" t="inlineStr">
        <is>
          <t>Anticipo Ganancias Ley 25.413 créditos</t>
        </is>
      </c>
      <c r="H188" s="8" t="inlineStr">
        <is>
          <t>Anticipo Impuesto a las Ganancias</t>
        </is>
      </c>
      <c r="I188" s="9" t="n">
        <v>272.73</v>
      </c>
      <c r="J188" s="9" t="inlineStr"/>
      <c r="K188" s="8" t="inlineStr">
        <is>
          <t>Copiar en Flexxus: Tipo=MB-EXT | Movimiento=GRAVAMEN LEY 25.413 S/CRED | Monto=272,73 | Fecha: 27/04/2026</t>
        </is>
      </c>
    </row>
    <row r="189">
      <c r="A189" s="8" t="inlineStr">
        <is>
          <t>PEND-90A202FE9B25-A001</t>
        </is>
      </c>
      <c r="B189" s="8" t="inlineStr">
        <is>
          <t>ABIERTO</t>
        </is>
      </c>
      <c r="C189" s="8" t="inlineStr">
        <is>
          <t>Banco egreso no Flexxus</t>
        </is>
      </c>
      <c r="D189" s="8" t="inlineStr">
        <is>
          <t>28/04/2026</t>
        </is>
      </c>
      <c r="E189" s="8" t="inlineStr">
        <is>
          <t>29841670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271.95</v>
      </c>
      <c r="J189" s="9" t="inlineStr"/>
      <c r="K189" s="8" t="inlineStr">
        <is>
          <t>Copiar en Flexxus: Tipo=MB-EXT | Movimiento=INGRESOS BRUTOS MENDOZA | Monto=271,95 | Fecha: 28/04/2026</t>
        </is>
      </c>
    </row>
    <row r="190">
      <c r="A190" s="8" t="inlineStr">
        <is>
          <t>PEND-F4D1C8D5E612-A001</t>
        </is>
      </c>
      <c r="B190" s="8" t="inlineStr">
        <is>
          <t>ABIERTO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108834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268.38</v>
      </c>
      <c r="J190" s="9" t="inlineStr"/>
      <c r="K190" s="8" t="inlineStr">
        <is>
          <t>Copiar en Flexxus: Tipo=MB-EXT | Movimiento=INGRESOS BRUTOS MENDOZA | Monto=268,38 | Fecha: 27/04/2026</t>
        </is>
      </c>
    </row>
    <row r="191">
      <c r="A191" s="8" t="inlineStr">
        <is>
          <t>PEND-75CF6B714C38-A001</t>
        </is>
      </c>
      <c r="B191" s="8" t="inlineStr">
        <is>
          <t>ABIERTO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108835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267.39</v>
      </c>
      <c r="J191" s="9" t="inlineStr"/>
      <c r="K191" s="8" t="inlineStr">
        <is>
          <t>Copiar en Flexxus: Tipo=MB-EXT | Movimiento=INGRESOS BRUTOS MENDOZA | Monto=267,39 | Fecha: 27/04/2026</t>
        </is>
      </c>
    </row>
    <row r="192">
      <c r="A192" s="8" t="inlineStr">
        <is>
          <t>PEND-9FEF5ED5EA83-A001</t>
        </is>
      </c>
      <c r="B192" s="8" t="inlineStr">
        <is>
          <t>ABIERTO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108813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267.39</v>
      </c>
      <c r="J192" s="9" t="inlineStr"/>
      <c r="K192" s="8" t="inlineStr">
        <is>
          <t>Copiar en Flexxus: Tipo=MB-EXT | Movimiento=INGRESOS BRUTOS MENDOZA | Monto=267,39 | Fecha: 27/04/2026</t>
        </is>
      </c>
    </row>
    <row r="193">
      <c r="A193" s="8" t="inlineStr">
        <is>
          <t>PEND-A3D276AD3290-A001</t>
        </is>
      </c>
      <c r="B193" s="8" t="inlineStr">
        <is>
          <t>ABIERTO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108805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267.39</v>
      </c>
      <c r="J193" s="9" t="inlineStr"/>
      <c r="K193" s="8" t="inlineStr">
        <is>
          <t>Copiar en Flexxus: Tipo=MB-EXT | Movimiento=INGRESOS BRUTOS MENDOZA | Monto=267,39 | Fecha: 27/04/2026</t>
        </is>
      </c>
    </row>
    <row r="194">
      <c r="A194" s="8" t="inlineStr">
        <is>
          <t>PEND-3074D7391E79-A001</t>
        </is>
      </c>
      <c r="B194" s="8" t="inlineStr">
        <is>
          <t>ABIERTO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108765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267.39</v>
      </c>
      <c r="J194" s="9" t="inlineStr"/>
      <c r="K194" s="8" t="inlineStr">
        <is>
          <t>Copiar en Flexxus: Tipo=MB-EXT | Movimiento=INGRESOS BRUTOS MENDOZA | Monto=267,39 | Fecha: 27/04/2026</t>
        </is>
      </c>
    </row>
    <row r="195">
      <c r="A195" s="8" t="inlineStr">
        <is>
          <t>PEND-E91180855B50-A001</t>
        </is>
      </c>
      <c r="B195" s="8" t="inlineStr">
        <is>
          <t>ABIERTO</t>
        </is>
      </c>
      <c r="C195" s="8" t="inlineStr">
        <is>
          <t>Banco egreso no Flexxus</t>
        </is>
      </c>
      <c r="D195" s="8" t="inlineStr">
        <is>
          <t>28/04/2026</t>
        </is>
      </c>
      <c r="E195" s="8" t="inlineStr">
        <is>
          <t>31995644</t>
        </is>
      </c>
      <c r="F195" s="8" t="inlineStr">
        <is>
          <t>GRAVAMEN LEY 25413 S/CRED</t>
        </is>
      </c>
      <c r="G195" s="8" t="inlineStr">
        <is>
          <t>Anticipo Ganancias Ley 25.413 créditos</t>
        </is>
      </c>
      <c r="H195" s="8" t="inlineStr">
        <is>
          <t>Anticipo Impuesto a las Ganancias</t>
        </is>
      </c>
      <c r="I195" s="9" t="n">
        <v>262.88</v>
      </c>
      <c r="J195" s="9" t="inlineStr"/>
      <c r="K195" s="8" t="inlineStr">
        <is>
          <t>Copiar en Flexxus: Tipo=MB-EXT | Movimiento=GRAVAMEN LEY 25.413 S/CRED | Monto=262,88 | Fecha: 28/04/2026</t>
        </is>
      </c>
    </row>
    <row r="196">
      <c r="A196" s="8" t="inlineStr">
        <is>
          <t>PEND-527C94F7130A-A001</t>
        </is>
      </c>
      <c r="B196" s="8" t="inlineStr">
        <is>
          <t>ABIERTO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108817</t>
        </is>
      </c>
      <c r="F196" s="8" t="inlineStr">
        <is>
          <t>GRAVAMEN LEY 25413 S/CRED</t>
        </is>
      </c>
      <c r="G196" s="8" t="inlineStr">
        <is>
          <t>Anticipo Ganancias Ley 25.413 créditos</t>
        </is>
      </c>
      <c r="H196" s="8" t="inlineStr">
        <is>
          <t>Anticipo Impuesto a las Ganancias</t>
        </is>
      </c>
      <c r="I196" s="9" t="n">
        <v>260.26</v>
      </c>
      <c r="J196" s="9" t="inlineStr"/>
      <c r="K196" s="8" t="inlineStr">
        <is>
          <t>Copiar en Flexxus: Tipo=MB-EXT | Movimiento=GRAVAMEN LEY 25.413 S/CRED | Monto=260,26 | Fecha: 27/04/2026</t>
        </is>
      </c>
    </row>
    <row r="197">
      <c r="A197" s="8" t="inlineStr">
        <is>
          <t>PEND-178FD8579A9E-A001</t>
        </is>
      </c>
      <c r="B197" s="8" t="inlineStr">
        <is>
          <t>ABIERTO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108798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257.88</v>
      </c>
      <c r="J197" s="9" t="inlineStr"/>
      <c r="K197" s="8" t="inlineStr">
        <is>
          <t>Copiar en Flexxus: Tipo=MB-EXT | Movimiento=GRAVAMEN LEY 25.413 S/CRED | Monto=257,88 | Fecha: 27/04/2026</t>
        </is>
      </c>
    </row>
    <row r="198">
      <c r="A198" s="8" t="inlineStr">
        <is>
          <t>PEND-69D8A83DFB72-A001</t>
        </is>
      </c>
      <c r="B198" s="8" t="inlineStr">
        <is>
          <t>ABIERTO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108797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255.5</v>
      </c>
      <c r="J198" s="9" t="inlineStr"/>
      <c r="K198" s="8" t="inlineStr">
        <is>
          <t>Copiar en Flexxus: Tipo=MB-EXT | Movimiento=INGRESOS BRUTOS MENDOZA | Monto=255,50 | Fecha: 27/04/2026</t>
        </is>
      </c>
    </row>
    <row r="199">
      <c r="A199" s="8" t="inlineStr">
        <is>
          <t>PEND-F7D4E12792D9-A001</t>
        </is>
      </c>
      <c r="B199" s="8" t="inlineStr">
        <is>
          <t>ABIERTO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108847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247.58</v>
      </c>
      <c r="J199" s="9" t="inlineStr"/>
      <c r="K199" s="8" t="inlineStr">
        <is>
          <t>Copiar en Flexxus: Tipo=MB-EXT | Movimiento=INGRESOS BRUTOS MENDOZA | Monto=247,58 | Fecha: 27/04/2026</t>
        </is>
      </c>
    </row>
    <row r="200">
      <c r="A200" s="8" t="inlineStr">
        <is>
          <t>PEND-A02FA0AFB488-A001</t>
        </is>
      </c>
      <c r="B200" s="8" t="inlineStr">
        <is>
          <t>ABIERTO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247.58</v>
      </c>
      <c r="J200" s="9" t="inlineStr"/>
      <c r="K200" s="8" t="inlineStr">
        <is>
          <t>Copiar en Flexxus: Tipo=MB-EXT | Movimiento=INGRESOS BRUTOS MENDOZA | Monto=247,58 | Fecha: 27/04/2026</t>
        </is>
      </c>
    </row>
    <row r="201">
      <c r="A201" s="8" t="inlineStr">
        <is>
          <t>PEND-4EAA14A6D8E8-A001</t>
        </is>
      </c>
      <c r="B201" s="8" t="inlineStr">
        <is>
          <t>ABIERTO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108789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247.58</v>
      </c>
      <c r="J201" s="9" t="inlineStr"/>
      <c r="K201" s="8" t="inlineStr">
        <is>
          <t>Copiar en Flexxus: Tipo=MB-EXT | Movimiento=INGRESOS BRUTOS MENDOZA | Monto=247,58 | Fecha: 27/04/2026</t>
        </is>
      </c>
    </row>
    <row r="202">
      <c r="A202" s="8" t="inlineStr">
        <is>
          <t>PEND-C7D6FA505999-A001</t>
        </is>
      </c>
      <c r="B202" s="8" t="inlineStr">
        <is>
          <t>ABIERTO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108809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245.6</v>
      </c>
      <c r="J202" s="9" t="inlineStr"/>
      <c r="K202" s="8" t="inlineStr">
        <is>
          <t>Copiar en Flexxus: Tipo=MB-EXT | Movimiento=INGRESOS BRUTOS MENDOZA | Monto=245,60 | Fecha: 27/04/2026</t>
        </is>
      </c>
    </row>
    <row r="203">
      <c r="A203" s="8" t="inlineStr">
        <is>
          <t>PEND-309578F1ED74-A001</t>
        </is>
      </c>
      <c r="B203" s="8" t="inlineStr">
        <is>
          <t>ABIERTO</t>
        </is>
      </c>
      <c r="C203" s="8" t="inlineStr">
        <is>
          <t>Banco egreso no Flexxus</t>
        </is>
      </c>
      <c r="D203" s="8" t="inlineStr">
        <is>
          <t>28/04/2026</t>
        </is>
      </c>
      <c r="E203" s="8" t="inlineStr">
        <is>
          <t>109281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243.62</v>
      </c>
      <c r="J203" s="9" t="inlineStr"/>
      <c r="K203" s="8" t="inlineStr">
        <is>
          <t>Copiar en Flexxus: Tipo=MB-EXT | Movimiento=GRAVAMEN LEY 25.413 S/CRED | Monto=243,62 | Fecha: 28/04/2026</t>
        </is>
      </c>
    </row>
    <row r="204">
      <c r="A204" s="8" t="inlineStr">
        <is>
          <t>PEND-931D4313E6D7-A001</t>
        </is>
      </c>
      <c r="B204" s="8" t="inlineStr">
        <is>
          <t>ABIERTO</t>
        </is>
      </c>
      <c r="C204" s="8" t="inlineStr">
        <is>
          <t>Banco egreso no Flexxus</t>
        </is>
      </c>
      <c r="D204" s="8" t="inlineStr">
        <is>
          <t>28/04/2026</t>
        </is>
      </c>
      <c r="E204" s="8" t="inlineStr">
        <is>
          <t>109280</t>
        </is>
      </c>
      <c r="F204" s="8" t="inlineStr">
        <is>
          <t>GRAVAMEN LEY 25413 S/CRED</t>
        </is>
      </c>
      <c r="G204" s="8" t="inlineStr">
        <is>
          <t>Anticipo Ganancias Ley 25.413 créditos</t>
        </is>
      </c>
      <c r="H204" s="8" t="inlineStr">
        <is>
          <t>Anticipo Impuesto a las Ganancias</t>
        </is>
      </c>
      <c r="I204" s="9" t="n">
        <v>243.62</v>
      </c>
      <c r="J204" s="9" t="inlineStr"/>
      <c r="K204" s="8" t="inlineStr">
        <is>
          <t>Copiar en Flexxus: Tipo=MB-EXT | Movimiento=GRAVAMEN LEY 25.413 S/CRED | Monto=243,62 | Fecha: 28/04/2026</t>
        </is>
      </c>
    </row>
    <row r="205">
      <c r="A205" s="8" t="inlineStr">
        <is>
          <t>PEND-FBCFF24E8402-A001</t>
        </is>
      </c>
      <c r="B205" s="8" t="inlineStr">
        <is>
          <t>ABIERTO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108844</t>
        </is>
      </c>
      <c r="F205" s="8" t="inlineStr">
        <is>
          <t>INGRESOS BRUTOS MENDOZA</t>
        </is>
      </c>
      <c r="G205" s="8" t="inlineStr">
        <is>
          <t>Retención Ingresos Brutos Mendoza</t>
        </is>
      </c>
      <c r="H205" s="8" t="inlineStr">
        <is>
          <t>Retención de Ingresos Brutos</t>
        </is>
      </c>
      <c r="I205" s="9" t="n">
        <v>243.62</v>
      </c>
      <c r="J205" s="9" t="inlineStr"/>
      <c r="K205" s="8" t="inlineStr">
        <is>
          <t>Copiar en Flexxus: Tipo=MB-EXT | Movimiento=INGRESOS BRUTOS MENDOZA | Monto=243,62 | Fecha: 27/04/2026</t>
        </is>
      </c>
    </row>
    <row r="206">
      <c r="A206" s="8" t="inlineStr">
        <is>
          <t>PEND-6E328220F737-A001</t>
        </is>
      </c>
      <c r="B206" s="8" t="inlineStr">
        <is>
          <t>ABIERTO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108803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242.63</v>
      </c>
      <c r="J206" s="9" t="inlineStr"/>
      <c r="K206" s="8" t="inlineStr">
        <is>
          <t>Copiar en Flexxus: Tipo=MB-EXT | Movimiento=INGRESOS BRUTOS MENDOZA | Monto=242,63 | Fecha: 27/04/2026</t>
        </is>
      </c>
    </row>
    <row r="207">
      <c r="A207" s="8" t="inlineStr">
        <is>
          <t>PEND-A21640D32FBD-A001</t>
        </is>
      </c>
      <c r="B207" s="8" t="inlineStr">
        <is>
          <t>ABIERTO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108761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240.65</v>
      </c>
      <c r="J207" s="9" t="inlineStr"/>
      <c r="K207" s="8" t="inlineStr">
        <is>
          <t>Copiar en Flexxus: Tipo=MB-EXT | Movimiento=GRAVAMEN LEY 25.413 S/CRED | Monto=240,65 | Fecha: 27/04/2026</t>
        </is>
      </c>
    </row>
    <row r="208">
      <c r="A208" s="8" t="inlineStr">
        <is>
          <t>PEND-681D57897984-A001</t>
        </is>
      </c>
      <c r="B208" s="8" t="inlineStr">
        <is>
          <t>ABIERTO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29841670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238.29</v>
      </c>
      <c r="J208" s="9" t="inlineStr"/>
      <c r="K208" s="8" t="inlineStr">
        <is>
          <t>Copiar en Flexxus: Tipo=MB-EXT | Movimiento=GRAVAMEN LEY 25.413 S/CRED | Monto=238,29 | Fecha: 27/04/2026</t>
        </is>
      </c>
    </row>
    <row r="209">
      <c r="A209" s="8" t="inlineStr">
        <is>
          <t>PEND-0AB4F1299BB6-A001</t>
        </is>
      </c>
      <c r="B209" s="8" t="inlineStr">
        <is>
          <t>ABIERTO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108828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237.68</v>
      </c>
      <c r="J209" s="9" t="inlineStr"/>
      <c r="K209" s="8" t="inlineStr">
        <is>
          <t>Copiar en Flexxus: Tipo=MB-EXT | Movimiento=INGRESOS BRUTOS MENDOZA | Monto=237,68 | Fecha: 27/04/2026</t>
        </is>
      </c>
    </row>
    <row r="210">
      <c r="A210" s="8" t="inlineStr">
        <is>
          <t>PEND-68A673D81DCB-A001</t>
        </is>
      </c>
      <c r="B210" s="8" t="inlineStr">
        <is>
          <t>ABIERTO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108820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237.68</v>
      </c>
      <c r="J210" s="9" t="inlineStr"/>
      <c r="K210" s="8" t="inlineStr">
        <is>
          <t>Copiar en Flexxus: Tipo=MB-EXT | Movimiento=INGRESOS BRUTOS MENDOZA | Monto=237,68 | Fecha: 27/04/2026</t>
        </is>
      </c>
    </row>
    <row r="211">
      <c r="A211" s="8" t="inlineStr">
        <is>
          <t>PEND-BD5B0B63D902-A001</t>
        </is>
      </c>
      <c r="B211" s="8" t="inlineStr">
        <is>
          <t>ABIERTO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29841683</t>
        </is>
      </c>
      <c r="F211" s="8" t="inlineStr">
        <is>
          <t>INGRESOS BRUTOS MENDOZA</t>
        </is>
      </c>
      <c r="G211" s="8" t="inlineStr">
        <is>
          <t>Retención Ingresos Brutos Mendoza</t>
        </is>
      </c>
      <c r="H211" s="8" t="inlineStr">
        <is>
          <t>Retención de Ingresos Brutos</t>
        </is>
      </c>
      <c r="I211" s="9" t="n">
        <v>234.77</v>
      </c>
      <c r="J211" s="9" t="inlineStr"/>
      <c r="K211" s="8" t="inlineStr">
        <is>
          <t>Copiar en Flexxus: Tipo=MB-EXT | Movimiento=INGRESOS BRUTOS MENDOZA | Monto=234,77 | Fecha: 27/04/2026</t>
        </is>
      </c>
    </row>
    <row r="212">
      <c r="A212" s="8" t="inlineStr">
        <is>
          <t>PEND-9DCC4A8BE9DC-A001</t>
        </is>
      </c>
      <c r="B212" s="8" t="inlineStr">
        <is>
          <t>ABIERTO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108804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232.92</v>
      </c>
      <c r="J212" s="9" t="inlineStr"/>
      <c r="K212" s="8" t="inlineStr">
        <is>
          <t>Copiar en Flexxus: Tipo=MB-EXT | Movimiento=GRAVAMEN LEY 25.413 S/CRED | Monto=232,92 | Fecha: 27/04/2026</t>
        </is>
      </c>
    </row>
    <row r="213">
      <c r="A213" s="8" t="inlineStr">
        <is>
          <t>PEND-67B92D9B89C9-A001</t>
        </is>
      </c>
      <c r="B213" s="8" t="inlineStr">
        <is>
          <t>ABIERTO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108833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232.33</v>
      </c>
      <c r="J213" s="9" t="inlineStr"/>
      <c r="K213" s="8" t="inlineStr">
        <is>
          <t>Copiar en Flexxus: Tipo=MB-EXT | Movimiento=GRAVAMEN LEY 25.413 S/CRED | Monto=232,33 | Fecha: 27/04/2026</t>
        </is>
      </c>
    </row>
    <row r="214">
      <c r="A214" s="8" t="inlineStr">
        <is>
          <t>PEND-F69C33F19186-A001</t>
        </is>
      </c>
      <c r="B214" s="8" t="inlineStr">
        <is>
          <t>ABIERTO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108802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228.76</v>
      </c>
      <c r="J214" s="9" t="inlineStr"/>
      <c r="K214" s="8" t="inlineStr">
        <is>
          <t>Copiar en Flexxus: Tipo=MB-EXT | Movimiento=GRAVAMEN LEY 25.413 S/CRED | Monto=228,76 | Fecha: 27/04/2026</t>
        </is>
      </c>
    </row>
    <row r="215">
      <c r="A215" s="8" t="inlineStr">
        <is>
          <t>PEND-5EFD300C9252-A001</t>
        </is>
      </c>
      <c r="B215" s="8" t="inlineStr">
        <is>
          <t>ABIERTO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108826</t>
        </is>
      </c>
      <c r="F215" s="8" t="inlineStr">
        <is>
          <t>INGRESOS BRUTOS MENDOZA</t>
        </is>
      </c>
      <c r="G215" s="8" t="inlineStr">
        <is>
          <t>Retención Ingresos Brutos Mendoza</t>
        </is>
      </c>
      <c r="H215" s="8" t="inlineStr">
        <is>
          <t>Retención de Ingresos Brutos</t>
        </is>
      </c>
      <c r="I215" s="9" t="n">
        <v>228.76</v>
      </c>
      <c r="J215" s="9" t="inlineStr"/>
      <c r="K215" s="8" t="inlineStr">
        <is>
          <t>Copiar en Flexxus: Tipo=MB-EXT | Movimiento=INGRESOS BRUTOS MENDOZA | Monto=228,76 | Fecha: 27/04/2026</t>
        </is>
      </c>
    </row>
    <row r="216">
      <c r="A216" s="8" t="inlineStr">
        <is>
          <t>PEND-D704EF0DD82F-A001</t>
        </is>
      </c>
      <c r="B216" s="8" t="inlineStr">
        <is>
          <t>ABIERTO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108814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227.77</v>
      </c>
      <c r="J216" s="9" t="inlineStr"/>
      <c r="K216" s="8" t="inlineStr">
        <is>
          <t>Copiar en Flexxus: Tipo=MB-EXT | Movimiento=INGRESOS BRUTOS MENDOZA | Monto=227,77 | Fecha: 27/04/2026</t>
        </is>
      </c>
    </row>
    <row r="217">
      <c r="A217" s="8" t="inlineStr">
        <is>
          <t>PEND-333EFC82FC00-A001</t>
        </is>
      </c>
      <c r="B217" s="8" t="inlineStr">
        <is>
          <t>ABIERTO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108766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227.77</v>
      </c>
      <c r="J217" s="9" t="inlineStr"/>
      <c r="K217" s="8" t="inlineStr">
        <is>
          <t>Copiar en Flexxus: Tipo=MB-EXT | Movimiento=INGRESOS BRUTOS MENDOZA | Monto=227,77 | Fecha: 27/04/2026</t>
        </is>
      </c>
    </row>
    <row r="218">
      <c r="A218" s="8" t="inlineStr">
        <is>
          <t>PEND-1B794629DDBD-A001</t>
        </is>
      </c>
      <c r="B218" s="8" t="inlineStr">
        <is>
          <t>ABIERTO</t>
        </is>
      </c>
      <c r="C218" s="8" t="inlineStr">
        <is>
          <t>Banco egreso no Flexxus</t>
        </is>
      </c>
      <c r="D218" s="8" t="inlineStr">
        <is>
          <t>28/04/2026</t>
        </is>
      </c>
      <c r="E218" s="8" t="inlineStr">
        <is>
          <t>109243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216.88</v>
      </c>
      <c r="J218" s="9" t="inlineStr"/>
      <c r="K218" s="8" t="inlineStr">
        <is>
          <t>Copiar en Flexxus: Tipo=MB-EXT | Movimiento=GRAVAMEN LEY 25.413 S/CRED | Monto=216,88 | Fecha: 28/04/2026</t>
        </is>
      </c>
    </row>
    <row r="219">
      <c r="A219" s="8" t="inlineStr">
        <is>
          <t>PEND-FF32D37D3D5D-A001</t>
        </is>
      </c>
      <c r="B219" s="8" t="inlineStr">
        <is>
          <t>ABIERTO</t>
        </is>
      </c>
      <c r="C219" s="8" t="inlineStr">
        <is>
          <t>Banco egreso no Flexxus</t>
        </is>
      </c>
      <c r="D219" s="8" t="inlineStr">
        <is>
          <t>28/04/2026</t>
        </is>
      </c>
      <c r="E219" s="8" t="inlineStr">
        <is>
          <t>109284</t>
        </is>
      </c>
      <c r="F219" s="8" t="inlineStr">
        <is>
          <t>INGRESOS BRUTOS MENDOZA</t>
        </is>
      </c>
      <c r="G219" s="8" t="inlineStr">
        <is>
          <t>Retención Ingresos Brutos Mendoza</t>
        </is>
      </c>
      <c r="H219" s="8" t="inlineStr">
        <is>
          <t>Retención de Ingresos Brutos</t>
        </is>
      </c>
      <c r="I219" s="9" t="n">
        <v>213.91</v>
      </c>
      <c r="J219" s="9" t="inlineStr"/>
      <c r="K219" s="8" t="inlineStr">
        <is>
          <t>Copiar en Flexxus: Tipo=MB-EXT | Movimiento=INGRESOS BRUTOS MENDOZA | Monto=213,91 | Fecha: 28/04/2026</t>
        </is>
      </c>
    </row>
    <row r="220">
      <c r="A220" s="8" t="inlineStr">
        <is>
          <t>PEND-F45C5DE3BF71-A001</t>
        </is>
      </c>
      <c r="B220" s="8" t="inlineStr">
        <is>
          <t>ABIERTO</t>
        </is>
      </c>
      <c r="C220" s="8" t="inlineStr">
        <is>
          <t>Banco egreso no Flexxus</t>
        </is>
      </c>
      <c r="D220" s="8" t="inlineStr">
        <is>
          <t>28/04/2026</t>
        </is>
      </c>
      <c r="E220" s="8" t="inlineStr">
        <is>
          <t>29841705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211.3</v>
      </c>
      <c r="J220" s="9" t="inlineStr"/>
      <c r="K220" s="8" t="inlineStr">
        <is>
          <t>Copiar en Flexxus: Tipo=MB-EXT | Movimiento=GRAVAMEN LEY 25.413 S/CRED | Monto=211,30 | Fecha: 28/04/2026</t>
        </is>
      </c>
    </row>
    <row r="221">
      <c r="A221" s="8" t="inlineStr">
        <is>
          <t>PEND-2ACE7515C582-A001</t>
        </is>
      </c>
      <c r="B221" s="8" t="inlineStr">
        <is>
          <t>ABIERTO</t>
        </is>
      </c>
      <c r="C221" s="8" t="inlineStr">
        <is>
          <t>Banco egreso no Flexxus</t>
        </is>
      </c>
      <c r="D221" s="8" t="inlineStr">
        <is>
          <t>28/04/2026</t>
        </is>
      </c>
      <c r="E221" s="8" t="inlineStr">
        <is>
          <t>109285</t>
        </is>
      </c>
      <c r="F221" s="8" t="inlineStr">
        <is>
          <t>INGRESOS BRUTOS MENDOZA</t>
        </is>
      </c>
      <c r="G221" s="8" t="inlineStr">
        <is>
          <t>Retención Ingresos Brutos Mendoza</t>
        </is>
      </c>
      <c r="H221" s="8" t="inlineStr">
        <is>
          <t>Retención de Ingresos Brutos</t>
        </is>
      </c>
      <c r="I221" s="9" t="n">
        <v>210.94</v>
      </c>
      <c r="J221" s="9" t="inlineStr"/>
      <c r="K221" s="8" t="inlineStr">
        <is>
          <t>Copiar en Flexxus: Tipo=MB-EXT | Movimiento=INGRESOS BRUTOS MENDOZA | Monto=210,94 | Fecha: 28/04/2026</t>
        </is>
      </c>
    </row>
    <row r="222">
      <c r="A222" s="8" t="inlineStr">
        <is>
          <t>PEND-0F0953A1CC59-A001</t>
        </is>
      </c>
      <c r="B222" s="8" t="inlineStr">
        <is>
          <t>ABIERTO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108836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206.78</v>
      </c>
      <c r="J222" s="9" t="inlineStr"/>
      <c r="K222" s="8" t="inlineStr">
        <is>
          <t>Copiar en Flexxus: Tipo=MB-EXT | Movimiento=GRAVAMEN LEY 25.413 S/CRED | Monto=206,78 | Fecha: 27/04/2026</t>
        </is>
      </c>
    </row>
    <row r="223">
      <c r="A223" s="8" t="inlineStr">
        <is>
          <t>PEND-A15097B16BEC-A001</t>
        </is>
      </c>
      <c r="B223" s="8" t="inlineStr">
        <is>
          <t>ABIERTO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108824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205</v>
      </c>
      <c r="J223" s="9" t="inlineStr"/>
      <c r="K223" s="8" t="inlineStr">
        <is>
          <t>Copiar en Flexxus: Tipo=MB-EXT | Movimiento=GRAVAMEN LEY 25.413 S/CRED | Monto=205,00 | Fecha: 27/04/2026</t>
        </is>
      </c>
    </row>
    <row r="224">
      <c r="A224" s="8" t="inlineStr">
        <is>
          <t>PEND-85BC33B095DD-A001</t>
        </is>
      </c>
      <c r="B224" s="8" t="inlineStr">
        <is>
          <t>ABIERTO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108791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205</v>
      </c>
      <c r="J224" s="9" t="inlineStr"/>
      <c r="K224" s="8" t="inlineStr">
        <is>
          <t>Copiar en Flexxus: Tipo=MB-EXT | Movimiento=GRAVAMEN LEY 25.413 S/CRED | Monto=205,00 | Fecha: 27/04/2026</t>
        </is>
      </c>
    </row>
    <row r="225">
      <c r="A225" s="8" t="inlineStr">
        <is>
          <t>PEND-B3C0B3FBC4FA-A001</t>
        </is>
      </c>
      <c r="B225" s="8" t="inlineStr">
        <is>
          <t>ABIERTO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108760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202.03</v>
      </c>
      <c r="J225" s="9" t="inlineStr"/>
      <c r="K225" s="8" t="inlineStr">
        <is>
          <t>Copiar en Flexxus: Tipo=MB-EXT | Movimiento=GRAVAMEN LEY 25.413 S/CRED | Monto=202,03 | Fecha: 27/04/2026</t>
        </is>
      </c>
    </row>
    <row r="226">
      <c r="A226" s="8" t="inlineStr">
        <is>
          <t>PEND-84AE2B66FD24-A001</t>
        </is>
      </c>
      <c r="B226" s="8" t="inlineStr">
        <is>
          <t>ABIERTO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108880</t>
        </is>
      </c>
      <c r="F226" s="8" t="inlineStr">
        <is>
          <t>I.V.A. BASE</t>
        </is>
      </c>
      <c r="G226" s="8" t="inlineStr">
        <is>
          <t>IVA base / IVA sobre gastos</t>
        </is>
      </c>
      <c r="H226" s="8" t="inlineStr">
        <is>
          <t>IVA crédito fiscal / revisar</t>
        </is>
      </c>
      <c r="I226" s="9" t="n">
        <v>200.76</v>
      </c>
      <c r="J226" s="9" t="inlineStr"/>
      <c r="K226" s="8" t="inlineStr">
        <is>
          <t>Copiar en Flexxus: Tipo=MB-EXT | Movimiento=I.V.A. BASE | Monto=200,76 | Fecha: 27/04/2026</t>
        </is>
      </c>
    </row>
    <row r="227">
      <c r="A227" s="8" t="inlineStr">
        <is>
          <t>PEND-B83B1784C1BF-A001</t>
        </is>
      </c>
      <c r="B227" s="8" t="inlineStr">
        <is>
          <t>ABIERTO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108778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199.05</v>
      </c>
      <c r="J227" s="9" t="inlineStr"/>
      <c r="K227" s="8" t="inlineStr">
        <is>
          <t>Copiar en Flexxus: Tipo=MB-EXT | Movimiento=GRAVAMEN LEY 25.413 S/CRED | Monto=199,05 | Fecha: 27/04/2026</t>
        </is>
      </c>
    </row>
    <row r="228">
      <c r="A228" s="8" t="inlineStr">
        <is>
          <t>PEND-5B6D5BAE6A3C-A001</t>
        </is>
      </c>
      <c r="B228" s="8" t="inlineStr">
        <is>
          <t>ABIERTO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108777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199.05</v>
      </c>
      <c r="J228" s="9" t="inlineStr"/>
      <c r="K228" s="8" t="inlineStr">
        <is>
          <t>Copiar en Flexxus: Tipo=MB-EXT | Movimiento=GRAVAMEN LEY 25.413 S/CRED | Monto=199,05 | Fecha: 27/04/2026</t>
        </is>
      </c>
    </row>
    <row r="229">
      <c r="A229" s="8" t="inlineStr">
        <is>
          <t>PEND-C949E109CDB1-A001</t>
        </is>
      </c>
      <c r="B229" s="8" t="inlineStr">
        <is>
          <t>ABIERTO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29841705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195.6</v>
      </c>
      <c r="J229" s="9" t="inlineStr"/>
      <c r="K229" s="8" t="inlineStr">
        <is>
          <t>Copiar en Flexxus: Tipo=MB-EXT | Movimiento=GRAVAMEN LEY 25.413 S/CRED | Monto=195,60 | Fecha: 27/04/2026</t>
        </is>
      </c>
    </row>
    <row r="230">
      <c r="A230" s="8" t="inlineStr">
        <is>
          <t>PEND-16A4A36A5D25-A001</t>
        </is>
      </c>
      <c r="B230" s="8" t="inlineStr">
        <is>
          <t>ABIERTO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108846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194.9</v>
      </c>
      <c r="J230" s="9" t="inlineStr"/>
      <c r="K230" s="8" t="inlineStr">
        <is>
          <t>Copiar en Flexxus: Tipo=MB-EXT | Movimiento=GRAVAMEN LEY 25.413 S/CRED | Monto=194,90 | Fecha: 27/04/2026</t>
        </is>
      </c>
    </row>
    <row r="231">
      <c r="A231" s="8" t="inlineStr">
        <is>
          <t>PEND-6DB84166711A-A001</t>
        </is>
      </c>
      <c r="B231" s="8" t="inlineStr">
        <is>
          <t>ABIERTO</t>
        </is>
      </c>
      <c r="C231" s="8" t="inlineStr">
        <is>
          <t>Banco egreso no Flexxus</t>
        </is>
      </c>
      <c r="D231" s="8" t="inlineStr">
        <is>
          <t>28/04/2026</t>
        </is>
      </c>
      <c r="E231" s="8" t="inlineStr">
        <is>
          <t>109286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192.52</v>
      </c>
      <c r="J231" s="9" t="inlineStr"/>
      <c r="K231" s="8" t="inlineStr">
        <is>
          <t>Copiar en Flexxus: Tipo=MB-EXT | Movimiento=GRAVAMEN LEY 25.413 S/CRED | Monto=192,52 | Fecha: 28/04/2026</t>
        </is>
      </c>
    </row>
    <row r="232">
      <c r="A232" s="8" t="inlineStr">
        <is>
          <t>PEND-1CD1C8D6A55D-A001</t>
        </is>
      </c>
      <c r="B232" s="8" t="inlineStr">
        <is>
          <t>ABIERTO</t>
        </is>
      </c>
      <c r="C232" s="8" t="inlineStr">
        <is>
          <t>Banco egreso no Flexxus</t>
        </is>
      </c>
      <c r="D232" s="8" t="inlineStr">
        <is>
          <t>28/04/2026</t>
        </is>
      </c>
      <c r="E232" s="8" t="inlineStr">
        <is>
          <t>32032899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192.51</v>
      </c>
      <c r="J232" s="9" t="inlineStr"/>
      <c r="K232" s="8" t="inlineStr">
        <is>
          <t>Copiar en Flexxus: Tipo=MB-EXT | Movimiento=GRAVAMEN LEY 25.413 S/CRED | Monto=192,51 | Fecha: 28/04/2026</t>
        </is>
      </c>
    </row>
    <row r="233">
      <c r="A233" s="8" t="inlineStr">
        <is>
          <t>PEND-5BF1894CEF4C-A001</t>
        </is>
      </c>
      <c r="B233" s="8" t="inlineStr">
        <is>
          <t>ABIERTO</t>
        </is>
      </c>
      <c r="C233" s="8" t="inlineStr">
        <is>
          <t>Banco egreso no Flexxus</t>
        </is>
      </c>
      <c r="D233" s="8" t="inlineStr">
        <is>
          <t>28/04/2026</t>
        </is>
      </c>
      <c r="E233" s="8" t="inlineStr">
        <is>
          <t>29841683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190.17</v>
      </c>
      <c r="J233" s="9" t="inlineStr"/>
      <c r="K233" s="8" t="inlineStr">
        <is>
          <t>Copiar en Flexxus: Tipo=MB-EXT | Movimiento=GRAVAMEN LEY 25.413 S/CRED | Monto=190,17 | Fecha: 28/04/2026</t>
        </is>
      </c>
    </row>
    <row r="234">
      <c r="A234" s="8" t="inlineStr">
        <is>
          <t>PEND-E7EF01C551A3-A001</t>
        </is>
      </c>
      <c r="B234" s="8" t="inlineStr">
        <is>
          <t>ABIERTO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108783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189.25</v>
      </c>
      <c r="J234" s="9" t="inlineStr"/>
      <c r="K234" s="8" t="inlineStr">
        <is>
          <t>Copiar en Flexxus: Tipo=MB-EXT | Movimiento=GRAVAMEN LEY 25.413 S/CRED | Monto=189,25 | Fecha: 27/04/2026</t>
        </is>
      </c>
    </row>
    <row r="235">
      <c r="A235" s="8" t="inlineStr">
        <is>
          <t>PEND-AB344D8DB465-A001</t>
        </is>
      </c>
      <c r="B235" s="8" t="inlineStr">
        <is>
          <t>ABIERTO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108792</t>
        </is>
      </c>
      <c r="F235" s="8" t="inlineStr">
        <is>
          <t>INGRESOS BRUTOS MENDOZA</t>
        </is>
      </c>
      <c r="G235" s="8" t="inlineStr">
        <is>
          <t>Retención Ingresos Brutos Mendoza</t>
        </is>
      </c>
      <c r="H235" s="8" t="inlineStr">
        <is>
          <t>Retención de Ingresos Brutos</t>
        </is>
      </c>
      <c r="I235" s="9" t="n">
        <v>189.15</v>
      </c>
      <c r="J235" s="9" t="inlineStr"/>
      <c r="K235" s="8" t="inlineStr">
        <is>
          <t>Copiar en Flexxus: Tipo=MB-EXT | Movimiento=INGRESOS BRUTOS MENDOZA | Monto=189,15 | Fecha: 27/04/2026</t>
        </is>
      </c>
    </row>
    <row r="236">
      <c r="A236" s="8" t="inlineStr">
        <is>
          <t>PEND-00D427584ED0-A001</t>
        </is>
      </c>
      <c r="B236" s="8" t="inlineStr">
        <is>
          <t>ABIERTO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29841642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188.8</v>
      </c>
      <c r="J236" s="9" t="inlineStr"/>
      <c r="K236" s="8" t="inlineStr">
        <is>
          <t>Copiar en Flexxus: Tipo=MB-EXT | Movimiento=INGRESOS BRUTOS MENDOZA | Monto=188,80 | Fecha: 27/04/2026</t>
        </is>
      </c>
    </row>
    <row r="237">
      <c r="A237" s="8" t="inlineStr">
        <is>
          <t>PEND-889C647F789F-A001</t>
        </is>
      </c>
      <c r="B237" s="8" t="inlineStr">
        <is>
          <t>ABIERTO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29841705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180.19</v>
      </c>
      <c r="J237" s="9" t="inlineStr"/>
      <c r="K237" s="8" t="inlineStr">
        <is>
          <t>Copiar en Flexxus: Tipo=MB-EXT | Movimiento=GRAVAMEN LEY 25.413 S/CRED | Monto=180,19 | Fecha: 27/04/2026</t>
        </is>
      </c>
    </row>
    <row r="238">
      <c r="A238" s="8" t="inlineStr">
        <is>
          <t>PEND-E742C87FCD35-A001</t>
        </is>
      </c>
      <c r="B238" s="8" t="inlineStr">
        <is>
          <t>ABIERTO</t>
        </is>
      </c>
      <c r="C238" s="8" t="inlineStr">
        <is>
          <t>Banco egreso no Flexxus</t>
        </is>
      </c>
      <c r="D238" s="8" t="inlineStr">
        <is>
          <t>28/04/2026</t>
        </is>
      </c>
      <c r="E238" s="8" t="inlineStr">
        <is>
          <t>109282</t>
        </is>
      </c>
      <c r="F238" s="8" t="inlineStr">
        <is>
          <t>GRAVAMEN LEY 25413 S/CRED</t>
        </is>
      </c>
      <c r="G238" s="8" t="inlineStr">
        <is>
          <t>Anticipo Ganancias Ley 25.413 créditos</t>
        </is>
      </c>
      <c r="H238" s="8" t="inlineStr">
        <is>
          <t>Anticipo Impuesto a las Ganancias</t>
        </is>
      </c>
      <c r="I238" s="9" t="n">
        <v>172.32</v>
      </c>
      <c r="J238" s="9" t="inlineStr"/>
      <c r="K238" s="8" t="inlineStr">
        <is>
          <t>Copiar en Flexxus: Tipo=MB-EXT | Movimiento=GRAVAMEN LEY 25.413 S/CRED | Monto=172,32 | Fecha: 28/04/2026</t>
        </is>
      </c>
    </row>
    <row r="239">
      <c r="A239" s="8" t="inlineStr">
        <is>
          <t>PEND-D12AF6A58094-A001</t>
        </is>
      </c>
      <c r="B239" s="8" t="inlineStr">
        <is>
          <t>ABIERTO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4062494</t>
        </is>
      </c>
      <c r="F239" s="8" t="inlineStr">
        <is>
          <t>GRAVAMEN LEY 25413 S/DEB</t>
        </is>
      </c>
      <c r="G239" s="8" t="inlineStr">
        <is>
          <t>Anticipo Ganancias Ley 25.413 débitos</t>
        </is>
      </c>
      <c r="H239" s="8" t="inlineStr">
        <is>
          <t>Anticipo Impuesto a las Ganancias</t>
        </is>
      </c>
      <c r="I239" s="9" t="n">
        <v>170.11</v>
      </c>
      <c r="J239" s="9" t="inlineStr"/>
      <c r="K239" s="8" t="inlineStr">
        <is>
          <t>Copiar en Flexxus: Tipo=MB-EXT | Movimiento=GRAVAMEN LEY 25.413 S/DEB | Monto=170,11 | Fecha: 27/04/2026</t>
        </is>
      </c>
    </row>
    <row r="240">
      <c r="A240" s="8" t="inlineStr">
        <is>
          <t>PEND-AA731AA3E1E3-A001</t>
        </is>
      </c>
      <c r="B240" s="8" t="inlineStr">
        <is>
          <t>ABIERTO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108806</t>
        </is>
      </c>
      <c r="F240" s="8" t="inlineStr">
        <is>
          <t>GRAVAMEN LEY 25413 S/CRED</t>
        </is>
      </c>
      <c r="G240" s="8" t="inlineStr">
        <is>
          <t>Anticipo Ganancias Ley 25.413 créditos</t>
        </is>
      </c>
      <c r="H240" s="8" t="inlineStr">
        <is>
          <t>Anticipo Impuesto a las Ganancias</t>
        </is>
      </c>
      <c r="I240" s="9" t="n">
        <v>168.16</v>
      </c>
      <c r="J240" s="9" t="inlineStr"/>
      <c r="K240" s="8" t="inlineStr">
        <is>
          <t>Copiar en Flexxus: Tipo=MB-EXT | Movimiento=GRAVAMEN LEY 25.413 S/CRED | Monto=168,16 | Fecha: 27/04/2026</t>
        </is>
      </c>
    </row>
    <row r="241">
      <c r="A241" s="8" t="inlineStr">
        <is>
          <t>PEND-9ACFD90B6562-A001</t>
        </is>
      </c>
      <c r="B241" s="8" t="inlineStr">
        <is>
          <t>ABIERTO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108819</t>
        </is>
      </c>
      <c r="F241" s="8" t="inlineStr">
        <is>
          <t>INGRESOS BRUTOS MENDOZA</t>
        </is>
      </c>
      <c r="G241" s="8" t="inlineStr">
        <is>
          <t>Retención Ingresos Brutos Mendoza</t>
        </is>
      </c>
      <c r="H241" s="8" t="inlineStr">
        <is>
          <t>Retención de Ingresos Brutos</t>
        </is>
      </c>
      <c r="I241" s="9" t="n">
        <v>166.37</v>
      </c>
      <c r="J241" s="9" t="inlineStr"/>
      <c r="K241" s="8" t="inlineStr">
        <is>
          <t>Copiar en Flexxus: Tipo=MB-EXT | Movimiento=INGRESOS BRUTOS MENDOZA | Monto=166,37 | Fecha: 27/04/2026</t>
        </is>
      </c>
    </row>
    <row r="242">
      <c r="A242" s="8" t="inlineStr">
        <is>
          <t>PEND-288DBE8AA325-A001</t>
        </is>
      </c>
      <c r="B242" s="8" t="inlineStr">
        <is>
          <t>ABIERTO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108829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165.78</v>
      </c>
      <c r="J242" s="9" t="inlineStr"/>
      <c r="K242" s="8" t="inlineStr">
        <is>
          <t>Copiar en Flexxus: Tipo=MB-EXT | Movimiento=GRAVAMEN LEY 25.413 S/CRED | Monto=165,78 | Fecha: 27/04/2026</t>
        </is>
      </c>
    </row>
    <row r="243">
      <c r="A243" s="8" t="inlineStr">
        <is>
          <t>PEND-62B005CBBCFE-A001</t>
        </is>
      </c>
      <c r="B243" s="8" t="inlineStr">
        <is>
          <t>ABIERTO</t>
        </is>
      </c>
      <c r="C243" s="8" t="inlineStr">
        <is>
          <t>Banco egreso no Flexxus</t>
        </is>
      </c>
      <c r="D243" s="8" t="inlineStr">
        <is>
          <t>28/04/2026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163.17</v>
      </c>
      <c r="J243" s="9" t="inlineStr"/>
      <c r="K243" s="8" t="inlineStr">
        <is>
          <t>Copiar en Flexxus: Tipo=MB-EXT | Movimiento=GRAVAMEN LEY 25.413 S/CRED | Monto=163,17 | Fecha: 28/04/2026</t>
        </is>
      </c>
    </row>
    <row r="244">
      <c r="A244" s="8" t="inlineStr">
        <is>
          <t>PEND-8A48BBBA3991-A001</t>
        </is>
      </c>
      <c r="B244" s="8" t="inlineStr">
        <is>
          <t>ABIERTO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108834</t>
        </is>
      </c>
      <c r="F244" s="8" t="inlineStr">
        <is>
          <t>GRAVAMEN LEY 25413 S/CRED</t>
        </is>
      </c>
      <c r="G244" s="8" t="inlineStr">
        <is>
          <t>Anticipo Ganancias Ley 25.413 créditos</t>
        </is>
      </c>
      <c r="H244" s="8" t="inlineStr">
        <is>
          <t>Anticipo Impuesto a las Ganancias</t>
        </is>
      </c>
      <c r="I244" s="9" t="n">
        <v>161.03</v>
      </c>
      <c r="J244" s="9" t="inlineStr"/>
      <c r="K244" s="8" t="inlineStr">
        <is>
          <t>Copiar en Flexxus: Tipo=MB-EXT | Movimiento=GRAVAMEN LEY 25.413 S/CRED | Monto=161,03 | Fecha: 27/04/2026</t>
        </is>
      </c>
    </row>
    <row r="245">
      <c r="A245" s="8" t="inlineStr">
        <is>
          <t>PEND-698BCE59AA12-A001</t>
        </is>
      </c>
      <c r="B245" s="8" t="inlineStr">
        <is>
          <t>ABIERTO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108835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160.43</v>
      </c>
      <c r="J245" s="9" t="inlineStr"/>
      <c r="K245" s="8" t="inlineStr">
        <is>
          <t>Copiar en Flexxus: Tipo=MB-EXT | Movimiento=GRAVAMEN LEY 25.413 S/CRED | Monto=160,43 | Fecha: 27/04/2026</t>
        </is>
      </c>
    </row>
    <row r="246">
      <c r="A246" s="8" t="inlineStr">
        <is>
          <t>PEND-27A2F2873284-A001</t>
        </is>
      </c>
      <c r="B246" s="8" t="inlineStr">
        <is>
          <t>ABIERTO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108813</t>
        </is>
      </c>
      <c r="F246" s="8" t="inlineStr">
        <is>
          <t>GRAVAMEN LEY 25413 S/CRED</t>
        </is>
      </c>
      <c r="G246" s="8" t="inlineStr">
        <is>
          <t>Anticipo Ganancias Ley 25.413 créditos</t>
        </is>
      </c>
      <c r="H246" s="8" t="inlineStr">
        <is>
          <t>Anticipo Impuesto a las Ganancias</t>
        </is>
      </c>
      <c r="I246" s="9" t="n">
        <v>160.43</v>
      </c>
      <c r="J246" s="9" t="inlineStr"/>
      <c r="K246" s="8" t="inlineStr">
        <is>
          <t>Copiar en Flexxus: Tipo=MB-EXT | Movimiento=GRAVAMEN LEY 25.413 S/CRED | Monto=160,43 | Fecha: 27/04/2026</t>
        </is>
      </c>
    </row>
    <row r="247">
      <c r="A247" s="8" t="inlineStr">
        <is>
          <t>PEND-00FE55992B23-A001</t>
        </is>
      </c>
      <c r="B247" s="8" t="inlineStr">
        <is>
          <t>ABIERTO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108805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160.43</v>
      </c>
      <c r="J247" s="9" t="inlineStr"/>
      <c r="K247" s="8" t="inlineStr">
        <is>
          <t>Copiar en Flexxus: Tipo=MB-EXT | Movimiento=GRAVAMEN LEY 25.413 S/CRED | Monto=160,43 | Fecha: 27/04/2026</t>
        </is>
      </c>
    </row>
    <row r="248">
      <c r="A248" s="8" t="inlineStr">
        <is>
          <t>PEND-E0DD6BAD9E9C-A001</t>
        </is>
      </c>
      <c r="B248" s="8" t="inlineStr">
        <is>
          <t>ABIERTO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108765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160.43</v>
      </c>
      <c r="J248" s="9" t="inlineStr"/>
      <c r="K248" s="8" t="inlineStr">
        <is>
          <t>Copiar en Flexxus: Tipo=MB-EXT | Movimiento=GRAVAMEN LEY 25.413 S/CRED | Monto=160,43 | Fecha: 27/04/2026</t>
        </is>
      </c>
    </row>
    <row r="249">
      <c r="A249" s="8" t="inlineStr">
        <is>
          <t>PEND-83EE694324B2-A001</t>
        </is>
      </c>
      <c r="B249" s="8" t="inlineStr">
        <is>
          <t>ABIERTO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108797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153.3</v>
      </c>
      <c r="J249" s="9" t="inlineStr"/>
      <c r="K249" s="8" t="inlineStr">
        <is>
          <t>Copiar en Flexxus: Tipo=MB-EXT | Movimiento=GRAVAMEN LEY 25.413 S/CRED | Monto=153,30 | Fecha: 27/04/2026</t>
        </is>
      </c>
    </row>
    <row r="250">
      <c r="A250" s="8" t="inlineStr">
        <is>
          <t>PEND-9E58A4E81F76-A001</t>
        </is>
      </c>
      <c r="B250" s="8" t="inlineStr">
        <is>
          <t>ABIERTO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108847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148.55</v>
      </c>
      <c r="J250" s="9" t="inlineStr"/>
      <c r="K250" s="8" t="inlineStr">
        <is>
          <t>Copiar en Flexxus: Tipo=MB-EXT | Movimiento=GRAVAMEN LEY 25.413 S/CRED | Monto=148,55 | Fecha: 27/04/2026</t>
        </is>
      </c>
    </row>
    <row r="251">
      <c r="A251" s="8" t="inlineStr">
        <is>
          <t>PEND-C558D9BF22AD-A001</t>
        </is>
      </c>
      <c r="B251" s="8" t="inlineStr">
        <is>
          <t>ABIERTO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108823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148.55</v>
      </c>
      <c r="J251" s="9" t="inlineStr"/>
      <c r="K251" s="8" t="inlineStr">
        <is>
          <t>Copiar en Flexxus: Tipo=MB-EXT | Movimiento=GRAVAMEN LEY 25.413 S/CRED | Monto=148,55 | Fecha: 27/04/2026</t>
        </is>
      </c>
    </row>
    <row r="252">
      <c r="A252" s="8" t="inlineStr">
        <is>
          <t>PEND-856E86024F04-A001</t>
        </is>
      </c>
      <c r="B252" s="8" t="inlineStr">
        <is>
          <t>ABIERTO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108789</t>
        </is>
      </c>
      <c r="F252" s="8" t="inlineStr">
        <is>
          <t>GRAVAMEN LEY 25413 S/CRED</t>
        </is>
      </c>
      <c r="G252" s="8" t="inlineStr">
        <is>
          <t>Anticipo Ganancias Ley 25.413 créditos</t>
        </is>
      </c>
      <c r="H252" s="8" t="inlineStr">
        <is>
          <t>Anticipo Impuesto a las Ganancias</t>
        </is>
      </c>
      <c r="I252" s="9" t="n">
        <v>148.55</v>
      </c>
      <c r="J252" s="9" t="inlineStr"/>
      <c r="K252" s="8" t="inlineStr">
        <is>
          <t>Copiar en Flexxus: Tipo=MB-EXT | Movimiento=GRAVAMEN LEY 25.413 S/CRED | Monto=148,55 | Fecha: 27/04/2026</t>
        </is>
      </c>
    </row>
    <row r="253">
      <c r="A253" s="8" t="inlineStr">
        <is>
          <t>PEND-F5A713ABCC27-A001</t>
        </is>
      </c>
      <c r="B253" s="8" t="inlineStr">
        <is>
          <t>ABIERTO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108808</t>
        </is>
      </c>
      <c r="F253" s="8" t="inlineStr">
        <is>
          <t>INGRESOS BRUTOS MENDOZA</t>
        </is>
      </c>
      <c r="G253" s="8" t="inlineStr">
        <is>
          <t>Retención Ingresos Brutos Mendoza</t>
        </is>
      </c>
      <c r="H253" s="8" t="inlineStr">
        <is>
          <t>Retención de Ingresos Brutos</t>
        </is>
      </c>
      <c r="I253" s="9" t="n">
        <v>148.55</v>
      </c>
      <c r="J253" s="9" t="inlineStr"/>
      <c r="K253" s="8" t="inlineStr">
        <is>
          <t>Copiar en Flexxus: Tipo=MB-EXT | Movimiento=INGRESOS BRUTOS MENDOZA | Monto=148,55 | Fecha: 27/04/2026</t>
        </is>
      </c>
    </row>
    <row r="254">
      <c r="A254" s="8" t="inlineStr">
        <is>
          <t>PEND-9BE199CE8362-A001</t>
        </is>
      </c>
      <c r="B254" s="8" t="inlineStr">
        <is>
          <t>ABIERTO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108809</t>
        </is>
      </c>
      <c r="F254" s="8" t="inlineStr">
        <is>
          <t>GRAVAMEN LEY 25413 S/CRED</t>
        </is>
      </c>
      <c r="G254" s="8" t="inlineStr">
        <is>
          <t>Anticipo Ganancias Ley 25.413 créditos</t>
        </is>
      </c>
      <c r="H254" s="8" t="inlineStr">
        <is>
          <t>Anticipo Impuesto a las Ganancias</t>
        </is>
      </c>
      <c r="I254" s="9" t="n">
        <v>147.36</v>
      </c>
      <c r="J254" s="9" t="inlineStr"/>
      <c r="K254" s="8" t="inlineStr">
        <is>
          <t>Copiar en Flexxus: Tipo=MB-EXT | Movimiento=GRAVAMEN LEY 25.413 S/CRED | Monto=147,36 | Fecha: 27/04/2026</t>
        </is>
      </c>
    </row>
    <row r="255">
      <c r="A255" s="8" t="inlineStr">
        <is>
          <t>PEND-BB710B584964-A001</t>
        </is>
      </c>
      <c r="B255" s="8" t="inlineStr">
        <is>
          <t>ABIERTO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108815</t>
        </is>
      </c>
      <c r="F255" s="8" t="inlineStr">
        <is>
          <t>INGRESOS BRUTOS MENDOZA</t>
        </is>
      </c>
      <c r="G255" s="8" t="inlineStr">
        <is>
          <t>Retención Ingresos Brutos Mendoza</t>
        </is>
      </c>
      <c r="H255" s="8" t="inlineStr">
        <is>
          <t>Retención de Ingresos Brutos</t>
        </is>
      </c>
      <c r="I255" s="9" t="n">
        <v>146.57</v>
      </c>
      <c r="J255" s="9" t="inlineStr"/>
      <c r="K255" s="8" t="inlineStr">
        <is>
          <t>Copiar en Flexxus: Tipo=MB-EXT | Movimiento=INGRESOS BRUTOS MENDOZA | Monto=146,57 | Fecha: 27/04/2026</t>
        </is>
      </c>
    </row>
    <row r="256">
      <c r="A256" s="8" t="inlineStr">
        <is>
          <t>PEND-68457782D84A-A001</t>
        </is>
      </c>
      <c r="B256" s="8" t="inlineStr">
        <is>
          <t>ABIERTO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108844</t>
        </is>
      </c>
      <c r="F256" s="8" t="inlineStr">
        <is>
          <t>GRAVAMEN LEY 25413 S/CRED</t>
        </is>
      </c>
      <c r="G256" s="8" t="inlineStr">
        <is>
          <t>Anticipo Ganancias Ley 25.413 créditos</t>
        </is>
      </c>
      <c r="H256" s="8" t="inlineStr">
        <is>
          <t>Anticipo Impuesto a las Ganancias</t>
        </is>
      </c>
      <c r="I256" s="9" t="n">
        <v>146.17</v>
      </c>
      <c r="J256" s="9" t="inlineStr"/>
      <c r="K256" s="8" t="inlineStr">
        <is>
          <t>Copiar en Flexxus: Tipo=MB-EXT | Movimiento=GRAVAMEN LEY 25.413 S/CRED | Monto=146,17 | Fecha: 27/04/2026</t>
        </is>
      </c>
    </row>
    <row r="257">
      <c r="A257" s="8" t="inlineStr">
        <is>
          <t>PEND-55A697A3357A-A001</t>
        </is>
      </c>
      <c r="B257" s="8" t="inlineStr">
        <is>
          <t>ABIERTO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32032899</t>
        </is>
      </c>
      <c r="F257" s="8" t="inlineStr">
        <is>
          <t>DEB LIQ MASTERCARD 24H</t>
        </is>
      </c>
      <c r="G257" s="8" t="inlineStr">
        <is>
          <t>Débito liquidación tarjeta</t>
        </is>
      </c>
      <c r="H257" s="8" t="inlineStr">
        <is>
          <t>Revisar según concepto</t>
        </is>
      </c>
      <c r="I257" s="9" t="n">
        <v>145.75</v>
      </c>
      <c r="J257" s="9" t="inlineStr"/>
      <c r="K257" s="8" t="inlineStr">
        <is>
          <t>Copiar en Flexxus: Tipo=MB-EXT | Movimiento=DEB LIQ MASTERCARD 24H | Monto=145,75 | Fecha: 27/04/2026</t>
        </is>
      </c>
    </row>
    <row r="258">
      <c r="A258" s="8" t="inlineStr">
        <is>
          <t>PEND-84D460AFE38D-A001</t>
        </is>
      </c>
      <c r="B258" s="8" t="inlineStr">
        <is>
          <t>ABIERTO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108803</t>
        </is>
      </c>
      <c r="F258" s="8" t="inlineStr">
        <is>
          <t>GRAVAMEN LEY 25413 S/CRED</t>
        </is>
      </c>
      <c r="G258" s="8" t="inlineStr">
        <is>
          <t>Anticipo Ganancias Ley 25.413 créditos</t>
        </is>
      </c>
      <c r="H258" s="8" t="inlineStr">
        <is>
          <t>Anticipo Impuesto a las Ganancias</t>
        </is>
      </c>
      <c r="I258" s="9" t="n">
        <v>145.58</v>
      </c>
      <c r="J258" s="9" t="inlineStr"/>
      <c r="K258" s="8" t="inlineStr">
        <is>
          <t>Copiar en Flexxus: Tipo=MB-EXT | Movimiento=GRAVAMEN LEY 25.413 S/CRED | Monto=145,58 | Fecha: 27/04/2026</t>
        </is>
      </c>
    </row>
    <row r="259">
      <c r="A259" s="8" t="inlineStr">
        <is>
          <t>PEND-636510912159-A001</t>
        </is>
      </c>
      <c r="B259" s="8" t="inlineStr">
        <is>
          <t>ABIERTO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108828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142.61</v>
      </c>
      <c r="J259" s="9" t="inlineStr"/>
      <c r="K259" s="8" t="inlineStr">
        <is>
          <t>Copiar en Flexxus: Tipo=MB-EXT | Movimiento=GRAVAMEN LEY 25.413 S/CRED | Monto=142,61 | Fecha: 27/04/2026</t>
        </is>
      </c>
    </row>
    <row r="260">
      <c r="A260" s="8" t="inlineStr">
        <is>
          <t>PEND-31746442CC6A-A001</t>
        </is>
      </c>
      <c r="B260" s="8" t="inlineStr">
        <is>
          <t>ABIERTO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108820</t>
        </is>
      </c>
      <c r="F260" s="8" t="inlineStr">
        <is>
          <t>GRAVAMEN LEY 25413 S/CRED</t>
        </is>
      </c>
      <c r="G260" s="8" t="inlineStr">
        <is>
          <t>Anticipo Ganancias Ley 25.413 créditos</t>
        </is>
      </c>
      <c r="H260" s="8" t="inlineStr">
        <is>
          <t>Anticipo Impuesto a las Ganancias</t>
        </is>
      </c>
      <c r="I260" s="9" t="n">
        <v>142.61</v>
      </c>
      <c r="J260" s="9" t="inlineStr"/>
      <c r="K260" s="8" t="inlineStr">
        <is>
          <t>Copiar en Flexxus: Tipo=MB-EXT | Movimiento=GRAVAMEN LEY 25.413 S/CRED | Monto=142,61 | Fecha: 27/04/2026</t>
        </is>
      </c>
    </row>
    <row r="261">
      <c r="A261" s="8" t="inlineStr">
        <is>
          <t>PEND-78B71B918244-A001</t>
        </is>
      </c>
      <c r="B261" s="8" t="inlineStr">
        <is>
          <t>ABIERTO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29841683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140.86</v>
      </c>
      <c r="J261" s="9" t="inlineStr"/>
      <c r="K261" s="8" t="inlineStr">
        <is>
          <t>Copiar en Flexxus: Tipo=MB-EXT | Movimiento=GRAVAMEN LEY 25.413 S/CRED | Monto=140,86 | Fecha: 27/04/2026</t>
        </is>
      </c>
    </row>
    <row r="262">
      <c r="A262" s="8" t="inlineStr">
        <is>
          <t>PEND-E5790C1AE621-A001</t>
        </is>
      </c>
      <c r="B262" s="8" t="inlineStr">
        <is>
          <t>ABIERTO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108826</t>
        </is>
      </c>
      <c r="F262" s="8" t="inlineStr">
        <is>
          <t>GRAVAMEN LEY 25413 S/CRED</t>
        </is>
      </c>
      <c r="G262" s="8" t="inlineStr">
        <is>
          <t>Anticipo Ganancias Ley 25.413 créditos</t>
        </is>
      </c>
      <c r="H262" s="8" t="inlineStr">
        <is>
          <t>Anticipo Impuesto a las Ganancias</t>
        </is>
      </c>
      <c r="I262" s="9" t="n">
        <v>137.26</v>
      </c>
      <c r="J262" s="9" t="inlineStr"/>
      <c r="K262" s="8" t="inlineStr">
        <is>
          <t>Copiar en Flexxus: Tipo=MB-EXT | Movimiento=GRAVAMEN LEY 25.413 S/CRED | Monto=137,26 | Fecha: 27/04/2026</t>
        </is>
      </c>
    </row>
    <row r="263">
      <c r="A263" s="8" t="inlineStr">
        <is>
          <t>PEND-58D94E2A3706-A001</t>
        </is>
      </c>
      <c r="B263" s="8" t="inlineStr">
        <is>
          <t>ABIERTO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108814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136.66</v>
      </c>
      <c r="J263" s="9" t="inlineStr"/>
      <c r="K263" s="8" t="inlineStr">
        <is>
          <t>Copiar en Flexxus: Tipo=MB-EXT | Movimiento=GRAVAMEN LEY 25.413 S/CRED | Monto=136,66 | Fecha: 27/04/2026</t>
        </is>
      </c>
    </row>
    <row r="264">
      <c r="A264" s="8" t="inlineStr">
        <is>
          <t>PEND-51D6F64164E3-A001</t>
        </is>
      </c>
      <c r="B264" s="8" t="inlineStr">
        <is>
          <t>ABIERTO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108766</t>
        </is>
      </c>
      <c r="F264" s="8" t="inlineStr">
        <is>
          <t>GRAVAMEN LEY 25413 S/CRED</t>
        </is>
      </c>
      <c r="G264" s="8" t="inlineStr">
        <is>
          <t>Anticipo Ganancias Ley 25.413 créditos</t>
        </is>
      </c>
      <c r="H264" s="8" t="inlineStr">
        <is>
          <t>Anticipo Impuesto a las Ganancias</t>
        </is>
      </c>
      <c r="I264" s="9" t="n">
        <v>136.66</v>
      </c>
      <c r="J264" s="9" t="inlineStr"/>
      <c r="K264" s="8" t="inlineStr">
        <is>
          <t>Copiar en Flexxus: Tipo=MB-EXT | Movimiento=GRAVAMEN LEY 25.413 S/CRED | Monto=136,66 | Fecha: 27/04/2026</t>
        </is>
      </c>
    </row>
    <row r="265">
      <c r="A265" s="8" t="inlineStr">
        <is>
          <t>PEND-C0C652FE5B5B-A001</t>
        </is>
      </c>
      <c r="B265" s="8" t="inlineStr">
        <is>
          <t>ABIERTO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108825</t>
        </is>
      </c>
      <c r="F265" s="8" t="inlineStr">
        <is>
          <t>INGRESOS BRUTOS MENDOZA</t>
        </is>
      </c>
      <c r="G265" s="8" t="inlineStr">
        <is>
          <t>Retención Ingresos Brutos Mendoza</t>
        </is>
      </c>
      <c r="H265" s="8" t="inlineStr">
        <is>
          <t>Retención de Ingresos Brutos</t>
        </is>
      </c>
      <c r="I265" s="9" t="n">
        <v>133.69</v>
      </c>
      <c r="J265" s="9" t="inlineStr"/>
      <c r="K265" s="8" t="inlineStr">
        <is>
          <t>Copiar en Flexxus: Tipo=MB-EXT | Movimiento=INGRESOS BRUTOS MENDOZA | Monto=133,69 | Fecha: 27/04/2026</t>
        </is>
      </c>
    </row>
    <row r="266">
      <c r="A266" s="8" t="inlineStr">
        <is>
          <t>PEND-DE34BEE0BA94-A001</t>
        </is>
      </c>
      <c r="B266" s="8" t="inlineStr">
        <is>
          <t>ABIERTO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108816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133.69</v>
      </c>
      <c r="J266" s="9" t="inlineStr"/>
      <c r="K266" s="8" t="inlineStr">
        <is>
          <t>Copiar en Flexxus: Tipo=MB-EXT | Movimiento=INGRESOS BRUTOS MENDOZA | Monto=133,69 | Fecha: 27/04/2026</t>
        </is>
      </c>
    </row>
    <row r="267">
      <c r="A267" s="8" t="inlineStr">
        <is>
          <t>PEND-1022ECDD6465-A001</t>
        </is>
      </c>
      <c r="B267" s="8" t="inlineStr">
        <is>
          <t>ABIERTO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108767</t>
        </is>
      </c>
      <c r="F267" s="8" t="inlineStr">
        <is>
          <t>INGRESOS BRUTOS MENDOZA</t>
        </is>
      </c>
      <c r="G267" s="8" t="inlineStr">
        <is>
          <t>Retención Ingresos Brutos Mendoza</t>
        </is>
      </c>
      <c r="H267" s="8" t="inlineStr">
        <is>
          <t>Retención de Ingresos Brutos</t>
        </is>
      </c>
      <c r="I267" s="9" t="n">
        <v>133.69</v>
      </c>
      <c r="J267" s="9" t="inlineStr"/>
      <c r="K267" s="8" t="inlineStr">
        <is>
          <t>Copiar en Flexxus: Tipo=MB-EXT | Movimiento=INGRESOS BRUTOS MENDOZA | Monto=133,69 | Fecha: 27/04/2026</t>
        </is>
      </c>
    </row>
    <row r="268">
      <c r="A268" s="8" t="inlineStr">
        <is>
          <t>PEND-80538D71D012-A001</t>
        </is>
      </c>
      <c r="B268" s="8" t="inlineStr">
        <is>
          <t>ABIERTO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108764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133.69</v>
      </c>
      <c r="J268" s="9" t="inlineStr"/>
      <c r="K268" s="8" t="inlineStr">
        <is>
          <t>Copiar en Flexxus: Tipo=MB-EXT | Movimiento=INGRESOS BRUTOS MENDOZA | Monto=133,69 | Fecha: 27/04/2026</t>
        </is>
      </c>
    </row>
    <row r="269">
      <c r="A269" s="8" t="inlineStr">
        <is>
          <t>PEND-16F0411B8EF2-A001</t>
        </is>
      </c>
      <c r="B269" s="8" t="inlineStr">
        <is>
          <t>ABIERTO</t>
        </is>
      </c>
      <c r="C269" s="8" t="inlineStr">
        <is>
          <t>Banco egreso no Flexxus</t>
        </is>
      </c>
      <c r="D269" s="8" t="inlineStr">
        <is>
          <t>28/04/2026</t>
        </is>
      </c>
      <c r="E269" s="8" t="inlineStr">
        <is>
          <t>109287</t>
        </is>
      </c>
      <c r="F269" s="8" t="inlineStr">
        <is>
          <t>INGRESOS BRUTOS MENDOZA</t>
        </is>
      </c>
      <c r="G269" s="8" t="inlineStr">
        <is>
          <t>Retención Ingresos Brutos Mendoza</t>
        </is>
      </c>
      <c r="H269" s="8" t="inlineStr">
        <is>
          <t>Retención de Ingresos Brutos</t>
        </is>
      </c>
      <c r="I269" s="9" t="n">
        <v>133.69</v>
      </c>
      <c r="J269" s="9" t="inlineStr"/>
      <c r="K269" s="8" t="inlineStr">
        <is>
          <t>Copiar en Flexxus: Tipo=MB-EXT | Movimiento=INGRESOS BRUTOS MENDOZA | Monto=133,69 | Fecha: 28/04/2026</t>
        </is>
      </c>
    </row>
    <row r="270">
      <c r="A270" s="8" t="inlineStr">
        <is>
          <t>PEND-252B188BB41B-A001</t>
        </is>
      </c>
      <c r="B270" s="8" t="inlineStr">
        <is>
          <t>ABIERTO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29841627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133.37</v>
      </c>
      <c r="J270" s="9" t="inlineStr"/>
      <c r="K270" s="8" t="inlineStr">
        <is>
          <t>Copiar en Flexxus: Tipo=MB-EXT | Movimiento=INGRESOS BRUTOS MENDOZA | Monto=133,37 | Fecha: 27/04/2026</t>
        </is>
      </c>
    </row>
    <row r="271">
      <c r="A271" s="8" t="inlineStr">
        <is>
          <t>PEND-B977B7940F3C-A001</t>
        </is>
      </c>
      <c r="B271" s="8" t="inlineStr">
        <is>
          <t>ABIERTO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108776</t>
        </is>
      </c>
      <c r="F271" s="8" t="inlineStr">
        <is>
          <t>INGRESOS BRUTOS MENDOZA</t>
        </is>
      </c>
      <c r="G271" s="8" t="inlineStr">
        <is>
          <t>Retención Ingresos Brutos Mendoza</t>
        </is>
      </c>
      <c r="H271" s="8" t="inlineStr">
        <is>
          <t>Retención de Ingresos Brutos</t>
        </is>
      </c>
      <c r="I271" s="9" t="n">
        <v>131.71</v>
      </c>
      <c r="J271" s="9" t="inlineStr"/>
      <c r="K271" s="8" t="inlineStr">
        <is>
          <t>Copiar en Flexxus: Tipo=MB-EXT | Movimiento=INGRESOS BRUTOS MENDOZA | Monto=131,71 | Fecha: 27/04/2026</t>
        </is>
      </c>
    </row>
    <row r="272">
      <c r="A272" s="8" t="inlineStr">
        <is>
          <t>PEND-C1EE854B5875-A001</t>
        </is>
      </c>
      <c r="B272" s="8" t="inlineStr">
        <is>
          <t>ABIERTO</t>
        </is>
      </c>
      <c r="C272" s="8" t="inlineStr">
        <is>
          <t>Banco egreso no Flexxus</t>
        </is>
      </c>
      <c r="D272" s="8" t="inlineStr">
        <is>
          <t>28/04/2026</t>
        </is>
      </c>
      <c r="E272" s="8" t="inlineStr">
        <is>
          <t>109284</t>
        </is>
      </c>
      <c r="F272" s="8" t="inlineStr">
        <is>
          <t>GRAVAMEN LEY 25413 S/CRED</t>
        </is>
      </c>
      <c r="G272" s="8" t="inlineStr">
        <is>
          <t>Anticipo Ganancias Ley 25.413 créditos</t>
        </is>
      </c>
      <c r="H272" s="8" t="inlineStr">
        <is>
          <t>Anticipo Impuesto a las Ganancias</t>
        </is>
      </c>
      <c r="I272" s="9" t="n">
        <v>128.35</v>
      </c>
      <c r="J272" s="9" t="inlineStr"/>
      <c r="K272" s="8" t="inlineStr">
        <is>
          <t>Copiar en Flexxus: Tipo=MB-EXT | Movimiento=GRAVAMEN LEY 25.413 S/CRED | Monto=128,35 | Fecha: 28/04/2026</t>
        </is>
      </c>
    </row>
    <row r="273">
      <c r="A273" s="8" t="inlineStr">
        <is>
          <t>PEND-690551EA5F7C-A001</t>
        </is>
      </c>
      <c r="B273" s="8" t="inlineStr">
        <is>
          <t>ABIERTO</t>
        </is>
      </c>
      <c r="C273" s="8" t="inlineStr">
        <is>
          <t>Banco egreso no Flexxus</t>
        </is>
      </c>
      <c r="D273" s="8" t="inlineStr">
        <is>
          <t>28/04/2026</t>
        </is>
      </c>
      <c r="E273" s="8" t="inlineStr">
        <is>
          <t>109285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126.56</v>
      </c>
      <c r="J273" s="9" t="inlineStr"/>
      <c r="K273" s="8" t="inlineStr">
        <is>
          <t>Copiar en Flexxus: Tipo=MB-EXT | Movimiento=GRAVAMEN LEY 25.413 S/CRED | Monto=126,56 | Fecha: 28/04/2026</t>
        </is>
      </c>
    </row>
    <row r="274">
      <c r="A274" s="8" t="inlineStr">
        <is>
          <t>PEND-272E857528E8-A001</t>
        </is>
      </c>
      <c r="B274" s="8" t="inlineStr">
        <is>
          <t>ABIERTO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108794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125.77</v>
      </c>
      <c r="J274" s="9" t="inlineStr"/>
      <c r="K274" s="8" t="inlineStr">
        <is>
          <t>Copiar en Flexxus: Tipo=MB-EXT | Movimiento=INGRESOS BRUTOS MENDOZA | Monto=125,77 | Fecha: 27/04/2026</t>
        </is>
      </c>
    </row>
    <row r="275">
      <c r="A275" s="8" t="inlineStr">
        <is>
          <t>PEND-67B7B13152CA-A001</t>
        </is>
      </c>
      <c r="B275" s="8" t="inlineStr">
        <is>
          <t>ABIERTO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108831</t>
        </is>
      </c>
      <c r="F275" s="8" t="inlineStr">
        <is>
          <t>INGRESOS BRUTOS MENDOZA</t>
        </is>
      </c>
      <c r="G275" s="8" t="inlineStr">
        <is>
          <t>Retención Ingresos Brutos Mendoza</t>
        </is>
      </c>
      <c r="H275" s="8" t="inlineStr">
        <is>
          <t>Retención de Ingresos Brutos</t>
        </is>
      </c>
      <c r="I275" s="9" t="n">
        <v>123.79</v>
      </c>
      <c r="J275" s="9" t="inlineStr"/>
      <c r="K275" s="8" t="inlineStr">
        <is>
          <t>Copiar en Flexxus: Tipo=MB-EXT | Movimiento=INGRESOS BRUTOS MENDOZA | Monto=123,79 | Fecha: 27/04/2026</t>
        </is>
      </c>
    </row>
    <row r="276">
      <c r="A276" s="8" t="inlineStr">
        <is>
          <t>PEND-F541EC993B51-A001</t>
        </is>
      </c>
      <c r="B276" s="8" t="inlineStr">
        <is>
          <t>ABIERTO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108779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122.8</v>
      </c>
      <c r="J276" s="9" t="inlineStr"/>
      <c r="K276" s="8" t="inlineStr">
        <is>
          <t>Copiar en Flexxus: Tipo=MB-EXT | Movimiento=INGRESOS BRUTOS MENDOZA | Monto=122,80 | Fecha: 27/04/2026</t>
        </is>
      </c>
    </row>
    <row r="277">
      <c r="A277" s="8" t="inlineStr">
        <is>
          <t>PEND-BC23A4809AC5-A001</t>
        </is>
      </c>
      <c r="B277" s="8" t="inlineStr">
        <is>
          <t>ABIERTO</t>
        </is>
      </c>
      <c r="C277" s="8" t="inlineStr">
        <is>
          <t>Banco egreso no Flexxus</t>
        </is>
      </c>
      <c r="D277" s="8" t="inlineStr">
        <is>
          <t>28/04/2026</t>
        </is>
      </c>
      <c r="E277" s="8" t="inlineStr">
        <is>
          <t>32032899</t>
        </is>
      </c>
      <c r="F277" s="8" t="inlineStr">
        <is>
          <t>GRAVAMEN LEY 25413 S/DEB</t>
        </is>
      </c>
      <c r="G277" s="8" t="inlineStr">
        <is>
          <t>Anticipo Ganancias Ley 25.413 débitos</t>
        </is>
      </c>
      <c r="H277" s="8" t="inlineStr">
        <is>
          <t>Anticipo Impuesto a las Ganancias</t>
        </is>
      </c>
      <c r="I277" s="9" t="n">
        <v>122.7</v>
      </c>
      <c r="J277" s="9" t="inlineStr"/>
      <c r="K277" s="8" t="inlineStr">
        <is>
          <t>Copiar en Flexxus: Tipo=MB-EXT | Movimiento=GRAVAMEN LEY 25.413 S/DEB | Monto=122,70 | Fecha: 28/04/2026</t>
        </is>
      </c>
    </row>
    <row r="278">
      <c r="A278" s="8" t="inlineStr">
        <is>
          <t>PEND-5AF871C5CD5B-A001</t>
        </is>
      </c>
      <c r="B278" s="8" t="inlineStr">
        <is>
          <t>ABIERTO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108832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116.86</v>
      </c>
      <c r="J278" s="9" t="inlineStr"/>
      <c r="K278" s="8" t="inlineStr">
        <is>
          <t>Copiar en Flexxus: Tipo=MB-EXT | Movimiento=INGRESOS BRUTOS MENDOZA | Monto=116,86 | Fecha: 27/04/2026</t>
        </is>
      </c>
    </row>
    <row r="279">
      <c r="A279" s="8" t="inlineStr">
        <is>
          <t>PEND-6190CC51E796-A001</t>
        </is>
      </c>
      <c r="B279" s="8" t="inlineStr">
        <is>
          <t>ABIERTO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108843</t>
        </is>
      </c>
      <c r="F279" s="8" t="inlineStr">
        <is>
          <t>INGRESOS BRUTOS MENDOZA</t>
        </is>
      </c>
      <c r="G279" s="8" t="inlineStr">
        <is>
          <t>Retención Ingresos Brutos Mendoza</t>
        </is>
      </c>
      <c r="H279" s="8" t="inlineStr">
        <is>
          <t>Retención de Ingresos Brutos</t>
        </is>
      </c>
      <c r="I279" s="9" t="n">
        <v>113.89</v>
      </c>
      <c r="J279" s="9" t="inlineStr"/>
      <c r="K279" s="8" t="inlineStr">
        <is>
          <t>Copiar en Flexxus: Tipo=MB-EXT | Movimiento=INGRESOS BRUTOS MENDOZA | Monto=113,89 | Fecha: 27/04/2026</t>
        </is>
      </c>
    </row>
    <row r="280">
      <c r="A280" s="8" t="inlineStr">
        <is>
          <t>PEND-837CB6E03170-A001</t>
        </is>
      </c>
      <c r="B280" s="8" t="inlineStr">
        <is>
          <t>ABIERTO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108822</t>
        </is>
      </c>
      <c r="F280" s="8" t="inlineStr">
        <is>
          <t>INGRESOS BRUTOS MENDOZA</t>
        </is>
      </c>
      <c r="G280" s="8" t="inlineStr">
        <is>
          <t>Retención Ingresos Brutos Mendoza</t>
        </is>
      </c>
      <c r="H280" s="8" t="inlineStr">
        <is>
          <t>Retención de Ingresos Brutos</t>
        </is>
      </c>
      <c r="I280" s="9" t="n">
        <v>113.89</v>
      </c>
      <c r="J280" s="9" t="inlineStr"/>
      <c r="K280" s="8" t="inlineStr">
        <is>
          <t>Copiar en Flexxus: Tipo=MB-EXT | Movimiento=INGRESOS BRUTOS MENDOZA | Monto=113,89 | Fecha: 27/04/2026</t>
        </is>
      </c>
    </row>
    <row r="281">
      <c r="A281" s="8" t="inlineStr">
        <is>
          <t>PEND-696B712D6154-A001</t>
        </is>
      </c>
      <c r="B281" s="8" t="inlineStr">
        <is>
          <t>ABIERTO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108786</t>
        </is>
      </c>
      <c r="F281" s="8" t="inlineStr">
        <is>
          <t>INGRESOS BRUTOS MENDOZA</t>
        </is>
      </c>
      <c r="G281" s="8" t="inlineStr">
        <is>
          <t>Retención Ingresos Brutos Mendoza</t>
        </is>
      </c>
      <c r="H281" s="8" t="inlineStr">
        <is>
          <t>Retención de Ingresos Brutos</t>
        </is>
      </c>
      <c r="I281" s="9" t="n">
        <v>113.89</v>
      </c>
      <c r="J281" s="9" t="inlineStr"/>
      <c r="K281" s="8" t="inlineStr">
        <is>
          <t>Copiar en Flexxus: Tipo=MB-EXT | Movimiento=INGRESOS BRUTOS MENDOZA | Monto=113,89 | Fecha: 27/04/2026</t>
        </is>
      </c>
    </row>
    <row r="282">
      <c r="A282" s="8" t="inlineStr">
        <is>
          <t>PEND-013911CCF3D3-A001</t>
        </is>
      </c>
      <c r="B282" s="8" t="inlineStr">
        <is>
          <t>ABIERTO</t>
        </is>
      </c>
      <c r="C282" s="8" t="inlineStr">
        <is>
          <t>Banco egreso no Flexxus</t>
        </is>
      </c>
      <c r="D282" s="8" t="inlineStr">
        <is>
          <t>28/04/2026</t>
        </is>
      </c>
      <c r="E282" s="8" t="inlineStr">
        <is>
          <t>109241</t>
        </is>
      </c>
      <c r="F282" s="8" t="inlineStr">
        <is>
          <t>INGRESOS BRUTOS MENDOZA</t>
        </is>
      </c>
      <c r="G282" s="8" t="inlineStr">
        <is>
          <t>Retención Ingresos Brutos Mendoza</t>
        </is>
      </c>
      <c r="H282" s="8" t="inlineStr">
        <is>
          <t>Retención de Ingresos Brutos</t>
        </is>
      </c>
      <c r="I282" s="9" t="n">
        <v>113.89</v>
      </c>
      <c r="J282" s="9" t="inlineStr"/>
      <c r="K282" s="8" t="inlineStr">
        <is>
          <t>Copiar en Flexxus: Tipo=MB-EXT | Movimiento=INGRESOS BRUTOS MENDOZA | Monto=113,89 | Fecha: 28/04/2026</t>
        </is>
      </c>
    </row>
    <row r="283">
      <c r="A283" s="8" t="inlineStr">
        <is>
          <t>PEND-EE0A08B4F62A-A001</t>
        </is>
      </c>
      <c r="B283" s="8" t="inlineStr">
        <is>
          <t>ABIERTO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108792</t>
        </is>
      </c>
      <c r="F283" s="8" t="inlineStr">
        <is>
          <t>GRAVAMEN LEY 25413 S/CRED</t>
        </is>
      </c>
      <c r="G283" s="8" t="inlineStr">
        <is>
          <t>Anticipo Ganancias Ley 25.413 créditos</t>
        </is>
      </c>
      <c r="H283" s="8" t="inlineStr">
        <is>
          <t>Anticipo Impuesto a las Ganancias</t>
        </is>
      </c>
      <c r="I283" s="9" t="n">
        <v>113.49</v>
      </c>
      <c r="J283" s="9" t="inlineStr"/>
      <c r="K283" s="8" t="inlineStr">
        <is>
          <t>Copiar en Flexxus: Tipo=MB-EXT | Movimiento=GRAVAMEN LEY 25.413 S/CRED | Monto=113,49 | Fecha: 27/04/2026</t>
        </is>
      </c>
    </row>
    <row r="284">
      <c r="A284" s="8" t="inlineStr">
        <is>
          <t>PEND-62E512DC55F6-A001</t>
        </is>
      </c>
      <c r="B284" s="8" t="inlineStr">
        <is>
          <t>ABIERTO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29841642</t>
        </is>
      </c>
      <c r="F284" s="8" t="inlineStr">
        <is>
          <t>GRAVAMEN LEY 25413 S/CRED</t>
        </is>
      </c>
      <c r="G284" s="8" t="inlineStr">
        <is>
          <t>Anticipo Ganancias Ley 25.413 créditos</t>
        </is>
      </c>
      <c r="H284" s="8" t="inlineStr">
        <is>
          <t>Anticipo Impuesto a las Ganancias</t>
        </is>
      </c>
      <c r="I284" s="9" t="n">
        <v>113.28</v>
      </c>
      <c r="J284" s="9" t="inlineStr"/>
      <c r="K284" s="8" t="inlineStr">
        <is>
          <t>Copiar en Flexxus: Tipo=MB-EXT | Movimiento=GRAVAMEN LEY 25.413 S/CRED | Monto=113,28 | Fecha: 27/04/2026</t>
        </is>
      </c>
    </row>
    <row r="285">
      <c r="A285" s="8" t="inlineStr">
        <is>
          <t>PEND-DFB0CE1E430A-A001</t>
        </is>
      </c>
      <c r="B285" s="8" t="inlineStr">
        <is>
          <t>ABIERTO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108788</t>
        </is>
      </c>
      <c r="F285" s="8" t="inlineStr">
        <is>
          <t>INGRESOS BRUTOS MENDOZA</t>
        </is>
      </c>
      <c r="G285" s="8" t="inlineStr">
        <is>
          <t>Retención Ingresos Brutos Mendoza</t>
        </is>
      </c>
      <c r="H285" s="8" t="inlineStr">
        <is>
          <t>Retención de Ingresos Brutos</t>
        </is>
      </c>
      <c r="I285" s="9" t="n">
        <v>104.97</v>
      </c>
      <c r="J285" s="9" t="inlineStr"/>
      <c r="K285" s="8" t="inlineStr">
        <is>
          <t>Copiar en Flexxus: Tipo=MB-EXT | Movimiento=INGRESOS BRUTOS MENDOZA | Monto=104,97 | Fecha: 27/04/2026</t>
        </is>
      </c>
    </row>
    <row r="286">
      <c r="A286" s="8" t="inlineStr">
        <is>
          <t>PEND-6CA3B776887D-A001</t>
        </is>
      </c>
      <c r="B286" s="8" t="inlineStr">
        <is>
          <t>ABIERTO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108819</t>
        </is>
      </c>
      <c r="F286" s="8" t="inlineStr">
        <is>
          <t>GRAVAMEN LEY 25413 S/CRED</t>
        </is>
      </c>
      <c r="G286" s="8" t="inlineStr">
        <is>
          <t>Anticipo Ganancias Ley 25.413 créditos</t>
        </is>
      </c>
      <c r="H286" s="8" t="inlineStr">
        <is>
          <t>Anticipo Impuesto a las Ganancias</t>
        </is>
      </c>
      <c r="I286" s="9" t="n">
        <v>99.81999999999999</v>
      </c>
      <c r="J286" s="9" t="inlineStr"/>
      <c r="K286" s="8" t="inlineStr">
        <is>
          <t>Copiar en Flexxus: Tipo=MB-EXT | Movimiento=GRAVAMEN LEY 25.413 S/CRED | Monto=99,82 | Fecha: 27/04/2026</t>
        </is>
      </c>
    </row>
    <row r="287">
      <c r="A287" s="8" t="inlineStr">
        <is>
          <t>PEND-E70CEC9F433E-A001</t>
        </is>
      </c>
      <c r="B287" s="8" t="inlineStr">
        <is>
          <t>ABIERTO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29841627</t>
        </is>
      </c>
      <c r="F287" s="8" t="inlineStr">
        <is>
          <t>INGRESOS BRUTOS MENDOZA</t>
        </is>
      </c>
      <c r="G287" s="8" t="inlineStr">
        <is>
          <t>Retención Ingresos Brutos Mendoza</t>
        </is>
      </c>
      <c r="H287" s="8" t="inlineStr">
        <is>
          <t>Retención de Ingresos Brutos</t>
        </is>
      </c>
      <c r="I287" s="9" t="n">
        <v>98.79000000000001</v>
      </c>
      <c r="J287" s="9" t="inlineStr"/>
      <c r="K287" s="8" t="inlineStr">
        <is>
          <t>Copiar en Flexxus: Tipo=MB-EXT | Movimiento=INGRESOS BRUTOS MENDOZA | Monto=98,79 | Fecha: 27/04/2026</t>
        </is>
      </c>
    </row>
    <row r="288">
      <c r="A288" s="8" t="inlineStr">
        <is>
          <t>PEND-193DAA6500C3-A001</t>
        </is>
      </c>
      <c r="B288" s="8" t="inlineStr">
        <is>
          <t>ABIERTO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108790</t>
        </is>
      </c>
      <c r="F288" s="8" t="inlineStr">
        <is>
          <t>INGRESOS BRUTOS MENDOZA</t>
        </is>
      </c>
      <c r="G288" s="8" t="inlineStr">
        <is>
          <t>Retención Ingresos Brutos Mendoza</t>
        </is>
      </c>
      <c r="H288" s="8" t="inlineStr">
        <is>
          <t>Retención de Ingresos Brutos</t>
        </is>
      </c>
      <c r="I288" s="9" t="n">
        <v>98.04000000000001</v>
      </c>
      <c r="J288" s="9" t="inlineStr"/>
      <c r="K288" s="8" t="inlineStr">
        <is>
          <t>Copiar en Flexxus: Tipo=MB-EXT | Movimiento=INGRESOS BRUTOS MENDOZA | Monto=98,04 | Fecha: 27/04/2026</t>
        </is>
      </c>
    </row>
    <row r="289">
      <c r="A289" s="8" t="inlineStr">
        <is>
          <t>PEND-6250B9FB6854-A001</t>
        </is>
      </c>
      <c r="B289" s="8" t="inlineStr">
        <is>
          <t>ABIERTO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108768</t>
        </is>
      </c>
      <c r="F289" s="8" t="inlineStr">
        <is>
          <t>INGRESOS BRUTOS MENDOZA</t>
        </is>
      </c>
      <c r="G289" s="8" t="inlineStr">
        <is>
          <t>Retención Ingresos Brutos Mendoza</t>
        </is>
      </c>
      <c r="H289" s="8" t="inlineStr">
        <is>
          <t>Retención de Ingresos Brutos</t>
        </is>
      </c>
      <c r="I289" s="9" t="n">
        <v>94.08</v>
      </c>
      <c r="J289" s="9" t="inlineStr"/>
      <c r="K289" s="8" t="inlineStr">
        <is>
          <t>Copiar en Flexxus: Tipo=MB-EXT | Movimiento=INGRESOS BRUTOS MENDOZA | Monto=94,08 | Fecha: 27/04/2026</t>
        </is>
      </c>
    </row>
    <row r="290">
      <c r="A290" s="8" t="inlineStr">
        <is>
          <t>PEND-113D846FC2EE-A001</t>
        </is>
      </c>
      <c r="B290" s="8" t="inlineStr">
        <is>
          <t>ABIERTO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29841705</t>
        </is>
      </c>
      <c r="F290" s="8" t="inlineStr">
        <is>
          <t>INGRESOS BRUTOS MENDOZA</t>
        </is>
      </c>
      <c r="G290" s="8" t="inlineStr">
        <is>
          <t>Retención Ingresos Brutos Mendoza</t>
        </is>
      </c>
      <c r="H290" s="8" t="inlineStr">
        <is>
          <t>Retención de Ingresos Brutos</t>
        </is>
      </c>
      <c r="I290" s="9" t="n">
        <v>91.95</v>
      </c>
      <c r="J290" s="9" t="inlineStr"/>
      <c r="K290" s="8" t="inlineStr">
        <is>
          <t>Copiar en Flexxus: Tipo=MB-EXT | Movimiento=INGRESOS BRUTOS MENDOZA | Monto=91,95 | Fecha: 27/04/2026</t>
        </is>
      </c>
    </row>
    <row r="291">
      <c r="A291" s="8" t="inlineStr">
        <is>
          <t>PEND-D15F50D525FE-A001</t>
        </is>
      </c>
      <c r="B291" s="8" t="inlineStr">
        <is>
          <t>ABIERTO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108808</t>
        </is>
      </c>
      <c r="F291" s="8" t="inlineStr">
        <is>
          <t>GRAVAMEN LEY 25413 S/CRED</t>
        </is>
      </c>
      <c r="G291" s="8" t="inlineStr">
        <is>
          <t>Anticipo Ganancias Ley 25.413 créditos</t>
        </is>
      </c>
      <c r="H291" s="8" t="inlineStr">
        <is>
          <t>Anticipo Impuesto a las Ganancias</t>
        </is>
      </c>
      <c r="I291" s="9" t="n">
        <v>89.13</v>
      </c>
      <c r="J291" s="9" t="inlineStr"/>
      <c r="K291" s="8" t="inlineStr">
        <is>
          <t>Copiar en Flexxus: Tipo=MB-EXT | Movimiento=GRAVAMEN LEY 25.413 S/CRED | Monto=89,13 | Fecha: 27/04/2026</t>
        </is>
      </c>
    </row>
    <row r="292">
      <c r="A292" s="8" t="inlineStr">
        <is>
          <t>PEND-FA89BC97A7FD-A001</t>
        </is>
      </c>
      <c r="B292" s="8" t="inlineStr">
        <is>
          <t>ABIERTO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108801</t>
        </is>
      </c>
      <c r="F292" s="8" t="inlineStr">
        <is>
          <t>INGRESOS BRUTOS MENDOZA</t>
        </is>
      </c>
      <c r="G292" s="8" t="inlineStr">
        <is>
          <t>Retención Ingresos Brutos Mendoza</t>
        </is>
      </c>
      <c r="H292" s="8" t="inlineStr">
        <is>
          <t>Retención de Ingresos Brutos</t>
        </is>
      </c>
      <c r="I292" s="9" t="n">
        <v>89.13</v>
      </c>
      <c r="J292" s="9" t="inlineStr"/>
      <c r="K292" s="8" t="inlineStr">
        <is>
          <t>Copiar en Flexxus: Tipo=MB-EXT | Movimiento=INGRESOS BRUTOS MENDOZA | Monto=89,13 | Fecha: 27/04/2026</t>
        </is>
      </c>
    </row>
    <row r="293">
      <c r="A293" s="8" t="inlineStr">
        <is>
          <t>PEND-7AB8C358DCF9-A001</t>
        </is>
      </c>
      <c r="B293" s="8" t="inlineStr">
        <is>
          <t>ABIERTO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108799</t>
        </is>
      </c>
      <c r="F293" s="8" t="inlineStr">
        <is>
          <t>INGRESOS BRUTOS MENDOZA</t>
        </is>
      </c>
      <c r="G293" s="8" t="inlineStr">
        <is>
          <t>Retención Ingresos Brutos Mendoza</t>
        </is>
      </c>
      <c r="H293" s="8" t="inlineStr">
        <is>
          <t>Retención de Ingresos Brutos</t>
        </is>
      </c>
      <c r="I293" s="9" t="n">
        <v>89.13</v>
      </c>
      <c r="J293" s="9" t="inlineStr"/>
      <c r="K293" s="8" t="inlineStr">
        <is>
          <t>Copiar en Flexxus: Tipo=MB-EXT | Movimiento=INGRESOS BRUTOS MENDOZA | Monto=89,13 | Fecha: 27/04/2026</t>
        </is>
      </c>
    </row>
    <row r="294">
      <c r="A294" s="8" t="inlineStr">
        <is>
          <t>PEND-EEC60BA067D5-A001</t>
        </is>
      </c>
      <c r="B294" s="8" t="inlineStr">
        <is>
          <t>ABIERTO</t>
        </is>
      </c>
      <c r="C294" s="8" t="inlineStr">
        <is>
          <t>Banco egreso no Flexxus</t>
        </is>
      </c>
      <c r="D294" s="8" t="inlineStr">
        <is>
          <t>28/04/2026</t>
        </is>
      </c>
      <c r="E294" s="8" t="inlineStr">
        <is>
          <t>29841642</t>
        </is>
      </c>
      <c r="F294" s="8" t="inlineStr">
        <is>
          <t>INGRESOS BRUTOS MENDOZA</t>
        </is>
      </c>
      <c r="G294" s="8" t="inlineStr">
        <is>
          <t>Retención Ingresos Brutos Mendoza</t>
        </is>
      </c>
      <c r="H294" s="8" t="inlineStr">
        <is>
          <t>Retención de Ingresos Brutos</t>
        </is>
      </c>
      <c r="I294" s="9" t="n">
        <v>88.04000000000001</v>
      </c>
      <c r="J294" s="9" t="inlineStr"/>
      <c r="K294" s="8" t="inlineStr">
        <is>
          <t>Copiar en Flexxus: Tipo=MB-EXT | Movimiento=INGRESOS BRUTOS MENDOZA | Monto=88,04 | Fecha: 28/04/2026</t>
        </is>
      </c>
    </row>
    <row r="295">
      <c r="A295" s="8" t="inlineStr">
        <is>
          <t>PEND-59B34F0FEB69-A001</t>
        </is>
      </c>
      <c r="B295" s="8" t="inlineStr">
        <is>
          <t>ABIERTO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108815</t>
        </is>
      </c>
      <c r="F295" s="8" t="inlineStr">
        <is>
          <t>GRAVAMEN LEY 25413 S/CRED</t>
        </is>
      </c>
      <c r="G295" s="8" t="inlineStr">
        <is>
          <t>Anticipo Ganancias Ley 25.413 créditos</t>
        </is>
      </c>
      <c r="H295" s="8" t="inlineStr">
        <is>
          <t>Anticipo Impuesto a las Ganancias</t>
        </is>
      </c>
      <c r="I295" s="9" t="n">
        <v>87.94</v>
      </c>
      <c r="J295" s="9" t="inlineStr"/>
      <c r="K295" s="8" t="inlineStr">
        <is>
          <t>Copiar en Flexxus: Tipo=MB-EXT | Movimiento=GRAVAMEN LEY 25.413 S/CRED | Monto=87,94 | Fecha: 27/04/2026</t>
        </is>
      </c>
    </row>
    <row r="296">
      <c r="A296" s="8" t="inlineStr">
        <is>
          <t>PEND-6E098A426B62-A001</t>
        </is>
      </c>
      <c r="B296" s="8" t="inlineStr">
        <is>
          <t>ABIERTO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108773</t>
        </is>
      </c>
      <c r="F296" s="8" t="inlineStr">
        <is>
          <t>INGRESOS BRUTOS MENDOZA</t>
        </is>
      </c>
      <c r="G296" s="8" t="inlineStr">
        <is>
          <t>Retención Ingresos Brutos Mendoza</t>
        </is>
      </c>
      <c r="H296" s="8" t="inlineStr">
        <is>
          <t>Retención de Ingresos Brutos</t>
        </is>
      </c>
      <c r="I296" s="9" t="n">
        <v>84.18000000000001</v>
      </c>
      <c r="J296" s="9" t="inlineStr"/>
      <c r="K296" s="8" t="inlineStr">
        <is>
          <t>Copiar en Flexxus: Tipo=MB-EXT | Movimiento=INGRESOS BRUTOS MENDOZA | Monto=84,18 | Fecha: 27/04/2026</t>
        </is>
      </c>
    </row>
    <row r="297">
      <c r="A297" s="8" t="inlineStr">
        <is>
          <t>PEND-9F4AD502A3C3-A001</t>
        </is>
      </c>
      <c r="B297" s="8" t="inlineStr">
        <is>
          <t>ABIERTO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108825</t>
        </is>
      </c>
      <c r="F297" s="8" t="inlineStr">
        <is>
          <t>GRAVAMEN LEY 25413 S/CRED</t>
        </is>
      </c>
      <c r="G297" s="8" t="inlineStr">
        <is>
          <t>Anticipo Ganancias Ley 25.413 créditos</t>
        </is>
      </c>
      <c r="H297" s="8" t="inlineStr">
        <is>
          <t>Anticipo Impuesto a las Ganancias</t>
        </is>
      </c>
      <c r="I297" s="9" t="n">
        <v>80.22</v>
      </c>
      <c r="J297" s="9" t="inlineStr"/>
      <c r="K297" s="8" t="inlineStr">
        <is>
          <t>Copiar en Flexxus: Tipo=MB-EXT | Movimiento=GRAVAMEN LEY 25.413 S/CRED | Monto=80,22 | Fecha: 27/04/2026</t>
        </is>
      </c>
    </row>
    <row r="298">
      <c r="A298" s="8" t="inlineStr">
        <is>
          <t>PEND-7863062C7B4B-A001</t>
        </is>
      </c>
      <c r="B298" s="8" t="inlineStr">
        <is>
          <t>ABIERTO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108816</t>
        </is>
      </c>
      <c r="F298" s="8" t="inlineStr">
        <is>
          <t>GRAVAMEN LEY 25413 S/CRED</t>
        </is>
      </c>
      <c r="G298" s="8" t="inlineStr">
        <is>
          <t>Anticipo Ganancias Ley 25.413 créditos</t>
        </is>
      </c>
      <c r="H298" s="8" t="inlineStr">
        <is>
          <t>Anticipo Impuesto a las Ganancias</t>
        </is>
      </c>
      <c r="I298" s="9" t="n">
        <v>80.22</v>
      </c>
      <c r="J298" s="9" t="inlineStr"/>
      <c r="K298" s="8" t="inlineStr">
        <is>
          <t>Copiar en Flexxus: Tipo=MB-EXT | Movimiento=GRAVAMEN LEY 25.413 S/CRED | Monto=80,22 | Fecha: 27/04/2026</t>
        </is>
      </c>
    </row>
    <row r="299">
      <c r="A299" s="8" t="inlineStr">
        <is>
          <t>PEND-86763E79069D-A001</t>
        </is>
      </c>
      <c r="B299" s="8" t="inlineStr">
        <is>
          <t>ABIERTO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108767</t>
        </is>
      </c>
      <c r="F299" s="8" t="inlineStr">
        <is>
          <t>GRAVAMEN LEY 25413 S/CRED</t>
        </is>
      </c>
      <c r="G299" s="8" t="inlineStr">
        <is>
          <t>Anticipo Ganancias Ley 25.413 créditos</t>
        </is>
      </c>
      <c r="H299" s="8" t="inlineStr">
        <is>
          <t>Anticipo Impuesto a las Ganancias</t>
        </is>
      </c>
      <c r="I299" s="9" t="n">
        <v>80.22</v>
      </c>
      <c r="J299" s="9" t="inlineStr"/>
      <c r="K299" s="8" t="inlineStr">
        <is>
          <t>Copiar en Flexxus: Tipo=MB-EXT | Movimiento=GRAVAMEN LEY 25.413 S/CRED | Monto=80,22 | Fecha: 27/04/2026</t>
        </is>
      </c>
    </row>
    <row r="300">
      <c r="A300" s="8" t="inlineStr">
        <is>
          <t>PEND-D507ABE2E4D7-A001</t>
        </is>
      </c>
      <c r="B300" s="8" t="inlineStr">
        <is>
          <t>ABIERTO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108764</t>
        </is>
      </c>
      <c r="F300" s="8" t="inlineStr">
        <is>
          <t>GRAVAMEN LEY 25413 S/CRED</t>
        </is>
      </c>
      <c r="G300" s="8" t="inlineStr">
        <is>
          <t>Anticipo Ganancias Ley 25.413 créditos</t>
        </is>
      </c>
      <c r="H300" s="8" t="inlineStr">
        <is>
          <t>Anticipo Impuesto a las Ganancias</t>
        </is>
      </c>
      <c r="I300" s="9" t="n">
        <v>80.22</v>
      </c>
      <c r="J300" s="9" t="inlineStr"/>
      <c r="K300" s="8" t="inlineStr">
        <is>
          <t>Copiar en Flexxus: Tipo=MB-EXT | Movimiento=GRAVAMEN LEY 25.413 S/CRED | Monto=80,22 | Fecha: 27/04/2026</t>
        </is>
      </c>
    </row>
    <row r="301">
      <c r="A301" s="8" t="inlineStr">
        <is>
          <t>PEND-7D80F8FAD8D3-A001</t>
        </is>
      </c>
      <c r="B301" s="8" t="inlineStr">
        <is>
          <t>ABIERTO</t>
        </is>
      </c>
      <c r="C301" s="8" t="inlineStr">
        <is>
          <t>Banco egreso no Flexxus</t>
        </is>
      </c>
      <c r="D301" s="8" t="inlineStr">
        <is>
          <t>28/04/2026</t>
        </is>
      </c>
      <c r="E301" s="8" t="inlineStr">
        <is>
          <t>109287</t>
        </is>
      </c>
      <c r="F301" s="8" t="inlineStr">
        <is>
          <t>GRAVAMEN LEY 25413 S/CRED</t>
        </is>
      </c>
      <c r="G301" s="8" t="inlineStr">
        <is>
          <t>Anticipo Ganancias Ley 25.413 créditos</t>
        </is>
      </c>
      <c r="H301" s="8" t="inlineStr">
        <is>
          <t>Anticipo Impuesto a las Ganancias</t>
        </is>
      </c>
      <c r="I301" s="9" t="n">
        <v>80.22</v>
      </c>
      <c r="J301" s="9" t="inlineStr"/>
      <c r="K301" s="8" t="inlineStr">
        <is>
          <t>Copiar en Flexxus: Tipo=MB-EXT | Movimiento=GRAVAMEN LEY 25.413 S/CRED | Monto=80,22 | Fecha: 28/04/2026</t>
        </is>
      </c>
    </row>
    <row r="302">
      <c r="A302" s="8" t="inlineStr">
        <is>
          <t>PEND-9B0AA23F947A-A001</t>
        </is>
      </c>
      <c r="B302" s="8" t="inlineStr">
        <is>
          <t>ABIERTO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29841627</t>
        </is>
      </c>
      <c r="F302" s="8" t="inlineStr">
        <is>
          <t>GRAVAMEN LEY 25413 S/CRED</t>
        </is>
      </c>
      <c r="G302" s="8" t="inlineStr">
        <is>
          <t>Anticipo Ganancias Ley 25.413 créditos</t>
        </is>
      </c>
      <c r="H302" s="8" t="inlineStr">
        <is>
          <t>Anticipo Impuesto a las Ganancias</t>
        </is>
      </c>
      <c r="I302" s="9" t="n">
        <v>80.02</v>
      </c>
      <c r="J302" s="9" t="inlineStr"/>
      <c r="K302" s="8" t="inlineStr">
        <is>
          <t>Copiar en Flexxus: Tipo=MB-EXT | Movimiento=GRAVAMEN LEY 25.413 S/CRED | Monto=80,02 | Fecha: 27/04/2026</t>
        </is>
      </c>
    </row>
    <row r="303">
      <c r="A303" s="8" t="inlineStr">
        <is>
          <t>PEND-DE43F438F144-A001</t>
        </is>
      </c>
      <c r="B303" s="8" t="inlineStr">
        <is>
          <t>ABIERTO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108776</t>
        </is>
      </c>
      <c r="F303" s="8" t="inlineStr">
        <is>
          <t>GRAVAMEN LEY 25413 S/CRED</t>
        </is>
      </c>
      <c r="G303" s="8" t="inlineStr">
        <is>
          <t>Anticipo Ganancias Ley 25.413 créditos</t>
        </is>
      </c>
      <c r="H303" s="8" t="inlineStr">
        <is>
          <t>Anticipo Impuesto a las Ganancias</t>
        </is>
      </c>
      <c r="I303" s="9" t="n">
        <v>79.03</v>
      </c>
      <c r="J303" s="9" t="inlineStr"/>
      <c r="K303" s="8" t="inlineStr">
        <is>
          <t>Copiar en Flexxus: Tipo=MB-EXT | Movimiento=GRAVAMEN LEY 25.413 S/CRED | Monto=79,03 | Fecha: 27/04/2026</t>
        </is>
      </c>
    </row>
    <row r="304">
      <c r="A304" s="8" t="inlineStr">
        <is>
          <t>PEND-D97C5CDCE983-A001</t>
        </is>
      </c>
      <c r="B304" s="8" t="inlineStr">
        <is>
          <t>ABIERTO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108769</t>
        </is>
      </c>
      <c r="F304" s="8" t="inlineStr">
        <is>
          <t>INGRESOS BRUTOS MENDOZA</t>
        </is>
      </c>
      <c r="G304" s="8" t="inlineStr">
        <is>
          <t>Retención Ingresos Brutos Mendoza</t>
        </is>
      </c>
      <c r="H304" s="8" t="inlineStr">
        <is>
          <t>Retención de Ingresos Brutos</t>
        </is>
      </c>
      <c r="I304" s="9" t="n">
        <v>77.25</v>
      </c>
      <c r="J304" s="9" t="inlineStr"/>
      <c r="K304" s="8" t="inlineStr">
        <is>
          <t>Copiar en Flexxus: Tipo=MB-EXT | Movimiento=INGRESOS BRUTOS MENDOZA | Monto=77,25 | Fecha: 27/04/2026</t>
        </is>
      </c>
    </row>
    <row r="305">
      <c r="A305" s="8" t="inlineStr">
        <is>
          <t>PEND-7125ACBC7B9F-A001</t>
        </is>
      </c>
      <c r="B305" s="8" t="inlineStr">
        <is>
          <t>ABIERTO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108839</t>
        </is>
      </c>
      <c r="F305" s="8" t="inlineStr">
        <is>
          <t>INGRESOS BRUTOS MENDOZA</t>
        </is>
      </c>
      <c r="G305" s="8" t="inlineStr">
        <is>
          <t>Retención Ingresos Brutos Mendoza</t>
        </is>
      </c>
      <c r="H305" s="8" t="inlineStr">
        <is>
          <t>Retención de Ingresos Brutos</t>
        </is>
      </c>
      <c r="I305" s="9" t="n">
        <v>76.25</v>
      </c>
      <c r="J305" s="9" t="inlineStr"/>
      <c r="K305" s="8" t="inlineStr">
        <is>
          <t>Copiar en Flexxus: Tipo=MB-EXT | Movimiento=INGRESOS BRUTOS MENDOZA | Monto=76,25 | Fecha: 27/04/2026</t>
        </is>
      </c>
    </row>
    <row r="306">
      <c r="A306" s="8" t="inlineStr">
        <is>
          <t>PEND-F994CFB7D082-A001</t>
        </is>
      </c>
      <c r="B306" s="8" t="inlineStr">
        <is>
          <t>ABIERTO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108794</t>
        </is>
      </c>
      <c r="F306" s="8" t="inlineStr">
        <is>
          <t>GRAVAMEN LEY 25413 S/CRED</t>
        </is>
      </c>
      <c r="G306" s="8" t="inlineStr">
        <is>
          <t>Anticipo Ganancias Ley 25.413 créditos</t>
        </is>
      </c>
      <c r="H306" s="8" t="inlineStr">
        <is>
          <t>Anticipo Impuesto a las Ganancias</t>
        </is>
      </c>
      <c r="I306" s="9" t="n">
        <v>75.45999999999999</v>
      </c>
      <c r="J306" s="9" t="inlineStr"/>
      <c r="K306" s="8" t="inlineStr">
        <is>
          <t>Copiar en Flexxus: Tipo=MB-EXT | Movimiento=GRAVAMEN LEY 25.413 S/CRED | Monto=75,46 | Fecha: 27/04/2026</t>
        </is>
      </c>
    </row>
    <row r="307">
      <c r="A307" s="8" t="inlineStr">
        <is>
          <t>PEND-33059C2ED4CC-A001</t>
        </is>
      </c>
      <c r="B307" s="8" t="inlineStr">
        <is>
          <t>ABIERTO</t>
        </is>
      </c>
      <c r="C307" s="8" t="inlineStr">
        <is>
          <t>Banco egreso no Flexxus</t>
        </is>
      </c>
      <c r="D307" s="8" t="inlineStr">
        <is>
          <t>28/04/2026</t>
        </is>
      </c>
      <c r="E307" s="8" t="inlineStr">
        <is>
          <t>31995644</t>
        </is>
      </c>
      <c r="F307" s="8" t="inlineStr">
        <is>
          <t>DEB LIQ MASTERCARD 24H</t>
        </is>
      </c>
      <c r="G307" s="8" t="inlineStr">
        <is>
          <t>Débito liquidación tarjeta</t>
        </is>
      </c>
      <c r="H307" s="8" t="inlineStr">
        <is>
          <t>Revisar según concepto</t>
        </is>
      </c>
      <c r="I307" s="9" t="n">
        <v>75.09999999999999</v>
      </c>
      <c r="J307" s="9" t="inlineStr"/>
      <c r="K307" s="8" t="inlineStr">
        <is>
          <t>Copiar en Flexxus: Tipo=MB-EXT | Movimiento=DEB LIQ MASTERCARD 24H | Monto=75,10 | Fecha: 28/04/2026</t>
        </is>
      </c>
    </row>
    <row r="308">
      <c r="A308" s="8" t="inlineStr">
        <is>
          <t>PEND-5F15B7E1173C-A001</t>
        </is>
      </c>
      <c r="B308" s="8" t="inlineStr">
        <is>
          <t>ABIERTO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108831</t>
        </is>
      </c>
      <c r="F308" s="8" t="inlineStr">
        <is>
          <t>GRAVAMEN LEY 25413 S/CRED</t>
        </is>
      </c>
      <c r="G308" s="8" t="inlineStr">
        <is>
          <t>Anticipo Ganancias Ley 25.413 créditos</t>
        </is>
      </c>
      <c r="H308" s="8" t="inlineStr">
        <is>
          <t>Anticipo Impuesto a las Ganancias</t>
        </is>
      </c>
      <c r="I308" s="9" t="n">
        <v>74.27</v>
      </c>
      <c r="J308" s="9" t="inlineStr"/>
      <c r="K308" s="8" t="inlineStr">
        <is>
          <t>Copiar en Flexxus: Tipo=MB-EXT | Movimiento=GRAVAMEN LEY 25.413 S/CRED | Monto=74,27 | Fecha: 27/04/2026</t>
        </is>
      </c>
    </row>
    <row r="309">
      <c r="A309" s="8" t="inlineStr">
        <is>
          <t>PEND-AA347C99BFC0-A001</t>
        </is>
      </c>
      <c r="B309" s="8" t="inlineStr">
        <is>
          <t>ABIERTO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108779</t>
        </is>
      </c>
      <c r="F309" s="8" t="inlineStr">
        <is>
          <t>GRAVAMEN LEY 25413 S/CRED</t>
        </is>
      </c>
      <c r="G309" s="8" t="inlineStr">
        <is>
          <t>Anticipo Ganancias Ley 25.413 créditos</t>
        </is>
      </c>
      <c r="H309" s="8" t="inlineStr">
        <is>
          <t>Anticipo Impuesto a las Ganancias</t>
        </is>
      </c>
      <c r="I309" s="9" t="n">
        <v>73.68000000000001</v>
      </c>
      <c r="J309" s="9" t="inlineStr"/>
      <c r="K309" s="8" t="inlineStr">
        <is>
          <t>Copiar en Flexxus: Tipo=MB-EXT | Movimiento=GRAVAMEN LEY 25.413 S/CRED | Monto=73,68 | Fecha: 27/04/2026</t>
        </is>
      </c>
    </row>
    <row r="310">
      <c r="A310" s="8" t="inlineStr">
        <is>
          <t>PEND-D3F7F63301F3-A001</t>
        </is>
      </c>
      <c r="B310" s="8" t="inlineStr">
        <is>
          <t>ABIERTO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108832</t>
        </is>
      </c>
      <c r="F310" s="8" t="inlineStr">
        <is>
          <t>GRAVAMEN LEY 25413 S/CRED</t>
        </is>
      </c>
      <c r="G310" s="8" t="inlineStr">
        <is>
          <t>Anticipo Ganancias Ley 25.413 créditos</t>
        </is>
      </c>
      <c r="H310" s="8" t="inlineStr">
        <is>
          <t>Anticipo Impuesto a las Ganancias</t>
        </is>
      </c>
      <c r="I310" s="9" t="n">
        <v>70.11</v>
      </c>
      <c r="J310" s="9" t="inlineStr"/>
      <c r="K310" s="8" t="inlineStr">
        <is>
          <t>Copiar en Flexxus: Tipo=MB-EXT | Movimiento=GRAVAMEN LEY 25.413 S/CRED | Monto=70,11 | Fecha: 27/04/2026</t>
        </is>
      </c>
    </row>
    <row r="311">
      <c r="A311" s="8" t="inlineStr">
        <is>
          <t>PEND-B70D037AD376-A001</t>
        </is>
      </c>
      <c r="B311" s="8" t="inlineStr">
        <is>
          <t>ABIERTO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108843</t>
        </is>
      </c>
      <c r="F311" s="8" t="inlineStr">
        <is>
          <t>GRAVAMEN LEY 25413 S/CRED</t>
        </is>
      </c>
      <c r="G311" s="8" t="inlineStr">
        <is>
          <t>Anticipo Ganancias Ley 25.413 créditos</t>
        </is>
      </c>
      <c r="H311" s="8" t="inlineStr">
        <is>
          <t>Anticipo Impuesto a las Ganancias</t>
        </is>
      </c>
      <c r="I311" s="9" t="n">
        <v>68.33</v>
      </c>
      <c r="J311" s="9" t="inlineStr"/>
      <c r="K311" s="8" t="inlineStr">
        <is>
          <t>Copiar en Flexxus: Tipo=MB-EXT | Movimiento=GRAVAMEN LEY 25.413 S/CRED | Monto=68,33 | Fecha: 27/04/2026</t>
        </is>
      </c>
    </row>
    <row r="312">
      <c r="A312" s="8" t="inlineStr">
        <is>
          <t>PEND-AB82F5FC3945-A001</t>
        </is>
      </c>
      <c r="B312" s="8" t="inlineStr">
        <is>
          <t>ABIERTO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108822</t>
        </is>
      </c>
      <c r="F312" s="8" t="inlineStr">
        <is>
          <t>GRAVAMEN LEY 25413 S/CRED</t>
        </is>
      </c>
      <c r="G312" s="8" t="inlineStr">
        <is>
          <t>Anticipo Ganancias Ley 25.413 créditos</t>
        </is>
      </c>
      <c r="H312" s="8" t="inlineStr">
        <is>
          <t>Anticipo Impuesto a las Ganancias</t>
        </is>
      </c>
      <c r="I312" s="9" t="n">
        <v>68.33</v>
      </c>
      <c r="J312" s="9" t="inlineStr"/>
      <c r="K312" s="8" t="inlineStr">
        <is>
          <t>Copiar en Flexxus: Tipo=MB-EXT | Movimiento=GRAVAMEN LEY 25.413 S/CRED | Monto=68,33 | Fecha: 27/04/2026</t>
        </is>
      </c>
    </row>
    <row r="313">
      <c r="A313" s="8" t="inlineStr">
        <is>
          <t>PEND-6C11AC702BB9-A001</t>
        </is>
      </c>
      <c r="B313" s="8" t="inlineStr">
        <is>
          <t>ABIERTO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108786</t>
        </is>
      </c>
      <c r="F313" s="8" t="inlineStr">
        <is>
          <t>GRAVAMEN LEY 25413 S/CRED</t>
        </is>
      </c>
      <c r="G313" s="8" t="inlineStr">
        <is>
          <t>Anticipo Ganancias Ley 25.413 créditos</t>
        </is>
      </c>
      <c r="H313" s="8" t="inlineStr">
        <is>
          <t>Anticipo Impuesto a las Ganancias</t>
        </is>
      </c>
      <c r="I313" s="9" t="n">
        <v>68.33</v>
      </c>
      <c r="J313" s="9" t="inlineStr"/>
      <c r="K313" s="8" t="inlineStr">
        <is>
          <t>Copiar en Flexxus: Tipo=MB-EXT | Movimiento=GRAVAMEN LEY 25.413 S/CRED | Monto=68,33 | Fecha: 27/04/2026</t>
        </is>
      </c>
    </row>
    <row r="314">
      <c r="A314" s="8" t="inlineStr">
        <is>
          <t>PEND-587B3FACD49E-A001</t>
        </is>
      </c>
      <c r="B314" s="8" t="inlineStr">
        <is>
          <t>ABIERTO</t>
        </is>
      </c>
      <c r="C314" s="8" t="inlineStr">
        <is>
          <t>Banco egreso no Flexxus</t>
        </is>
      </c>
      <c r="D314" s="8" t="inlineStr">
        <is>
          <t>28/04/2026</t>
        </is>
      </c>
      <c r="E314" s="8" t="inlineStr">
        <is>
          <t>109241</t>
        </is>
      </c>
      <c r="F314" s="8" t="inlineStr">
        <is>
          <t>GRAVAMEN LEY 25413 S/CRED</t>
        </is>
      </c>
      <c r="G314" s="8" t="inlineStr">
        <is>
          <t>Anticipo Ganancias Ley 25.413 créditos</t>
        </is>
      </c>
      <c r="H314" s="8" t="inlineStr">
        <is>
          <t>Anticipo Impuesto a las Ganancias</t>
        </is>
      </c>
      <c r="I314" s="9" t="n">
        <v>68.33</v>
      </c>
      <c r="J314" s="9" t="inlineStr"/>
      <c r="K314" s="8" t="inlineStr">
        <is>
          <t>Copiar en Flexxus: Tipo=MB-EXT | Movimiento=GRAVAMEN LEY 25.413 S/CRED | Monto=68,33 | Fecha: 28/04/2026</t>
        </is>
      </c>
    </row>
    <row r="315">
      <c r="A315" s="8" t="inlineStr">
        <is>
          <t>PEND-0BC9BCD4BCB8-A001</t>
        </is>
      </c>
      <c r="B315" s="8" t="inlineStr">
        <is>
          <t>ABIERTO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108755</t>
        </is>
      </c>
      <c r="F315" s="8" t="inlineStr">
        <is>
          <t>INGRESOS BRUTOS MENDOZA</t>
        </is>
      </c>
      <c r="G315" s="8" t="inlineStr">
        <is>
          <t>Retención Ingresos Brutos Mendoza</t>
        </is>
      </c>
      <c r="H315" s="8" t="inlineStr">
        <is>
          <t>Retención de Ingresos Brutos</t>
        </is>
      </c>
      <c r="I315" s="9" t="n">
        <v>68.33</v>
      </c>
      <c r="J315" s="9" t="inlineStr"/>
      <c r="K315" s="8" t="inlineStr">
        <is>
          <t>Copiar en Flexxus: Tipo=MB-EXT | Movimiento=INGRESOS BRUTOS MENDOZA | Monto=68,33 | Fecha: 27/04/2026</t>
        </is>
      </c>
    </row>
    <row r="316">
      <c r="A316" s="8" t="inlineStr">
        <is>
          <t>PEND-7F34D4A3043A-A001</t>
        </is>
      </c>
      <c r="B316" s="8" t="inlineStr">
        <is>
          <t>ABIERTO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29841705</t>
        </is>
      </c>
      <c r="F316" s="8" t="inlineStr">
        <is>
          <t>INGRESOS BRUTOS MENDOZA</t>
        </is>
      </c>
      <c r="G316" s="8" t="inlineStr">
        <is>
          <t>Retención Ingresos Brutos Mendoza</t>
        </is>
      </c>
      <c r="H316" s="8" t="inlineStr">
        <is>
          <t>Retención de Ingresos Brutos</t>
        </is>
      </c>
      <c r="I316" s="9" t="n">
        <v>65.2</v>
      </c>
      <c r="J316" s="9" t="inlineStr"/>
      <c r="K316" s="8" t="inlineStr">
        <is>
          <t>Copiar en Flexxus: Tipo=MB-EXT | Movimiento=INGRESOS BRUTOS MENDOZA | Monto=65,20 | Fecha: 27/04/2026</t>
        </is>
      </c>
    </row>
    <row r="317">
      <c r="A317" s="8" t="inlineStr">
        <is>
          <t>PEND-5C9B1C81B1B5-A001</t>
        </is>
      </c>
      <c r="B317" s="8" t="inlineStr">
        <is>
          <t>ABIERTO</t>
        </is>
      </c>
      <c r="C317" s="8" t="inlineStr">
        <is>
          <t>Banco egreso no Flexxus</t>
        </is>
      </c>
      <c r="D317" s="8" t="inlineStr">
        <is>
          <t>28/04/2026</t>
        </is>
      </c>
      <c r="E317" s="8" t="inlineStr">
        <is>
          <t>31995644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64.15000000000001</v>
      </c>
      <c r="J317" s="9" t="inlineStr"/>
      <c r="K317" s="8" t="inlineStr">
        <is>
          <t>Copiar en Flexxus: Tipo=MB-EXT | Movimiento=GRAVAMEN LEY 25.413 S/DEB | Monto=64,15 | Fecha: 28/04/2026</t>
        </is>
      </c>
    </row>
    <row r="318">
      <c r="A318" s="8" t="inlineStr">
        <is>
          <t>PEND-AAAFFF96FFD4-A001</t>
        </is>
      </c>
      <c r="B318" s="8" t="inlineStr">
        <is>
          <t>ABIERTO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108788</t>
        </is>
      </c>
      <c r="F318" s="8" t="inlineStr">
        <is>
          <t>GRAVAMEN LEY 25413 S/CRED</t>
        </is>
      </c>
      <c r="G318" s="8" t="inlineStr">
        <is>
          <t>Anticipo Ganancias Ley 25.413 créditos</t>
        </is>
      </c>
      <c r="H318" s="8" t="inlineStr">
        <is>
          <t>Anticipo Impuesto a las Ganancias</t>
        </is>
      </c>
      <c r="I318" s="9" t="n">
        <v>62.98</v>
      </c>
      <c r="J318" s="9" t="inlineStr"/>
      <c r="K318" s="8" t="inlineStr">
        <is>
          <t>Copiar en Flexxus: Tipo=MB-EXT | Movimiento=GRAVAMEN LEY 25.413 S/CRED | Monto=62,98 | Fecha: 27/04/2026</t>
        </is>
      </c>
    </row>
    <row r="319">
      <c r="A319" s="8" t="inlineStr">
        <is>
          <t>PEND-D6949299AF6A-A001</t>
        </is>
      </c>
      <c r="B319" s="8" t="inlineStr">
        <is>
          <t>ABIERTO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29841627</t>
        </is>
      </c>
      <c r="F319" s="8" t="inlineStr">
        <is>
          <t>GRAVAMEN LEY 25413 S/CRED</t>
        </is>
      </c>
      <c r="G319" s="8" t="inlineStr">
        <is>
          <t>Anticipo Ganancias Ley 25.413 créditos</t>
        </is>
      </c>
      <c r="H319" s="8" t="inlineStr">
        <is>
          <t>Anticipo Impuesto a las Ganancias</t>
        </is>
      </c>
      <c r="I319" s="9" t="n">
        <v>59.27</v>
      </c>
      <c r="J319" s="9" t="inlineStr"/>
      <c r="K319" s="8" t="inlineStr">
        <is>
          <t>Copiar en Flexxus: Tipo=MB-EXT | Movimiento=GRAVAMEN LEY 25.413 S/CRED | Monto=59,27 | Fecha: 27/04/2026</t>
        </is>
      </c>
    </row>
    <row r="320">
      <c r="A320" s="8" t="inlineStr">
        <is>
          <t>PEND-43E31EB05D61-A001</t>
        </is>
      </c>
      <c r="B320" s="8" t="inlineStr">
        <is>
          <t>ABIERTO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108790</t>
        </is>
      </c>
      <c r="F320" s="8" t="inlineStr">
        <is>
          <t>GRAVAMEN LEY 25413 S/CRED</t>
        </is>
      </c>
      <c r="G320" s="8" t="inlineStr">
        <is>
          <t>Anticipo Ganancias Ley 25.413 créditos</t>
        </is>
      </c>
      <c r="H320" s="8" t="inlineStr">
        <is>
          <t>Anticipo Impuesto a las Ganancias</t>
        </is>
      </c>
      <c r="I320" s="9" t="n">
        <v>58.83</v>
      </c>
      <c r="J320" s="9" t="inlineStr"/>
      <c r="K320" s="8" t="inlineStr">
        <is>
          <t>Copiar en Flexxus: Tipo=MB-EXT | Movimiento=GRAVAMEN LEY 25.413 S/CRED | Monto=58,83 | Fecha: 27/04/2026</t>
        </is>
      </c>
    </row>
    <row r="321">
      <c r="A321" s="8" t="inlineStr">
        <is>
          <t>PEND-C262E4561BAC-A001</t>
        </is>
      </c>
      <c r="B321" s="8" t="inlineStr">
        <is>
          <t>ABIERTO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108768</t>
        </is>
      </c>
      <c r="F321" s="8" t="inlineStr">
        <is>
          <t>GRAVAMEN LEY 25413 S/CRED</t>
        </is>
      </c>
      <c r="G321" s="8" t="inlineStr">
        <is>
          <t>Anticipo Ganancias Ley 25.413 créditos</t>
        </is>
      </c>
      <c r="H321" s="8" t="inlineStr">
        <is>
          <t>Anticipo Impuesto a las Ganancias</t>
        </is>
      </c>
      <c r="I321" s="9" t="n">
        <v>56.45</v>
      </c>
      <c r="J321" s="9" t="inlineStr"/>
      <c r="K321" s="8" t="inlineStr">
        <is>
          <t>Copiar en Flexxus: Tipo=MB-EXT | Movimiento=GRAVAMEN LEY 25.413 S/CRED | Monto=56,45 | Fecha: 27/04/2026</t>
        </is>
      </c>
    </row>
    <row r="322">
      <c r="A322" s="8" t="inlineStr">
        <is>
          <t>PEND-33731FC41429-A001</t>
        </is>
      </c>
      <c r="B322" s="8" t="inlineStr">
        <is>
          <t>ABIERTO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29841705</t>
        </is>
      </c>
      <c r="F322" s="8" t="inlineStr">
        <is>
          <t>GRAVAMEN LEY 25413 S/CRED</t>
        </is>
      </c>
      <c r="G322" s="8" t="inlineStr">
        <is>
          <t>Anticipo Ganancias Ley 25.413 créditos</t>
        </is>
      </c>
      <c r="H322" s="8" t="inlineStr">
        <is>
          <t>Anticipo Impuesto a las Ganancias</t>
        </is>
      </c>
      <c r="I322" s="9" t="n">
        <v>55.17</v>
      </c>
      <c r="J322" s="9" t="inlineStr"/>
      <c r="K322" s="8" t="inlineStr">
        <is>
          <t>Copiar en Flexxus: Tipo=MB-EXT | Movimiento=GRAVAMEN LEY 25.413 S/CRED | Monto=55,17 | Fecha: 27/04/2026</t>
        </is>
      </c>
    </row>
    <row r="323">
      <c r="A323" s="8" t="inlineStr">
        <is>
          <t>PEND-191498268959-A001</t>
        </is>
      </c>
      <c r="B323" s="8" t="inlineStr">
        <is>
          <t>ABIERTO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108801</t>
        </is>
      </c>
      <c r="F323" s="8" t="inlineStr">
        <is>
          <t>GRAVAMEN LEY 25413 S/CRED</t>
        </is>
      </c>
      <c r="G323" s="8" t="inlineStr">
        <is>
          <t>Anticipo Ganancias Ley 25.413 créditos</t>
        </is>
      </c>
      <c r="H323" s="8" t="inlineStr">
        <is>
          <t>Anticipo Impuesto a las Ganancias</t>
        </is>
      </c>
      <c r="I323" s="9" t="n">
        <v>53.48</v>
      </c>
      <c r="J323" s="9" t="inlineStr"/>
      <c r="K323" s="8" t="inlineStr">
        <is>
          <t>Copiar en Flexxus: Tipo=MB-EXT | Movimiento=GRAVAMEN LEY 25.413 S/CRED | Monto=53,48 | Fecha: 27/04/2026</t>
        </is>
      </c>
    </row>
    <row r="324">
      <c r="A324" s="8" t="inlineStr">
        <is>
          <t>PEND-98B40BD572B8-A001</t>
        </is>
      </c>
      <c r="B324" s="8" t="inlineStr">
        <is>
          <t>ABIERTO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108799</t>
        </is>
      </c>
      <c r="F324" s="8" t="inlineStr">
        <is>
          <t>GRAVAMEN LEY 25413 S/CRED</t>
        </is>
      </c>
      <c r="G324" s="8" t="inlineStr">
        <is>
          <t>Anticipo Ganancias Ley 25.413 créditos</t>
        </is>
      </c>
      <c r="H324" s="8" t="inlineStr">
        <is>
          <t>Anticipo Impuesto a las Ganancias</t>
        </is>
      </c>
      <c r="I324" s="9" t="n">
        <v>53.48</v>
      </c>
      <c r="J324" s="9" t="inlineStr"/>
      <c r="K324" s="8" t="inlineStr">
        <is>
          <t>Copiar en Flexxus: Tipo=MB-EXT | Movimiento=GRAVAMEN LEY 25.413 S/CRED | Monto=53,48 | Fecha: 27/04/2026</t>
        </is>
      </c>
    </row>
    <row r="325">
      <c r="A325" s="8" t="inlineStr">
        <is>
          <t>PEND-492B58A13A7F-A001</t>
        </is>
      </c>
      <c r="B325" s="8" t="inlineStr">
        <is>
          <t>ABIERTO</t>
        </is>
      </c>
      <c r="C325" s="8" t="inlineStr">
        <is>
          <t>Banco egreso no Flexxus</t>
        </is>
      </c>
      <c r="D325" s="8" t="inlineStr">
        <is>
          <t>28/04/2026</t>
        </is>
      </c>
      <c r="E325" s="8" t="inlineStr">
        <is>
          <t>29841642</t>
        </is>
      </c>
      <c r="F325" s="8" t="inlineStr">
        <is>
          <t>GRAVAMEN LEY 25413 S/CRED</t>
        </is>
      </c>
      <c r="G325" s="8" t="inlineStr">
        <is>
          <t>Anticipo Ganancias Ley 25.413 créditos</t>
        </is>
      </c>
      <c r="H325" s="8" t="inlineStr">
        <is>
          <t>Anticipo Impuesto a las Ganancias</t>
        </is>
      </c>
      <c r="I325" s="9" t="n">
        <v>52.82</v>
      </c>
      <c r="J325" s="9" t="inlineStr"/>
      <c r="K325" s="8" t="inlineStr">
        <is>
          <t>Copiar en Flexxus: Tipo=MB-EXT | Movimiento=GRAVAMEN LEY 25.413 S/CRED | Monto=52,82 | Fecha: 28/04/2026</t>
        </is>
      </c>
    </row>
    <row r="326">
      <c r="A326" s="8" t="inlineStr">
        <is>
          <t>PEND-832B5954CE4D-A001</t>
        </is>
      </c>
      <c r="B326" s="8" t="inlineStr">
        <is>
          <t>ABIERTO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108773</t>
        </is>
      </c>
      <c r="F326" s="8" t="inlineStr">
        <is>
          <t>GRAVAMEN LEY 25413 S/CRED</t>
        </is>
      </c>
      <c r="G326" s="8" t="inlineStr">
        <is>
          <t>Anticipo Ganancias Ley 25.413 créditos</t>
        </is>
      </c>
      <c r="H326" s="8" t="inlineStr">
        <is>
          <t>Anticipo Impuesto a las Ganancias</t>
        </is>
      </c>
      <c r="I326" s="9" t="n">
        <v>50.51</v>
      </c>
      <c r="J326" s="9" t="inlineStr"/>
      <c r="K326" s="8" t="inlineStr">
        <is>
          <t>Copiar en Flexxus: Tipo=MB-EXT | Movimiento=GRAVAMEN LEY 25.413 S/CRED | Monto=50,51 | Fecha: 27/04/2026</t>
        </is>
      </c>
    </row>
    <row r="327">
      <c r="A327" s="8" t="inlineStr">
        <is>
          <t>PEND-4959389A1E2D-A001</t>
        </is>
      </c>
      <c r="B327" s="8" t="inlineStr">
        <is>
          <t>ABIERTO</t>
        </is>
      </c>
      <c r="C327" s="8" t="inlineStr">
        <is>
          <t>Banco egreso no Flexxus</t>
        </is>
      </c>
      <c r="D327" s="8" t="inlineStr">
        <is>
          <t>28/04/2026</t>
        </is>
      </c>
      <c r="E327" s="8" t="inlineStr">
        <is>
          <t>31995644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50.24</v>
      </c>
      <c r="J327" s="9" t="inlineStr"/>
      <c r="K327" s="8" t="inlineStr">
        <is>
          <t>Copiar en Flexxus: Tipo=MB-EXT | Movimiento=GRAVAMEN LEY 25.413 S/DEB | Monto=50,24 | Fecha: 28/04/2026</t>
        </is>
      </c>
    </row>
    <row r="328">
      <c r="A328" s="8" t="inlineStr">
        <is>
          <t>PEND-AE8EDF9569F7-A001</t>
        </is>
      </c>
      <c r="B328" s="8" t="inlineStr">
        <is>
          <t>ABIERTO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108769</t>
        </is>
      </c>
      <c r="F328" s="8" t="inlineStr">
        <is>
          <t>GRAVAMEN LEY 25413 S/CRED</t>
        </is>
      </c>
      <c r="G328" s="8" t="inlineStr">
        <is>
          <t>Anticipo Ganancias Ley 25.413 créditos</t>
        </is>
      </c>
      <c r="H328" s="8" t="inlineStr">
        <is>
          <t>Anticipo Impuesto a las Ganancias</t>
        </is>
      </c>
      <c r="I328" s="9" t="n">
        <v>46.35</v>
      </c>
      <c r="J328" s="9" t="inlineStr"/>
      <c r="K328" s="8" t="inlineStr">
        <is>
          <t>Copiar en Flexxus: Tipo=MB-EXT | Movimiento=GRAVAMEN LEY 25.413 S/CRED | Monto=46,35 | Fecha: 27/04/2026</t>
        </is>
      </c>
    </row>
    <row r="329">
      <c r="A329" s="8" t="inlineStr">
        <is>
          <t>PEND-EC2B9649D176-A001</t>
        </is>
      </c>
      <c r="B329" s="8" t="inlineStr">
        <is>
          <t>ABIERTO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108839</t>
        </is>
      </c>
      <c r="F329" s="8" t="inlineStr">
        <is>
          <t>GRAVAMEN LEY 25413 S/CRED</t>
        </is>
      </c>
      <c r="G329" s="8" t="inlineStr">
        <is>
          <t>Anticipo Ganancias Ley 25.413 créditos</t>
        </is>
      </c>
      <c r="H329" s="8" t="inlineStr">
        <is>
          <t>Anticipo Impuesto a las Ganancias</t>
        </is>
      </c>
      <c r="I329" s="9" t="n">
        <v>45.75</v>
      </c>
      <c r="J329" s="9" t="inlineStr"/>
      <c r="K329" s="8" t="inlineStr">
        <is>
          <t>Copiar en Flexxus: Tipo=MB-EXT | Movimiento=GRAVAMEN LEY 25.413 S/CRED | Monto=45,75 | Fecha: 27/04/2026</t>
        </is>
      </c>
    </row>
    <row r="330">
      <c r="A330" s="8" t="inlineStr">
        <is>
          <t>PEND-13A0FA34F7D0-A001</t>
        </is>
      </c>
      <c r="B330" s="8" t="inlineStr">
        <is>
          <t>ABIERTO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108878</t>
        </is>
      </c>
      <c r="F330" s="8" t="inlineStr">
        <is>
          <t>INGRESOS BRUTOS MENDOZA</t>
        </is>
      </c>
      <c r="G330" s="8" t="inlineStr">
        <is>
          <t>Retención Ingresos Brutos Mendoza</t>
        </is>
      </c>
      <c r="H330" s="8" t="inlineStr">
        <is>
          <t>Retención de Ingresos Brutos</t>
        </is>
      </c>
      <c r="I330" s="9" t="n">
        <v>44.56</v>
      </c>
      <c r="J330" s="9" t="inlineStr"/>
      <c r="K330" s="8" t="inlineStr">
        <is>
          <t>Copiar en Flexxus: Tipo=MB-EXT | Movimiento=INGRESOS BRUTOS MENDOZA | Monto=44,56 | Fecha: 27/04/2026</t>
        </is>
      </c>
    </row>
    <row r="331">
      <c r="A331" s="8" t="inlineStr">
        <is>
          <t>PEND-A6AC36865E73-A001</t>
        </is>
      </c>
      <c r="B331" s="8" t="inlineStr">
        <is>
          <t>ABIERTO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108800</t>
        </is>
      </c>
      <c r="F331" s="8" t="inlineStr">
        <is>
          <t>INGRESOS BRUTOS MENDOZA</t>
        </is>
      </c>
      <c r="G331" s="8" t="inlineStr">
        <is>
          <t>Retención Ingresos Brutos Mendoza</t>
        </is>
      </c>
      <c r="H331" s="8" t="inlineStr">
        <is>
          <t>Retención de Ingresos Brutos</t>
        </is>
      </c>
      <c r="I331" s="9" t="n">
        <v>44.56</v>
      </c>
      <c r="J331" s="9" t="inlineStr"/>
      <c r="K331" s="8" t="inlineStr">
        <is>
          <t>Copiar en Flexxus: Tipo=MB-EXT | Movimiento=INGRESOS BRUTOS MENDOZA | Monto=44,56 | Fecha: 27/04/2026</t>
        </is>
      </c>
    </row>
    <row r="332">
      <c r="A332" s="8" t="inlineStr">
        <is>
          <t>PEND-06CD60E593A1-A001</t>
        </is>
      </c>
      <c r="B332" s="8" t="inlineStr">
        <is>
          <t>ABIERTO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108772</t>
        </is>
      </c>
      <c r="F332" s="8" t="inlineStr">
        <is>
          <t>INGRESOS BRUTOS MENDOZA</t>
        </is>
      </c>
      <c r="G332" s="8" t="inlineStr">
        <is>
          <t>Retención Ingresos Brutos Mendoza</t>
        </is>
      </c>
      <c r="H332" s="8" t="inlineStr">
        <is>
          <t>Retención de Ingresos Brutos</t>
        </is>
      </c>
      <c r="I332" s="9" t="n">
        <v>44.56</v>
      </c>
      <c r="J332" s="9" t="inlineStr"/>
      <c r="K332" s="8" t="inlineStr">
        <is>
          <t>Copiar en Flexxus: Tipo=MB-EXT | Movimiento=INGRESOS BRUTOS MENDOZA | Monto=44,56 | Fecha: 27/04/2026</t>
        </is>
      </c>
    </row>
    <row r="333">
      <c r="A333" s="8" t="inlineStr">
        <is>
          <t>PEND-805004D28182-A001</t>
        </is>
      </c>
      <c r="B333" s="8" t="inlineStr">
        <is>
          <t>ABIERTO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29841705</t>
        </is>
      </c>
      <c r="F333" s="8" t="inlineStr">
        <is>
          <t>INGRESOS BRUTOS MENDOZA</t>
        </is>
      </c>
      <c r="G333" s="8" t="inlineStr">
        <is>
          <t>Retención Ingresos Brutos Mendoza</t>
        </is>
      </c>
      <c r="H333" s="8" t="inlineStr">
        <is>
          <t>Retención de Ingresos Brutos</t>
        </is>
      </c>
      <c r="I333" s="9" t="n">
        <v>44.02</v>
      </c>
      <c r="J333" s="9" t="inlineStr"/>
      <c r="K333" s="8" t="inlineStr">
        <is>
          <t>Copiar en Flexxus: Tipo=MB-EXT | Movimiento=INGRESOS BRUTOS MENDOZA | Monto=44,02 | Fecha: 27/04/2026</t>
        </is>
      </c>
    </row>
    <row r="334">
      <c r="A334" s="8" t="inlineStr">
        <is>
          <t>PEND-9A33B4803E37-A001</t>
        </is>
      </c>
      <c r="B334" s="8" t="inlineStr">
        <is>
          <t>ABIERTO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108755</t>
        </is>
      </c>
      <c r="F334" s="8" t="inlineStr">
        <is>
          <t>GRAVAMEN LEY 25413 S/CRED</t>
        </is>
      </c>
      <c r="G334" s="8" t="inlineStr">
        <is>
          <t>Anticipo Ganancias Ley 25.413 créditos</t>
        </is>
      </c>
      <c r="H334" s="8" t="inlineStr">
        <is>
          <t>Anticipo Impuesto a las Ganancias</t>
        </is>
      </c>
      <c r="I334" s="9" t="n">
        <v>41</v>
      </c>
      <c r="J334" s="9" t="inlineStr"/>
      <c r="K334" s="8" t="inlineStr">
        <is>
          <t>Copiar en Flexxus: Tipo=MB-EXT | Movimiento=GRAVAMEN LEY 25.413 S/CRED | Monto=41,00 | Fecha: 27/04/2026</t>
        </is>
      </c>
    </row>
    <row r="335">
      <c r="A335" s="8" t="inlineStr">
        <is>
          <t>PEND-E0BC7E6C2AA0-A001</t>
        </is>
      </c>
      <c r="B335" s="8" t="inlineStr">
        <is>
          <t>ABIERTO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29841705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39.12</v>
      </c>
      <c r="J335" s="9" t="inlineStr"/>
      <c r="K335" s="8" t="inlineStr">
        <is>
          <t>Copiar en Flexxus: Tipo=MB-EXT | Movimiento=GRAVAMEN LEY 25.413 S/CRED | Monto=39,12 | Fecha: 27/04/2026</t>
        </is>
      </c>
    </row>
    <row r="336">
      <c r="A336" s="8" t="inlineStr">
        <is>
          <t>PEND-72FE66238BE6-A001</t>
        </is>
      </c>
      <c r="B336" s="8" t="inlineStr">
        <is>
          <t>ABIERTO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32032899</t>
        </is>
      </c>
      <c r="F336" s="8" t="inlineStr">
        <is>
          <t>GRAVAMEN LEY 25413 S/DEB</t>
        </is>
      </c>
      <c r="G336" s="8" t="inlineStr">
        <is>
          <t>Anticipo Ganancias Ley 25.413 débitos</t>
        </is>
      </c>
      <c r="H336" s="8" t="inlineStr">
        <is>
          <t>Anticipo Impuesto a las Ganancias</t>
        </is>
      </c>
      <c r="I336" s="9" t="n">
        <v>38.86</v>
      </c>
      <c r="J336" s="9" t="inlineStr"/>
      <c r="K336" s="8" t="inlineStr">
        <is>
          <t>Copiar en Flexxus: Tipo=MB-EXT | Movimiento=GRAVAMEN LEY 25.413 S/DEB | Monto=38,86 | Fecha: 27/04/2026</t>
        </is>
      </c>
    </row>
    <row r="337">
      <c r="A337" s="8" t="inlineStr">
        <is>
          <t>PEND-CDD11989ED5D-A001</t>
        </is>
      </c>
      <c r="B337" s="8" t="inlineStr">
        <is>
          <t>ABIERTO</t>
        </is>
      </c>
      <c r="C337" s="8" t="inlineStr">
        <is>
          <t>Banco egreso no Flexxus</t>
        </is>
      </c>
      <c r="D337" s="8" t="inlineStr">
        <is>
          <t>28/04/2026</t>
        </is>
      </c>
      <c r="E337" s="8" t="inlineStr">
        <is>
          <t>29841670</t>
        </is>
      </c>
      <c r="F337" s="8" t="inlineStr">
        <is>
          <t>GRAVAMEN LEY 25413 S/DEB</t>
        </is>
      </c>
      <c r="G337" s="8" t="inlineStr">
        <is>
          <t>Anticipo Ganancias Ley 25.413 débitos</t>
        </is>
      </c>
      <c r="H337" s="8" t="inlineStr">
        <is>
          <t>Anticipo Impuesto a las Ganancias</t>
        </is>
      </c>
      <c r="I337" s="9" t="n">
        <v>35.68</v>
      </c>
      <c r="J337" s="9" t="inlineStr"/>
      <c r="K337" s="8" t="inlineStr">
        <is>
          <t>Copiar en Flexxus: Tipo=MB-EXT | Movimiento=GRAVAMEN LEY 25.413 S/DEB | Monto=35,68 | Fecha: 28/04/2026</t>
        </is>
      </c>
    </row>
    <row r="338">
      <c r="A338" s="8" t="inlineStr">
        <is>
          <t>PEND-789EF654B828-A001</t>
        </is>
      </c>
      <c r="B338" s="8" t="inlineStr">
        <is>
          <t>ABIERTO</t>
        </is>
      </c>
      <c r="C338" s="8" t="inlineStr">
        <is>
          <t>Banco egreso no Flexxus</t>
        </is>
      </c>
      <c r="D338" s="8" t="inlineStr">
        <is>
          <t>28/04/2026</t>
        </is>
      </c>
      <c r="E338" s="8" t="inlineStr">
        <is>
          <t>31995644</t>
        </is>
      </c>
      <c r="F338" s="8" t="inlineStr">
        <is>
          <t>GRAVAMEN LEY 25413 S/DEB</t>
        </is>
      </c>
      <c r="G338" s="8" t="inlineStr">
        <is>
          <t>Anticipo Ganancias Ley 25.413 débitos</t>
        </is>
      </c>
      <c r="H338" s="8" t="inlineStr">
        <is>
          <t>Anticipo Impuesto a las Ganancias</t>
        </is>
      </c>
      <c r="I338" s="9" t="n">
        <v>31.65</v>
      </c>
      <c r="J338" s="9" t="inlineStr"/>
      <c r="K338" s="8" t="inlineStr">
        <is>
          <t>Copiar en Flexxus: Tipo=MB-EXT | Movimiento=GRAVAMEN LEY 25.413 S/DEB | Monto=31,65 | Fecha: 28/04/2026</t>
        </is>
      </c>
    </row>
    <row r="339">
      <c r="A339" s="8" t="inlineStr">
        <is>
          <t>PEND-ED1A916D8E90-A001</t>
        </is>
      </c>
      <c r="B339" s="8" t="inlineStr">
        <is>
          <t>ABIERTO</t>
        </is>
      </c>
      <c r="C339" s="8" t="inlineStr">
        <is>
          <t>Banco egreso no Flexxus</t>
        </is>
      </c>
      <c r="D339" s="8" t="inlineStr">
        <is>
          <t>28/04/2026</t>
        </is>
      </c>
      <c r="E339" s="8" t="inlineStr">
        <is>
          <t>29841705</t>
        </is>
      </c>
      <c r="F339" s="8" t="inlineStr">
        <is>
          <t>GRAVAMEN LEY 25413 S/DEB</t>
        </is>
      </c>
      <c r="G339" s="8" t="inlineStr">
        <is>
          <t>Anticipo Ganancias Ley 25.413 débitos</t>
        </is>
      </c>
      <c r="H339" s="8" t="inlineStr">
        <is>
          <t>Anticipo Impuesto a las Ganancias</t>
        </is>
      </c>
      <c r="I339" s="9" t="n">
        <v>31.04</v>
      </c>
      <c r="J339" s="9" t="inlineStr"/>
      <c r="K339" s="8" t="inlineStr">
        <is>
          <t>Copiar en Flexxus: Tipo=MB-EXT | Movimiento=GRAVAMEN LEY 25.413 S/DEB | Monto=31,04 | Fecha: 28/04/2026</t>
        </is>
      </c>
    </row>
    <row r="340">
      <c r="A340" s="8" t="inlineStr">
        <is>
          <t>PEND-2244B0B45268-A001</t>
        </is>
      </c>
      <c r="B340" s="8" t="inlineStr">
        <is>
          <t>ABIERTO</t>
        </is>
      </c>
      <c r="C340" s="8" t="inlineStr">
        <is>
          <t>Banco egreso no Flexxus</t>
        </is>
      </c>
      <c r="D340" s="8" t="inlineStr">
        <is>
          <t>28/04/2026</t>
        </is>
      </c>
      <c r="E340" s="8" t="inlineStr">
        <is>
          <t>29841705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29.35</v>
      </c>
      <c r="J340" s="9" t="inlineStr"/>
      <c r="K340" s="8" t="inlineStr">
        <is>
          <t>Copiar en Flexxus: Tipo=MB-EXT | Movimiento=INGRESOS BRUTOS MENDOZA | Monto=29,35 | Fecha: 28/04/2026</t>
        </is>
      </c>
    </row>
    <row r="341">
      <c r="A341" s="8" t="inlineStr">
        <is>
          <t>PEND-E3646726A2D2-A001</t>
        </is>
      </c>
      <c r="B341" s="8" t="inlineStr">
        <is>
          <t>ABIERTO</t>
        </is>
      </c>
      <c r="C341" s="8" t="inlineStr">
        <is>
          <t>Banco egreso no Flexxus</t>
        </is>
      </c>
      <c r="D341" s="8" t="inlineStr">
        <is>
          <t>28/04/2026</t>
        </is>
      </c>
      <c r="E341" s="8" t="inlineStr">
        <is>
          <t>29841642</t>
        </is>
      </c>
      <c r="F341" s="8" t="inlineStr">
        <is>
          <t>GRAVAMEN LEY 25413 S/DEB</t>
        </is>
      </c>
      <c r="G341" s="8" t="inlineStr">
        <is>
          <t>Anticipo Ganancias Ley 25.413 débitos</t>
        </is>
      </c>
      <c r="H341" s="8" t="inlineStr">
        <is>
          <t>Anticipo Impuesto a las Ganancias</t>
        </is>
      </c>
      <c r="I341" s="9" t="n">
        <v>28.54</v>
      </c>
      <c r="J341" s="9" t="inlineStr"/>
      <c r="K341" s="8" t="inlineStr">
        <is>
          <t>Copiar en Flexxus: Tipo=MB-EXT | Movimiento=GRAVAMEN LEY 25.413 S/DEB | Monto=28,54 | Fecha: 28/04/2026</t>
        </is>
      </c>
    </row>
    <row r="342">
      <c r="A342" s="8" t="inlineStr">
        <is>
          <t>PEND-4569F6ED9857-A001</t>
        </is>
      </c>
      <c r="B342" s="8" t="inlineStr">
        <is>
          <t>ABIERTO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31995644</t>
        </is>
      </c>
      <c r="F342" s="8" t="inlineStr">
        <is>
          <t>GRAVAMEN LEY 25413 S/DEB</t>
        </is>
      </c>
      <c r="G342" s="8" t="inlineStr">
        <is>
          <t>Anticipo Ganancias Ley 25.413 débitos</t>
        </is>
      </c>
      <c r="H342" s="8" t="inlineStr">
        <is>
          <t>Anticipo Impuesto a las Ganancias</t>
        </is>
      </c>
      <c r="I342" s="9" t="n">
        <v>28.52</v>
      </c>
      <c r="J342" s="9" t="inlineStr"/>
      <c r="K342" s="8" t="inlineStr">
        <is>
          <t>Copiar en Flexxus: Tipo=MB-EXT | Movimiento=GRAVAMEN LEY 25.413 S/DEB | Monto=28,52 | Fecha: 27/04/2026</t>
        </is>
      </c>
    </row>
    <row r="343">
      <c r="A343" s="8" t="inlineStr">
        <is>
          <t>PEND-FF88AF5B115D-A001</t>
        </is>
      </c>
      <c r="B343" s="8" t="inlineStr">
        <is>
          <t>ABIERTO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32032899</t>
        </is>
      </c>
      <c r="F343" s="8" t="inlineStr">
        <is>
          <t>GRAVAMEN LEY 25413 S/DEB</t>
        </is>
      </c>
      <c r="G343" s="8" t="inlineStr">
        <is>
          <t>Anticipo Ganancias Ley 25.413 débitos</t>
        </is>
      </c>
      <c r="H343" s="8" t="inlineStr">
        <is>
          <t>Anticipo Impuesto a las Ganancias</t>
        </is>
      </c>
      <c r="I343" s="9" t="n">
        <v>28.32</v>
      </c>
      <c r="J343" s="9" t="inlineStr"/>
      <c r="K343" s="8" t="inlineStr">
        <is>
          <t>Copiar en Flexxus: Tipo=MB-EXT | Movimiento=GRAVAMEN LEY 25.413 S/DEB | Monto=28,32 | Fecha: 27/04/2026</t>
        </is>
      </c>
    </row>
    <row r="344">
      <c r="A344" s="8" t="inlineStr">
        <is>
          <t>PEND-41E76E9C49C3-A001</t>
        </is>
      </c>
      <c r="B344" s="8" t="inlineStr">
        <is>
          <t>ABIERTO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31995644</t>
        </is>
      </c>
      <c r="F344" s="8" t="inlineStr">
        <is>
          <t>GRAVAMEN LEY 25413 S/DEB</t>
        </is>
      </c>
      <c r="G344" s="8" t="inlineStr">
        <is>
          <t>Anticipo Ganancias Ley 25.413 débitos</t>
        </is>
      </c>
      <c r="H344" s="8" t="inlineStr">
        <is>
          <t>Anticipo Impuesto a las Ganancias</t>
        </is>
      </c>
      <c r="I344" s="9" t="n">
        <v>27.21</v>
      </c>
      <c r="J344" s="9" t="inlineStr"/>
      <c r="K344" s="8" t="inlineStr">
        <is>
          <t>Copiar en Flexxus: Tipo=MB-EXT | Movimiento=GRAVAMEN LEY 25.413 S/DEB | Monto=27,21 | Fecha: 27/04/2026</t>
        </is>
      </c>
    </row>
    <row r="345">
      <c r="A345" s="8" t="inlineStr">
        <is>
          <t>PEND-12A8E827D419-A001</t>
        </is>
      </c>
      <c r="B345" s="8" t="inlineStr">
        <is>
          <t>ABIERTO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108878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26.74</v>
      </c>
      <c r="J345" s="9" t="inlineStr"/>
      <c r="K345" s="8" t="inlineStr">
        <is>
          <t>Copiar en Flexxus: Tipo=MB-EXT | Movimiento=GRAVAMEN LEY 25.413 S/CRED | Monto=26,74 | Fecha: 27/04/2026</t>
        </is>
      </c>
    </row>
    <row r="346">
      <c r="A346" s="8" t="inlineStr">
        <is>
          <t>PEND-948AC6F99DD4-A001</t>
        </is>
      </c>
      <c r="B346" s="8" t="inlineStr">
        <is>
          <t>ABIERTO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108800</t>
        </is>
      </c>
      <c r="F346" s="8" t="inlineStr">
        <is>
          <t>GRAVAMEN LEY 25413 S/CRED</t>
        </is>
      </c>
      <c r="G346" s="8" t="inlineStr">
        <is>
          <t>Anticipo Ganancias Ley 25.413 créditos</t>
        </is>
      </c>
      <c r="H346" s="8" t="inlineStr">
        <is>
          <t>Anticipo Impuesto a las Ganancias</t>
        </is>
      </c>
      <c r="I346" s="9" t="n">
        <v>26.74</v>
      </c>
      <c r="J346" s="9" t="inlineStr"/>
      <c r="K346" s="8" t="inlineStr">
        <is>
          <t>Copiar en Flexxus: Tipo=MB-EXT | Movimiento=GRAVAMEN LEY 25.413 S/CRED | Monto=26,74 | Fecha: 27/04/2026</t>
        </is>
      </c>
    </row>
    <row r="347">
      <c r="A347" s="8" t="inlineStr">
        <is>
          <t>PEND-09B940E60ABC-A001</t>
        </is>
      </c>
      <c r="B347" s="8" t="inlineStr">
        <is>
          <t>ABIERTO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108772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26.74</v>
      </c>
      <c r="J347" s="9" t="inlineStr"/>
      <c r="K347" s="8" t="inlineStr">
        <is>
          <t>Copiar en Flexxus: Tipo=MB-EXT | Movimiento=GRAVAMEN LEY 25.413 S/CRED | Monto=26,74 | Fecha: 27/04/2026</t>
        </is>
      </c>
    </row>
    <row r="348">
      <c r="A348" s="8" t="inlineStr">
        <is>
          <t>PEND-80636D22AEF5-A001</t>
        </is>
      </c>
      <c r="B348" s="8" t="inlineStr">
        <is>
          <t>ABIERTO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29841705</t>
        </is>
      </c>
      <c r="F348" s="8" t="inlineStr">
        <is>
          <t>GRAVAMEN LEY 25413 S/CRED</t>
        </is>
      </c>
      <c r="G348" s="8" t="inlineStr">
        <is>
          <t>Anticipo Ganancias Ley 25.413 créditos</t>
        </is>
      </c>
      <c r="H348" s="8" t="inlineStr">
        <is>
          <t>Anticipo Impuesto a las Ganancias</t>
        </is>
      </c>
      <c r="I348" s="9" t="n">
        <v>26.41</v>
      </c>
      <c r="J348" s="9" t="inlineStr"/>
      <c r="K348" s="8" t="inlineStr">
        <is>
          <t>Copiar en Flexxus: Tipo=MB-EXT | Movimiento=GRAVAMEN LEY 25.413 S/CRED | Monto=26,41 | Fecha: 27/04/2026</t>
        </is>
      </c>
    </row>
    <row r="349">
      <c r="A349" s="8" t="inlineStr">
        <is>
          <t>PEND-1F465506FC5C-A001</t>
        </is>
      </c>
      <c r="B349" s="8" t="inlineStr">
        <is>
          <t>ABIERTO</t>
        </is>
      </c>
      <c r="C349" s="8" t="inlineStr">
        <is>
          <t>Banco egreso no Flexxus</t>
        </is>
      </c>
      <c r="D349" s="8" t="inlineStr">
        <is>
          <t>28/04/2026</t>
        </is>
      </c>
      <c r="E349" s="8" t="inlineStr">
        <is>
          <t>31995644</t>
        </is>
      </c>
      <c r="F349" s="8" t="inlineStr">
        <is>
          <t>GRAVAMEN LEY 25413 S/DEB</t>
        </is>
      </c>
      <c r="G349" s="8" t="inlineStr">
        <is>
          <t>Anticipo Ganancias Ley 25.413 débitos</t>
        </is>
      </c>
      <c r="H349" s="8" t="inlineStr">
        <is>
          <t>Anticipo Impuesto a las Ganancias</t>
        </is>
      </c>
      <c r="I349" s="9" t="n">
        <v>25.87</v>
      </c>
      <c r="J349" s="9" t="inlineStr"/>
      <c r="K349" s="8" t="inlineStr">
        <is>
          <t>Copiar en Flexxus: Tipo=MB-EXT | Movimiento=GRAVAMEN LEY 25.413 S/DEB | Monto=25,87 | Fecha: 28/04/2026</t>
        </is>
      </c>
    </row>
    <row r="350">
      <c r="A350" s="8" t="inlineStr">
        <is>
          <t>PEND-876ACEE1212D-A001</t>
        </is>
      </c>
      <c r="B350" s="8" t="inlineStr">
        <is>
          <t>ABIERTO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29841670</t>
        </is>
      </c>
      <c r="F350" s="8" t="inlineStr">
        <is>
          <t>DEB LIQ MASTERCARD 24H</t>
        </is>
      </c>
      <c r="G350" s="8" t="inlineStr">
        <is>
          <t>Débito liquidación tarjeta</t>
        </is>
      </c>
      <c r="H350" s="8" t="inlineStr">
        <is>
          <t>Revisar según concepto</t>
        </is>
      </c>
      <c r="I350" s="9" t="n">
        <v>24.86</v>
      </c>
      <c r="J350" s="9" t="inlineStr"/>
      <c r="K350" s="8" t="inlineStr">
        <is>
          <t>Copiar en Flexxus: Tipo=MB-EXT | Movimiento=DEB LIQ MASTERCARD 24H | Monto=24,86 | Fecha: 27/04/2026</t>
        </is>
      </c>
    </row>
    <row r="351">
      <c r="A351" s="8" t="inlineStr">
        <is>
          <t>PEND-190C0B7692B7-A001</t>
        </is>
      </c>
      <c r="B351" s="8" t="inlineStr">
        <is>
          <t>ABIERTO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31995644</t>
        </is>
      </c>
      <c r="F351" s="8" t="inlineStr">
        <is>
          <t>GRAVAMEN LEY 25413 S/DEB</t>
        </is>
      </c>
      <c r="G351" s="8" t="inlineStr">
        <is>
          <t>Anticipo Ganancias Ley 25.413 débitos</t>
        </is>
      </c>
      <c r="H351" s="8" t="inlineStr">
        <is>
          <t>Anticipo Impuesto a las Ganancias</t>
        </is>
      </c>
      <c r="I351" s="9" t="n">
        <v>21.58</v>
      </c>
      <c r="J351" s="9" t="inlineStr"/>
      <c r="K351" s="8" t="inlineStr">
        <is>
          <t>Copiar en Flexxus: Tipo=MB-EXT | Movimiento=GRAVAMEN LEY 25.413 S/DEB | Monto=21,58 | Fecha: 27/04/2026</t>
        </is>
      </c>
    </row>
    <row r="352">
      <c r="A352" s="8" t="inlineStr">
        <is>
          <t>PEND-1017AFE9574A-A001</t>
        </is>
      </c>
      <c r="B352" s="8" t="inlineStr">
        <is>
          <t>ABIERTO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32032899</t>
        </is>
      </c>
      <c r="F352" s="8" t="inlineStr">
        <is>
          <t>GRAVAMEN LEY 25413 S/DEB</t>
        </is>
      </c>
      <c r="G352" s="8" t="inlineStr">
        <is>
          <t>Anticipo Ganancias Ley 25.413 débitos</t>
        </is>
      </c>
      <c r="H352" s="8" t="inlineStr">
        <is>
          <t>Anticipo Impuesto a las Ganancias</t>
        </is>
      </c>
      <c r="I352" s="9" t="n">
        <v>17.72</v>
      </c>
      <c r="J352" s="9" t="inlineStr"/>
      <c r="K352" s="8" t="inlineStr">
        <is>
          <t>Copiar en Flexxus: Tipo=MB-EXT | Movimiento=GRAVAMEN LEY 25.413 S/DEB | Monto=17,72 | Fecha: 27/04/2026</t>
        </is>
      </c>
    </row>
    <row r="353">
      <c r="A353" s="8" t="inlineStr">
        <is>
          <t>PEND-544309C08C5C-A001</t>
        </is>
      </c>
      <c r="B353" s="8" t="inlineStr">
        <is>
          <t>ABIERTO</t>
        </is>
      </c>
      <c r="C353" s="8" t="inlineStr">
        <is>
          <t>Banco egreso no Flexxus</t>
        </is>
      </c>
      <c r="D353" s="8" t="inlineStr">
        <is>
          <t>28/04/2026</t>
        </is>
      </c>
      <c r="E353" s="8" t="inlineStr">
        <is>
          <t>29841705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17.61</v>
      </c>
      <c r="J353" s="9" t="inlineStr"/>
      <c r="K353" s="8" t="inlineStr">
        <is>
          <t>Copiar en Flexxus: Tipo=MB-EXT | Movimiento=GRAVAMEN LEY 25.413 S/CRED | Monto=17,61 | Fecha: 28/04/2026</t>
        </is>
      </c>
    </row>
    <row r="354">
      <c r="A354" s="8" t="inlineStr">
        <is>
          <t>PEND-474729E3064A-A001</t>
        </is>
      </c>
      <c r="B354" s="8" t="inlineStr">
        <is>
          <t>ABIERTO</t>
        </is>
      </c>
      <c r="C354" s="8" t="inlineStr">
        <is>
          <t>Banco egreso no Flexxus</t>
        </is>
      </c>
      <c r="D354" s="8" t="inlineStr">
        <is>
          <t>28/04/2026</t>
        </is>
      </c>
      <c r="E354" s="8" t="inlineStr">
        <is>
          <t>29841683</t>
        </is>
      </c>
      <c r="F354" s="8" t="inlineStr">
        <is>
          <t>GRAVAMEN LEY 25413 S/DEB</t>
        </is>
      </c>
      <c r="G354" s="8" t="inlineStr">
        <is>
          <t>Anticipo Ganancias Ley 25.413 débitos</t>
        </is>
      </c>
      <c r="H354" s="8" t="inlineStr">
        <is>
          <t>Anticipo Impuesto a las Ganancias</t>
        </is>
      </c>
      <c r="I354" s="9" t="n">
        <v>16.69</v>
      </c>
      <c r="J354" s="9" t="inlineStr"/>
      <c r="K354" s="8" t="inlineStr">
        <is>
          <t>Copiar en Flexxus: Tipo=MB-EXT | Movimiento=GRAVAMEN LEY 25.413 S/DEB | Monto=16,69 | Fecha: 28/04/2026</t>
        </is>
      </c>
    </row>
    <row r="355">
      <c r="A355" s="8" t="inlineStr">
        <is>
          <t>PEND-98C2C13F9B88-A001</t>
        </is>
      </c>
      <c r="B355" s="8" t="inlineStr">
        <is>
          <t>ABIERTO</t>
        </is>
      </c>
      <c r="C355" s="8" t="inlineStr">
        <is>
          <t>Banco egreso no Flexxus</t>
        </is>
      </c>
      <c r="D355" s="8" t="inlineStr">
        <is>
          <t>28/04/2026</t>
        </is>
      </c>
      <c r="E355" s="8" t="inlineStr">
        <is>
          <t>29841683</t>
        </is>
      </c>
      <c r="F355" s="8" t="inlineStr">
        <is>
          <t>GRAVAMEN LEY 25413 S/DEB</t>
        </is>
      </c>
      <c r="G355" s="8" t="inlineStr">
        <is>
          <t>Anticipo Ganancias Ley 25.413 débitos</t>
        </is>
      </c>
      <c r="H355" s="8" t="inlineStr">
        <is>
          <t>Anticipo Impuesto a las Ganancias</t>
        </is>
      </c>
      <c r="I355" s="9" t="n">
        <v>16.48</v>
      </c>
      <c r="J355" s="9" t="inlineStr"/>
      <c r="K355" s="8" t="inlineStr">
        <is>
          <t>Copiar en Flexxus: Tipo=MB-EXT | Movimiento=GRAVAMEN LEY 25.413 S/DEB | Monto=16,48 | Fecha: 28/04/2026</t>
        </is>
      </c>
    </row>
    <row r="356">
      <c r="A356" s="8" t="inlineStr">
        <is>
          <t>PEND-DE397D8CA40D-A001</t>
        </is>
      </c>
      <c r="B356" s="8" t="inlineStr">
        <is>
          <t>ABIERTO</t>
        </is>
      </c>
      <c r="C356" s="8" t="inlineStr">
        <is>
          <t>Banco egreso no Flexxus</t>
        </is>
      </c>
      <c r="D356" s="8" t="inlineStr">
        <is>
          <t>28/04/2026</t>
        </is>
      </c>
      <c r="E356" s="8" t="inlineStr">
        <is>
          <t>32032899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16.44</v>
      </c>
      <c r="J356" s="9" t="inlineStr"/>
      <c r="K356" s="8" t="inlineStr">
        <is>
          <t>Copiar en Flexxus: Tipo=MB-EXT | Movimiento=GRAVAMEN LEY 25.413 S/DEB | Monto=16,44 | Fecha: 28/04/2026</t>
        </is>
      </c>
    </row>
    <row r="357">
      <c r="A357" s="8" t="inlineStr">
        <is>
          <t>PEND-9E6173E8AA2C-A001</t>
        </is>
      </c>
      <c r="B357" s="8" t="inlineStr">
        <is>
          <t>ABIERTO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32032899</t>
        </is>
      </c>
      <c r="F357" s="8" t="inlineStr">
        <is>
          <t>GRAVAMEN LEY 25413 S/DEB</t>
        </is>
      </c>
      <c r="G357" s="8" t="inlineStr">
        <is>
          <t>Anticipo Ganancias Ley 25.413 débitos</t>
        </is>
      </c>
      <c r="H357" s="8" t="inlineStr">
        <is>
          <t>Anticipo Impuesto a las Ganancias</t>
        </is>
      </c>
      <c r="I357" s="9" t="n">
        <v>11.49</v>
      </c>
      <c r="J357" s="9" t="inlineStr"/>
      <c r="K357" s="8" t="inlineStr">
        <is>
          <t>Copiar en Flexxus: Tipo=MB-EXT | Movimiento=GRAVAMEN LEY 25.413 S/DEB | Monto=11,49 | Fecha: 27/04/2026</t>
        </is>
      </c>
    </row>
    <row r="358">
      <c r="A358" s="8" t="inlineStr">
        <is>
          <t>PEND-B0EF71BB92B9-A001</t>
        </is>
      </c>
      <c r="B358" s="8" t="inlineStr">
        <is>
          <t>ABIERTO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31995644</t>
        </is>
      </c>
      <c r="F358" s="8" t="inlineStr">
        <is>
          <t>GRAVAMEN LEY 25413 S/DEB</t>
        </is>
      </c>
      <c r="G358" s="8" t="inlineStr">
        <is>
          <t>Anticipo Ganancias Ley 25.413 débitos</t>
        </is>
      </c>
      <c r="H358" s="8" t="inlineStr">
        <is>
          <t>Anticipo Impuesto a las Ganancias</t>
        </is>
      </c>
      <c r="I358" s="9" t="n">
        <v>9.300000000000001</v>
      </c>
      <c r="J358" s="9" t="inlineStr"/>
      <c r="K358" s="8" t="inlineStr">
        <is>
          <t>Copiar en Flexxus: Tipo=MB-EXT | Movimiento=GRAVAMEN LEY 25.413 S/DEB | Monto=9,30 | Fecha: 27/04/2026</t>
        </is>
      </c>
    </row>
    <row r="359">
      <c r="A359" s="8" t="inlineStr">
        <is>
          <t>PEND-294CFEEC7D37-A001</t>
        </is>
      </c>
      <c r="B359" s="8" t="inlineStr">
        <is>
          <t>ABIERTO</t>
        </is>
      </c>
      <c r="C359" s="8" t="inlineStr">
        <is>
          <t>Banco egreso no Flexxus</t>
        </is>
      </c>
      <c r="D359" s="8" t="inlineStr">
        <is>
          <t>28/04/2026</t>
        </is>
      </c>
      <c r="E359" s="8" t="inlineStr">
        <is>
          <t>32032899</t>
        </is>
      </c>
      <c r="F359" s="8" t="inlineStr">
        <is>
          <t>GRAVAMEN LEY 25413 S/DEB</t>
        </is>
      </c>
      <c r="G359" s="8" t="inlineStr">
        <is>
          <t>Anticipo Ganancias Ley 25.413 débitos</t>
        </is>
      </c>
      <c r="H359" s="8" t="inlineStr">
        <is>
          <t>Anticipo Impuesto a las Ganancias</t>
        </is>
      </c>
      <c r="I359" s="9" t="n">
        <v>9.119999999999999</v>
      </c>
      <c r="J359" s="9" t="inlineStr"/>
      <c r="K359" s="8" t="inlineStr">
        <is>
          <t>Copiar en Flexxus: Tipo=MB-EXT | Movimiento=GRAVAMEN LEY 25.413 S/DEB | Monto=9,12 | Fecha: 28/04/2026</t>
        </is>
      </c>
    </row>
    <row r="360">
      <c r="A360" s="8" t="inlineStr">
        <is>
          <t>PEND-40AFDF7A6AFF-A001</t>
        </is>
      </c>
      <c r="B360" s="8" t="inlineStr">
        <is>
          <t>ABIERTO</t>
        </is>
      </c>
      <c r="C360" s="8" t="inlineStr">
        <is>
          <t>Banco egreso no Flexxus</t>
        </is>
      </c>
      <c r="D360" s="8" t="inlineStr">
        <is>
          <t>28/04/2026</t>
        </is>
      </c>
      <c r="E360" s="8" t="inlineStr">
        <is>
          <t>29841627</t>
        </is>
      </c>
      <c r="F360" s="8" t="inlineStr">
        <is>
          <t>GRAVAMEN LEY 25413 S/DEB</t>
        </is>
      </c>
      <c r="G360" s="8" t="inlineStr">
        <is>
          <t>Anticipo Ganancias Ley 25.413 débitos</t>
        </is>
      </c>
      <c r="H360" s="8" t="inlineStr">
        <is>
          <t>Anticipo Impuesto a las Ganancias</t>
        </is>
      </c>
      <c r="I360" s="9" t="n">
        <v>9.02</v>
      </c>
      <c r="J360" s="9" t="inlineStr"/>
      <c r="K360" s="8" t="inlineStr">
        <is>
          <t>Copiar en Flexxus: Tipo=MB-EXT | Movimiento=GRAVAMEN LEY 25.413 S/DEB | Monto=9,02 | Fecha: 28/04/2026</t>
        </is>
      </c>
    </row>
    <row r="361">
      <c r="A361" s="8" t="inlineStr">
        <is>
          <t>PEND-0A7546402AB6-A001</t>
        </is>
      </c>
      <c r="B361" s="8" t="inlineStr">
        <is>
          <t>ABIERTO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108756</t>
        </is>
      </c>
      <c r="F361" s="8" t="inlineStr">
        <is>
          <t>GRAVAMEN LEY 25413 S/DEB</t>
        </is>
      </c>
      <c r="G361" s="8" t="inlineStr">
        <is>
          <t>Anticipo Ganancias Ley 25.413 débitos</t>
        </is>
      </c>
      <c r="H361" s="8" t="inlineStr">
        <is>
          <t>Anticipo Impuesto a las Ganancias</t>
        </is>
      </c>
      <c r="I361" s="9" t="n">
        <v>8.970000000000001</v>
      </c>
      <c r="J361" s="9" t="inlineStr"/>
      <c r="K361" s="8" t="inlineStr">
        <is>
          <t>Copiar en Flexxus: Tipo=MB-EXT | Movimiento=GRAVAMEN LEY 25.413 S/DEB | Monto=8,97 | Fecha: 27/04/2026</t>
        </is>
      </c>
    </row>
    <row r="362">
      <c r="A362" s="8" t="inlineStr">
        <is>
          <t>PEND-1A293D9614E9-A001</t>
        </is>
      </c>
      <c r="B362" s="8" t="inlineStr">
        <is>
          <t>ABIERTO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32032899</t>
        </is>
      </c>
      <c r="F362" s="8" t="inlineStr">
        <is>
          <t>GRAVAMEN LEY 25413 S/DEB</t>
        </is>
      </c>
      <c r="G362" s="8" t="inlineStr">
        <is>
          <t>Anticipo Ganancias Ley 25.413 débitos</t>
        </is>
      </c>
      <c r="H362" s="8" t="inlineStr">
        <is>
          <t>Anticipo Impuesto a las Ganancias</t>
        </is>
      </c>
      <c r="I362" s="9" t="n">
        <v>8.41</v>
      </c>
      <c r="J362" s="9" t="inlineStr"/>
      <c r="K362" s="8" t="inlineStr">
        <is>
          <t>Copiar en Flexxus: Tipo=MB-EXT | Movimiento=GRAVAMEN LEY 25.413 S/DEB | Monto=8,41 | Fecha: 27/04/2026</t>
        </is>
      </c>
    </row>
    <row r="363">
      <c r="A363" s="8" t="inlineStr">
        <is>
          <t>PEND-6E88438B80CE-A001</t>
        </is>
      </c>
      <c r="B363" s="8" t="inlineStr">
        <is>
          <t>ABIERTO</t>
        </is>
      </c>
      <c r="C363" s="8" t="inlineStr">
        <is>
          <t>Banco egreso no Flexxus</t>
        </is>
      </c>
      <c r="D363" s="8" t="inlineStr">
        <is>
          <t>28/04/2026</t>
        </is>
      </c>
      <c r="E363" s="8" t="inlineStr">
        <is>
          <t>29841705</t>
        </is>
      </c>
      <c r="F363" s="8" t="inlineStr">
        <is>
          <t>GRAVAMEN LEY 25413 S/DEB</t>
        </is>
      </c>
      <c r="G363" s="8" t="inlineStr">
        <is>
          <t>Anticipo Ganancias Ley 25.413 débitos</t>
        </is>
      </c>
      <c r="H363" s="8" t="inlineStr">
        <is>
          <t>Anticipo Impuesto a las Ganancias</t>
        </is>
      </c>
      <c r="I363" s="9" t="n">
        <v>8.25</v>
      </c>
      <c r="J363" s="9" t="inlineStr"/>
      <c r="K363" s="8" t="inlineStr">
        <is>
          <t>Copiar en Flexxus: Tipo=MB-EXT | Movimiento=GRAVAMEN LEY 25.413 S/DEB | Monto=8,25 | Fecha: 28/04/2026</t>
        </is>
      </c>
    </row>
    <row r="364">
      <c r="A364" s="8" t="inlineStr">
        <is>
          <t>PEND-64DF11BD8E39-A001</t>
        </is>
      </c>
      <c r="B364" s="8" t="inlineStr">
        <is>
          <t>ABIERTO</t>
        </is>
      </c>
      <c r="C364" s="8" t="inlineStr">
        <is>
          <t>Banco egreso no Flexxus</t>
        </is>
      </c>
      <c r="D364" s="8" t="inlineStr">
        <is>
          <t>28/04/2026</t>
        </is>
      </c>
      <c r="E364" s="8" t="inlineStr">
        <is>
          <t>31995644</t>
        </is>
      </c>
      <c r="F364" s="8" t="inlineStr">
        <is>
          <t>GRAVAMEN LEY 25413 S/DEB</t>
        </is>
      </c>
      <c r="G364" s="8" t="inlineStr">
        <is>
          <t>Anticipo Ganancias Ley 25.413 débitos</t>
        </is>
      </c>
      <c r="H364" s="8" t="inlineStr">
        <is>
          <t>Anticipo Impuesto a las Ganancias</t>
        </is>
      </c>
      <c r="I364" s="9" t="n">
        <v>8.140000000000001</v>
      </c>
      <c r="J364" s="9" t="inlineStr"/>
      <c r="K364" s="8" t="inlineStr">
        <is>
          <t>Copiar en Flexxus: Tipo=MB-EXT | Movimiento=GRAVAMEN LEY 25.413 S/DEB | Monto=8,14 | Fecha: 28/04/2026</t>
        </is>
      </c>
    </row>
    <row r="365">
      <c r="A365" s="8" t="inlineStr">
        <is>
          <t>PEND-24E98CA91E0B-A001</t>
        </is>
      </c>
      <c r="B365" s="8" t="inlineStr">
        <is>
          <t>ABIERTO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29841642</t>
        </is>
      </c>
      <c r="F365" s="8" t="inlineStr">
        <is>
          <t>GRAVAMEN LEY 25413 S/DEB</t>
        </is>
      </c>
      <c r="G365" s="8" t="inlineStr">
        <is>
          <t>Anticipo Ganancias Ley 25.413 débitos</t>
        </is>
      </c>
      <c r="H365" s="8" t="inlineStr">
        <is>
          <t>Anticipo Impuesto a las Ganancias</t>
        </is>
      </c>
      <c r="I365" s="9" t="n">
        <v>8</v>
      </c>
      <c r="J365" s="9" t="inlineStr"/>
      <c r="K365" s="8" t="inlineStr">
        <is>
          <t>Copiar en Flexxus: Tipo=MB-EXT | Movimiento=GRAVAMEN LEY 25.413 S/DEB | Monto=8,00 | Fecha: 27/04/2026</t>
        </is>
      </c>
    </row>
    <row r="366">
      <c r="A366" s="8" t="inlineStr">
        <is>
          <t>PEND-08A90A0F02DD-A001</t>
        </is>
      </c>
      <c r="B366" s="8" t="inlineStr">
        <is>
          <t>ABIERTO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32032899</t>
        </is>
      </c>
      <c r="F366" s="8" t="inlineStr">
        <is>
          <t>GRAVAMEN LEY 25413 S/DEB</t>
        </is>
      </c>
      <c r="G366" s="8" t="inlineStr">
        <is>
          <t>Anticipo Ganancias Ley 25.413 débitos</t>
        </is>
      </c>
      <c r="H366" s="8" t="inlineStr">
        <is>
          <t>Anticipo Impuesto a las Ganancias</t>
        </is>
      </c>
      <c r="I366" s="9" t="n">
        <v>7.53</v>
      </c>
      <c r="J366" s="9" t="inlineStr"/>
      <c r="K366" s="8" t="inlineStr">
        <is>
          <t>Copiar en Flexxus: Tipo=MB-EXT | Movimiento=GRAVAMEN LEY 25.413 S/DEB | Monto=7,53 | Fecha: 27/04/2026</t>
        </is>
      </c>
    </row>
    <row r="367">
      <c r="A367" s="8" t="inlineStr">
        <is>
          <t>PEND-662AC3F29073-A001</t>
        </is>
      </c>
      <c r="B367" s="8" t="inlineStr">
        <is>
          <t>ABIERTO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108793</t>
        </is>
      </c>
      <c r="F367" s="8" t="inlineStr">
        <is>
          <t>GRAVAMEN LEY 25413 S/DEB</t>
        </is>
      </c>
      <c r="G367" s="8" t="inlineStr">
        <is>
          <t>Anticipo Ganancias Ley 25.413 débitos</t>
        </is>
      </c>
      <c r="H367" s="8" t="inlineStr">
        <is>
          <t>Anticipo Impuesto a las Ganancias</t>
        </is>
      </c>
      <c r="I367" s="9" t="n">
        <v>7.28</v>
      </c>
      <c r="J367" s="9" t="inlineStr"/>
      <c r="K367" s="8" t="inlineStr">
        <is>
          <t>Copiar en Flexxus: Tipo=MB-EXT | Movimiento=GRAVAMEN LEY 25.413 S/DEB | Monto=7,28 | Fecha: 27/04/2026</t>
        </is>
      </c>
    </row>
    <row r="368">
      <c r="A368" s="8" t="inlineStr">
        <is>
          <t>PEND-28DF37991AF2-A001</t>
        </is>
      </c>
      <c r="B368" s="8" t="inlineStr">
        <is>
          <t>ABIERTO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29841670</t>
        </is>
      </c>
      <c r="F368" s="8" t="inlineStr">
        <is>
          <t>GRAVAMEN LEY 25413 S/DEB</t>
        </is>
      </c>
      <c r="G368" s="8" t="inlineStr">
        <is>
          <t>Anticipo Ganancias Ley 25.413 débitos</t>
        </is>
      </c>
      <c r="H368" s="8" t="inlineStr">
        <is>
          <t>Anticipo Impuesto a las Ganancias</t>
        </is>
      </c>
      <c r="I368" s="9" t="n">
        <v>6.96</v>
      </c>
      <c r="J368" s="9" t="inlineStr"/>
      <c r="K368" s="8" t="inlineStr">
        <is>
          <t>Copiar en Flexxus: Tipo=MB-EXT | Movimiento=GRAVAMEN LEY 25.413 S/DEB | Monto=6,96 | Fecha: 27/04/2026</t>
        </is>
      </c>
    </row>
    <row r="369">
      <c r="A369" s="8" t="inlineStr">
        <is>
          <t>PEND-F38CF30EDFA0-A001</t>
        </is>
      </c>
      <c r="B369" s="8" t="inlineStr">
        <is>
          <t>ABIERTO</t>
        </is>
      </c>
      <c r="C369" s="8" t="inlineStr">
        <is>
          <t>Banco egreso no Flexxus</t>
        </is>
      </c>
      <c r="D369" s="8" t="inlineStr">
        <is>
          <t>28/04/2026</t>
        </is>
      </c>
      <c r="E369" s="8" t="inlineStr">
        <is>
          <t>29841670</t>
        </is>
      </c>
      <c r="F369" s="8" t="inlineStr">
        <is>
          <t>GRAVAMEN LEY 25413 S/DEB</t>
        </is>
      </c>
      <c r="G369" s="8" t="inlineStr">
        <is>
          <t>Anticipo Ganancias Ley 25.413 débitos</t>
        </is>
      </c>
      <c r="H369" s="8" t="inlineStr">
        <is>
          <t>Anticipo Impuesto a las Ganancias</t>
        </is>
      </c>
      <c r="I369" s="9" t="n">
        <v>6.89</v>
      </c>
      <c r="J369" s="9" t="inlineStr"/>
      <c r="K369" s="8" t="inlineStr">
        <is>
          <t>Copiar en Flexxus: Tipo=MB-EXT | Movimiento=GRAVAMEN LEY 25.413 S/DEB | Monto=6,89 | Fecha: 28/04/2026</t>
        </is>
      </c>
    </row>
    <row r="370">
      <c r="A370" s="8" t="inlineStr">
        <is>
          <t>PEND-240B479BDDBF-A001</t>
        </is>
      </c>
      <c r="B370" s="8" t="inlineStr">
        <is>
          <t>ABIERTO</t>
        </is>
      </c>
      <c r="C370" s="8" t="inlineStr">
        <is>
          <t>Banco egreso no Flexxus</t>
        </is>
      </c>
      <c r="D370" s="8" t="inlineStr">
        <is>
          <t>27/04/2026</t>
        </is>
      </c>
      <c r="E370" s="8" t="inlineStr">
        <is>
          <t>108754</t>
        </is>
      </c>
      <c r="F370" s="8" t="inlineStr">
        <is>
          <t>GRAVAMEN LEY 25413 S/DEB</t>
        </is>
      </c>
      <c r="G370" s="8" t="inlineStr">
        <is>
          <t>Anticipo Ganancias Ley 25.413 débitos</t>
        </is>
      </c>
      <c r="H370" s="8" t="inlineStr">
        <is>
          <t>Anticipo Impuesto a las Ganancias</t>
        </is>
      </c>
      <c r="I370" s="9" t="n">
        <v>6.82</v>
      </c>
      <c r="J370" s="9" t="inlineStr"/>
      <c r="K370" s="8" t="inlineStr">
        <is>
          <t>Copiar en Flexxus: Tipo=MB-EXT | Movimiento=GRAVAMEN LEY 25.413 S/DEB | Monto=6,82 | Fecha: 27/04/2026</t>
        </is>
      </c>
    </row>
    <row r="371">
      <c r="A371" s="8" t="inlineStr">
        <is>
          <t>PEND-E68C0EC8FA37-A001</t>
        </is>
      </c>
      <c r="B371" s="8" t="inlineStr">
        <is>
          <t>ABIERTO</t>
        </is>
      </c>
      <c r="C371" s="8" t="inlineStr">
        <is>
          <t>Banco egreso no Flexxus</t>
        </is>
      </c>
      <c r="D371" s="8" t="inlineStr">
        <is>
          <t>28/04/2026</t>
        </is>
      </c>
      <c r="E371" s="8" t="inlineStr">
        <is>
          <t>32032899</t>
        </is>
      </c>
      <c r="F371" s="8" t="inlineStr">
        <is>
          <t>GRAVAMEN LEY 25413 S/DEB</t>
        </is>
      </c>
      <c r="G371" s="8" t="inlineStr">
        <is>
          <t>Anticipo Ganancias Ley 25.413 débitos</t>
        </is>
      </c>
      <c r="H371" s="8" t="inlineStr">
        <is>
          <t>Anticipo Impuesto a las Ganancias</t>
        </is>
      </c>
      <c r="I371" s="9" t="n">
        <v>6.79</v>
      </c>
      <c r="J371" s="9" t="inlineStr"/>
      <c r="K371" s="8" t="inlineStr">
        <is>
          <t>Copiar en Flexxus: Tipo=MB-EXT | Movimiento=GRAVAMEN LEY 25.413 S/DEB | Monto=6,79 | Fecha: 28/04/2026</t>
        </is>
      </c>
    </row>
    <row r="372">
      <c r="A372" s="8" t="inlineStr">
        <is>
          <t>PEND-A9996165D96F-A001</t>
        </is>
      </c>
      <c r="B372" s="8" t="inlineStr">
        <is>
          <t>ABIERTO</t>
        </is>
      </c>
      <c r="C372" s="8" t="inlineStr">
        <is>
          <t>Banco egreso no Flexxus</t>
        </is>
      </c>
      <c r="D372" s="8" t="inlineStr">
        <is>
          <t>27/04/2026</t>
        </is>
      </c>
      <c r="E372" s="8" t="inlineStr">
        <is>
          <t>31995644</t>
        </is>
      </c>
      <c r="F372" s="8" t="inlineStr">
        <is>
          <t>GRAVAMEN LEY 25413 S/DEB</t>
        </is>
      </c>
      <c r="G372" s="8" t="inlineStr">
        <is>
          <t>Anticipo Ganancias Ley 25.413 débitos</t>
        </is>
      </c>
      <c r="H372" s="8" t="inlineStr">
        <is>
          <t>Anticipo Impuesto a las Ganancias</t>
        </is>
      </c>
      <c r="I372" s="9" t="n">
        <v>6.6</v>
      </c>
      <c r="J372" s="9" t="inlineStr"/>
      <c r="K372" s="8" t="inlineStr">
        <is>
          <t>Copiar en Flexxus: Tipo=MB-EXT | Movimiento=GRAVAMEN LEY 25.413 S/DEB | Monto=6,60 | Fecha: 27/04/2026</t>
        </is>
      </c>
    </row>
    <row r="373">
      <c r="A373" s="8" t="inlineStr">
        <is>
          <t>PEND-810BBB5624A5-A001</t>
        </is>
      </c>
      <c r="B373" s="8" t="inlineStr">
        <is>
          <t>ABIERTO</t>
        </is>
      </c>
      <c r="C373" s="8" t="inlineStr">
        <is>
          <t>Banco egreso no Flexxus</t>
        </is>
      </c>
      <c r="D373" s="8" t="inlineStr">
        <is>
          <t>27/04/2026</t>
        </is>
      </c>
      <c r="E373" s="8" t="inlineStr">
        <is>
          <t>108762</t>
        </is>
      </c>
      <c r="F373" s="8" t="inlineStr">
        <is>
          <t>GRAVAMEN LEY 25413 S/DEB</t>
        </is>
      </c>
      <c r="G373" s="8" t="inlineStr">
        <is>
          <t>Anticipo Ganancias Ley 25.413 débitos</t>
        </is>
      </c>
      <c r="H373" s="8" t="inlineStr">
        <is>
          <t>Anticipo Impuesto a las Ganancias</t>
        </is>
      </c>
      <c r="I373" s="9" t="n">
        <v>6.56</v>
      </c>
      <c r="J373" s="9" t="inlineStr"/>
      <c r="K373" s="8" t="inlineStr">
        <is>
          <t>Copiar en Flexxus: Tipo=MB-EXT | Movimiento=GRAVAMEN LEY 25.413 S/DEB | Monto=6,56 | Fecha: 27/04/2026</t>
        </is>
      </c>
    </row>
    <row r="374">
      <c r="A374" s="8" t="inlineStr">
        <is>
          <t>PEND-ED2F904B604C-A001</t>
        </is>
      </c>
      <c r="B374" s="8" t="inlineStr">
        <is>
          <t>ABIERTO</t>
        </is>
      </c>
      <c r="C374" s="8" t="inlineStr">
        <is>
          <t>Banco egreso no Flexxus</t>
        </is>
      </c>
      <c r="D374" s="8" t="inlineStr">
        <is>
          <t>27/04/2026</t>
        </is>
      </c>
      <c r="E374" s="8" t="inlineStr">
        <is>
          <t>108785</t>
        </is>
      </c>
      <c r="F374" s="8" t="inlineStr">
        <is>
          <t>GRAVAMEN LEY 25413 S/DEB</t>
        </is>
      </c>
      <c r="G374" s="8" t="inlineStr">
        <is>
          <t>Anticipo Ganancias Ley 25.413 débitos</t>
        </is>
      </c>
      <c r="H374" s="8" t="inlineStr">
        <is>
          <t>Anticipo Impuesto a las Ganancias</t>
        </is>
      </c>
      <c r="I374" s="9" t="n">
        <v>6.4</v>
      </c>
      <c r="J374" s="9" t="inlineStr"/>
      <c r="K374" s="8" t="inlineStr">
        <is>
          <t>Copiar en Flexxus: Tipo=MB-EXT | Movimiento=GRAVAMEN LEY 25.413 S/DEB | Monto=6,40 | Fecha: 27/04/2026</t>
        </is>
      </c>
    </row>
    <row r="375">
      <c r="A375" s="8" t="inlineStr">
        <is>
          <t>PEND-B6540135FE90-A001</t>
        </is>
      </c>
      <c r="B375" s="8" t="inlineStr">
        <is>
          <t>ABIERTO</t>
        </is>
      </c>
      <c r="C375" s="8" t="inlineStr">
        <is>
          <t>Banco egreso no Flexxus</t>
        </is>
      </c>
      <c r="D375" s="8" t="inlineStr">
        <is>
          <t>28/04/2026</t>
        </is>
      </c>
      <c r="E375" s="8" t="inlineStr">
        <is>
          <t>109244</t>
        </is>
      </c>
      <c r="F375" s="8" t="inlineStr">
        <is>
          <t>GRAVAMEN LEY 25413 S/DEB</t>
        </is>
      </c>
      <c r="G375" s="8" t="inlineStr">
        <is>
          <t>Anticipo Ganancias Ley 25.413 débitos</t>
        </is>
      </c>
      <c r="H375" s="8" t="inlineStr">
        <is>
          <t>Anticipo Impuesto a las Ganancias</t>
        </is>
      </c>
      <c r="I375" s="9" t="n">
        <v>6.08</v>
      </c>
      <c r="J375" s="9" t="inlineStr"/>
      <c r="K375" s="8" t="inlineStr">
        <is>
          <t>Copiar en Flexxus: Tipo=MB-EXT | Movimiento=GRAVAMEN LEY 25.413 S/DEB | Monto=6,08 | Fecha: 28/04/2026</t>
        </is>
      </c>
    </row>
    <row r="376">
      <c r="A376" s="8" t="inlineStr">
        <is>
          <t>PEND-2BAD96E3853D-A001</t>
        </is>
      </c>
      <c r="B376" s="8" t="inlineStr">
        <is>
          <t>ABIERTO</t>
        </is>
      </c>
      <c r="C376" s="8" t="inlineStr">
        <is>
          <t>Banco egreso no Flexxus</t>
        </is>
      </c>
      <c r="D376" s="8" t="inlineStr">
        <is>
          <t>27/04/2026</t>
        </is>
      </c>
      <c r="E376" s="8" t="inlineStr">
        <is>
          <t>31995644</t>
        </is>
      </c>
      <c r="F376" s="8" t="inlineStr">
        <is>
          <t>GRAVAMEN LEY 25413 S/DEB</t>
        </is>
      </c>
      <c r="G376" s="8" t="inlineStr">
        <is>
          <t>Anticipo Ganancias Ley 25.413 débitos</t>
        </is>
      </c>
      <c r="H376" s="8" t="inlineStr">
        <is>
          <t>Anticipo Impuesto a las Ganancias</t>
        </is>
      </c>
      <c r="I376" s="9" t="n">
        <v>5.93</v>
      </c>
      <c r="J376" s="9" t="inlineStr"/>
      <c r="K376" s="8" t="inlineStr">
        <is>
          <t>Copiar en Flexxus: Tipo=MB-EXT | Movimiento=GRAVAMEN LEY 25.413 S/DEB | Monto=5,93 | Fecha: 27/04/2026</t>
        </is>
      </c>
    </row>
    <row r="377">
      <c r="A377" s="8" t="inlineStr">
        <is>
          <t>PEND-0D3F12ED2481-A001</t>
        </is>
      </c>
      <c r="B377" s="8" t="inlineStr">
        <is>
          <t>ABIERTO</t>
        </is>
      </c>
      <c r="C377" s="8" t="inlineStr">
        <is>
          <t>Banco egreso no Flexxus</t>
        </is>
      </c>
      <c r="D377" s="8" t="inlineStr">
        <is>
          <t>27/04/2026</t>
        </is>
      </c>
      <c r="E377" s="8" t="inlineStr">
        <is>
          <t>108879</t>
        </is>
      </c>
      <c r="F377" s="8" t="inlineStr">
        <is>
          <t>GRAVAMEN LEY 25413 S/DEB</t>
        </is>
      </c>
      <c r="G377" s="8" t="inlineStr">
        <is>
          <t>Anticipo Ganancias Ley 25.413 débitos</t>
        </is>
      </c>
      <c r="H377" s="8" t="inlineStr">
        <is>
          <t>Anticipo Impuesto a las Ganancias</t>
        </is>
      </c>
      <c r="I377" s="9" t="n">
        <v>5.74</v>
      </c>
      <c r="J377" s="9" t="inlineStr"/>
      <c r="K377" s="8" t="inlineStr">
        <is>
          <t>Copiar en Flexxus: Tipo=MB-EXT | Movimiento=GRAVAMEN LEY 25.413 S/DEB | Monto=5,74 | Fecha: 27/04/2026</t>
        </is>
      </c>
    </row>
    <row r="378">
      <c r="A378" s="8" t="inlineStr">
        <is>
          <t>PEND-6BD2631C2B95-A001</t>
        </is>
      </c>
      <c r="B378" s="8" t="inlineStr">
        <is>
          <t>ABIERTO</t>
        </is>
      </c>
      <c r="C378" s="8" t="inlineStr">
        <is>
          <t>Banco egreso no Flexxus</t>
        </is>
      </c>
      <c r="D378" s="8" t="inlineStr">
        <is>
          <t>27/04/2026</t>
        </is>
      </c>
      <c r="E378" s="8" t="inlineStr">
        <is>
          <t>108818</t>
        </is>
      </c>
      <c r="F378" s="8" t="inlineStr">
        <is>
          <t>GRAVAMEN LEY 25413 S/DEB</t>
        </is>
      </c>
      <c r="G378" s="8" t="inlineStr">
        <is>
          <t>Anticipo Ganancias Ley 25.413 débitos</t>
        </is>
      </c>
      <c r="H378" s="8" t="inlineStr">
        <is>
          <t>Anticipo Impuesto a las Ganancias</t>
        </is>
      </c>
      <c r="I378" s="9" t="n">
        <v>5.64</v>
      </c>
      <c r="J378" s="9" t="inlineStr"/>
      <c r="K378" s="8" t="inlineStr">
        <is>
          <t>Copiar en Flexxus: Tipo=MB-EXT | Movimiento=GRAVAMEN LEY 25.413 S/DEB | Monto=5,64 | Fecha: 27/04/2026</t>
        </is>
      </c>
    </row>
    <row r="379">
      <c r="A379" s="8" t="inlineStr">
        <is>
          <t>PEND-F0F7B4513828-A001</t>
        </is>
      </c>
      <c r="B379" s="8" t="inlineStr">
        <is>
          <t>ABIERTO</t>
        </is>
      </c>
      <c r="C379" s="8" t="inlineStr">
        <is>
          <t>Banco egreso no Flexxus</t>
        </is>
      </c>
      <c r="D379" s="8" t="inlineStr">
        <is>
          <t>28/04/2026</t>
        </is>
      </c>
      <c r="E379" s="8" t="inlineStr">
        <is>
          <t>29841642</t>
        </is>
      </c>
      <c r="F379" s="8" t="inlineStr">
        <is>
          <t>GRAVAMEN LEY 25413 S/DEB</t>
        </is>
      </c>
      <c r="G379" s="8" t="inlineStr">
        <is>
          <t>Anticipo Ganancias Ley 25.413 débitos</t>
        </is>
      </c>
      <c r="H379" s="8" t="inlineStr">
        <is>
          <t>Anticipo Impuesto a las Ganancias</t>
        </is>
      </c>
      <c r="I379" s="9" t="n">
        <v>5.23</v>
      </c>
      <c r="J379" s="9" t="inlineStr"/>
      <c r="K379" s="8" t="inlineStr">
        <is>
          <t>Copiar en Flexxus: Tipo=MB-EXT | Movimiento=GRAVAMEN LEY 25.413 S/DEB | Monto=5,23 | Fecha: 28/04/2026</t>
        </is>
      </c>
    </row>
    <row r="380">
      <c r="A380" s="8" t="inlineStr">
        <is>
          <t>PEND-7223F5FF3CFE-A001</t>
        </is>
      </c>
      <c r="B380" s="8" t="inlineStr">
        <is>
          <t>ABIERTO</t>
        </is>
      </c>
      <c r="C380" s="8" t="inlineStr">
        <is>
          <t>Banco egreso no Flexxus</t>
        </is>
      </c>
      <c r="D380" s="8" t="inlineStr">
        <is>
          <t>27/04/2026</t>
        </is>
      </c>
      <c r="E380" s="8" t="inlineStr">
        <is>
          <t>29841683</t>
        </is>
      </c>
      <c r="F380" s="8" t="inlineStr">
        <is>
          <t>GRAVAMEN LEY 25413 S/DEB</t>
        </is>
      </c>
      <c r="G380" s="8" t="inlineStr">
        <is>
          <t>Anticipo Ganancias Ley 25.413 débitos</t>
        </is>
      </c>
      <c r="H380" s="8" t="inlineStr">
        <is>
          <t>Anticipo Impuesto a las Ganancias</t>
        </is>
      </c>
      <c r="I380" s="9" t="n">
        <v>5.12</v>
      </c>
      <c r="J380" s="9" t="inlineStr"/>
      <c r="K380" s="8" t="inlineStr">
        <is>
          <t>Copiar en Flexxus: Tipo=MB-EXT | Movimiento=GRAVAMEN LEY 25.413 S/DEB | Monto=5,12 | Fecha: 27/04/2026</t>
        </is>
      </c>
    </row>
    <row r="381">
      <c r="A381" s="8" t="inlineStr">
        <is>
          <t>PEND-27EDC44EDF1F-A001</t>
        </is>
      </c>
      <c r="B381" s="8" t="inlineStr">
        <is>
          <t>ABIERTO</t>
        </is>
      </c>
      <c r="C381" s="8" t="inlineStr">
        <is>
          <t>Banco egreso no Flexxus</t>
        </is>
      </c>
      <c r="D381" s="8" t="inlineStr">
        <is>
          <t>28/04/2026</t>
        </is>
      </c>
      <c r="E381" s="8" t="inlineStr">
        <is>
          <t>31995644</t>
        </is>
      </c>
      <c r="F381" s="8" t="inlineStr">
        <is>
          <t>GRAVAMEN LEY 25413 S/DEB</t>
        </is>
      </c>
      <c r="G381" s="8" t="inlineStr">
        <is>
          <t>Anticipo Ganancias Ley 25.413 débitos</t>
        </is>
      </c>
      <c r="H381" s="8" t="inlineStr">
        <is>
          <t>Anticipo Impuesto a las Ganancias</t>
        </is>
      </c>
      <c r="I381" s="9" t="n">
        <v>5.1</v>
      </c>
      <c r="J381" s="9" t="inlineStr"/>
      <c r="K381" s="8" t="inlineStr">
        <is>
          <t>Copiar en Flexxus: Tipo=MB-EXT | Movimiento=GRAVAMEN LEY 25.413 S/DEB | Monto=5,10 | Fecha: 28/04/2026</t>
        </is>
      </c>
    </row>
    <row r="382">
      <c r="A382" s="8" t="inlineStr">
        <is>
          <t>PEND-5F39908D5623-A001</t>
        </is>
      </c>
      <c r="B382" s="8" t="inlineStr">
        <is>
          <t>ABIERTO</t>
        </is>
      </c>
      <c r="C382" s="8" t="inlineStr">
        <is>
          <t>Banco egreso no Flexxus</t>
        </is>
      </c>
      <c r="D382" s="8" t="inlineStr">
        <is>
          <t>28/04/2026</t>
        </is>
      </c>
      <c r="E382" s="8" t="inlineStr">
        <is>
          <t>31995644</t>
        </is>
      </c>
      <c r="F382" s="8" t="inlineStr">
        <is>
          <t>GRAVAMEN LEY 25413 S/DEB</t>
        </is>
      </c>
      <c r="G382" s="8" t="inlineStr">
        <is>
          <t>Anticipo Ganancias Ley 25.413 débitos</t>
        </is>
      </c>
      <c r="H382" s="8" t="inlineStr">
        <is>
          <t>Anticipo Impuesto a las Ganancias</t>
        </is>
      </c>
      <c r="I382" s="9" t="n">
        <v>5.09</v>
      </c>
      <c r="J382" s="9" t="inlineStr"/>
      <c r="K382" s="8" t="inlineStr">
        <is>
          <t>Copiar en Flexxus: Tipo=MB-EXT | Movimiento=GRAVAMEN LEY 25.413 S/DEB | Monto=5,09 | Fecha: 28/04/2026</t>
        </is>
      </c>
    </row>
    <row r="383">
      <c r="A383" s="8" t="inlineStr">
        <is>
          <t>PEND-569819949030-A001</t>
        </is>
      </c>
      <c r="B383" s="8" t="inlineStr">
        <is>
          <t>ABIERTO</t>
        </is>
      </c>
      <c r="C383" s="8" t="inlineStr">
        <is>
          <t>Banco egreso no Flexxus</t>
        </is>
      </c>
      <c r="D383" s="8" t="inlineStr">
        <is>
          <t>27/04/2026</t>
        </is>
      </c>
      <c r="E383" s="8" t="inlineStr">
        <is>
          <t>108795</t>
        </is>
      </c>
      <c r="F383" s="8" t="inlineStr">
        <is>
          <t>GRAVAMEN LEY 25413 S/DEB</t>
        </is>
      </c>
      <c r="G383" s="8" t="inlineStr">
        <is>
          <t>Anticipo Ganancias Ley 25.413 débitos</t>
        </is>
      </c>
      <c r="H383" s="8" t="inlineStr">
        <is>
          <t>Anticipo Impuesto a las Ganancias</t>
        </is>
      </c>
      <c r="I383" s="9" t="n">
        <v>5.06</v>
      </c>
      <c r="J383" s="9" t="inlineStr"/>
      <c r="K383" s="8" t="inlineStr">
        <is>
          <t>Copiar en Flexxus: Tipo=MB-EXT | Movimiento=GRAVAMEN LEY 25.413 S/DEB | Monto=5,06 | Fecha: 27/04/2026</t>
        </is>
      </c>
    </row>
    <row r="384">
      <c r="A384" s="8" t="inlineStr">
        <is>
          <t>PEND-0865D83298EE-A001</t>
        </is>
      </c>
      <c r="B384" s="8" t="inlineStr">
        <is>
          <t>ABIERTO</t>
        </is>
      </c>
      <c r="C384" s="8" t="inlineStr">
        <is>
          <t>Banco egreso no Flexxus</t>
        </is>
      </c>
      <c r="D384" s="8" t="inlineStr">
        <is>
          <t>27/04/2026</t>
        </is>
      </c>
      <c r="E384" s="8" t="inlineStr">
        <is>
          <t>108821</t>
        </is>
      </c>
      <c r="F384" s="8" t="inlineStr">
        <is>
          <t>GRAVAMEN LEY 25413 S/DEB</t>
        </is>
      </c>
      <c r="G384" s="8" t="inlineStr">
        <is>
          <t>Anticipo Ganancias Ley 25.413 débitos</t>
        </is>
      </c>
      <c r="H384" s="8" t="inlineStr">
        <is>
          <t>Anticipo Impuesto a las Ganancias</t>
        </is>
      </c>
      <c r="I384" s="9" t="n">
        <v>4.78</v>
      </c>
      <c r="J384" s="9" t="inlineStr"/>
      <c r="K384" s="8" t="inlineStr">
        <is>
          <t>Copiar en Flexxus: Tipo=MB-EXT | Movimiento=GRAVAMEN LEY 25.413 S/DEB | Monto=4,78 | Fecha: 27/04/2026</t>
        </is>
      </c>
    </row>
    <row r="385">
      <c r="A385" s="8" t="inlineStr">
        <is>
          <t>PEND-076CF8525A51-A001</t>
        </is>
      </c>
      <c r="B385" s="8" t="inlineStr">
        <is>
          <t>ABIERTO</t>
        </is>
      </c>
      <c r="C385" s="8" t="inlineStr">
        <is>
          <t>Banco egreso no Flexxus</t>
        </is>
      </c>
      <c r="D385" s="8" t="inlineStr">
        <is>
          <t>27/04/2026</t>
        </is>
      </c>
      <c r="E385" s="8" t="inlineStr">
        <is>
          <t>108796</t>
        </is>
      </c>
      <c r="F385" s="8" t="inlineStr">
        <is>
          <t>GRAVAMEN LEY 25413 S/DEB</t>
        </is>
      </c>
      <c r="G385" s="8" t="inlineStr">
        <is>
          <t>Anticipo Ganancias Ley 25.413 débitos</t>
        </is>
      </c>
      <c r="H385" s="8" t="inlineStr">
        <is>
          <t>Anticipo Impuesto a las Ganancias</t>
        </is>
      </c>
      <c r="I385" s="9" t="n">
        <v>4.68</v>
      </c>
      <c r="J385" s="9" t="inlineStr"/>
      <c r="K385" s="8" t="inlineStr">
        <is>
          <t>Copiar en Flexxus: Tipo=MB-EXT | Movimiento=GRAVAMEN LEY 25.413 S/DEB | Monto=4,68 | Fecha: 27/04/2026</t>
        </is>
      </c>
    </row>
    <row r="386">
      <c r="A386" s="8" t="inlineStr">
        <is>
          <t>PEND-35C4F8C9E098-A001</t>
        </is>
      </c>
      <c r="B386" s="8" t="inlineStr">
        <is>
          <t>ABIERTO</t>
        </is>
      </c>
      <c r="C386" s="8" t="inlineStr">
        <is>
          <t>Banco egreso no Flexxus</t>
        </is>
      </c>
      <c r="D386" s="8" t="inlineStr">
        <is>
          <t>28/04/2026</t>
        </is>
      </c>
      <c r="E386" s="8" t="inlineStr">
        <is>
          <t>29841627</t>
        </is>
      </c>
      <c r="F386" s="8" t="inlineStr">
        <is>
          <t>GRAVAMEN LEY 25413 S/DEB</t>
        </is>
      </c>
      <c r="G386" s="8" t="inlineStr">
        <is>
          <t>Anticipo Ganancias Ley 25.413 débitos</t>
        </is>
      </c>
      <c r="H386" s="8" t="inlineStr">
        <is>
          <t>Anticipo Impuesto a las Ganancias</t>
        </is>
      </c>
      <c r="I386" s="9" t="n">
        <v>4.57</v>
      </c>
      <c r="J386" s="9" t="inlineStr"/>
      <c r="K386" s="8" t="inlineStr">
        <is>
          <t>Copiar en Flexxus: Tipo=MB-EXT | Movimiento=GRAVAMEN LEY 25.413 S/DEB | Monto=4,57 | Fecha: 28/04/2026</t>
        </is>
      </c>
    </row>
    <row r="387">
      <c r="A387" s="8" t="inlineStr">
        <is>
          <t>PEND-D1FC35B8AAA2-A001</t>
        </is>
      </c>
      <c r="B387" s="8" t="inlineStr">
        <is>
          <t>ABIERTO</t>
        </is>
      </c>
      <c r="C387" s="8" t="inlineStr">
        <is>
          <t>Banco egreso no Flexxus</t>
        </is>
      </c>
      <c r="D387" s="8" t="inlineStr">
        <is>
          <t>27/04/2026</t>
        </is>
      </c>
      <c r="E387" s="8" t="inlineStr">
        <is>
          <t>108810</t>
        </is>
      </c>
      <c r="F387" s="8" t="inlineStr">
        <is>
          <t>GRAVAMEN LEY 25413 S/DEB</t>
        </is>
      </c>
      <c r="G387" s="8" t="inlineStr">
        <is>
          <t>Anticipo Ganancias Ley 25.413 débitos</t>
        </is>
      </c>
      <c r="H387" s="8" t="inlineStr">
        <is>
          <t>Anticipo Impuesto a las Ganancias</t>
        </is>
      </c>
      <c r="I387" s="9" t="n">
        <v>4.55</v>
      </c>
      <c r="J387" s="9" t="inlineStr"/>
      <c r="K387" s="8" t="inlineStr">
        <is>
          <t>Copiar en Flexxus: Tipo=MB-EXT | Movimiento=GRAVAMEN LEY 25.413 S/DEB | Monto=4,55 | Fecha: 27/04/2026</t>
        </is>
      </c>
    </row>
    <row r="388">
      <c r="A388" s="8" t="inlineStr">
        <is>
          <t>PEND-02F3E863493B-A001</t>
        </is>
      </c>
      <c r="B388" s="8" t="inlineStr">
        <is>
          <t>ABIERTO</t>
        </is>
      </c>
      <c r="C388" s="8" t="inlineStr">
        <is>
          <t>Banco egreso no Flexxus</t>
        </is>
      </c>
      <c r="D388" s="8" t="inlineStr">
        <is>
          <t>27/04/2026</t>
        </is>
      </c>
      <c r="E388" s="8" t="inlineStr">
        <is>
          <t>108774</t>
        </is>
      </c>
      <c r="F388" s="8" t="inlineStr">
        <is>
          <t>GRAVAMEN LEY 25413 S/DEB</t>
        </is>
      </c>
      <c r="G388" s="8" t="inlineStr">
        <is>
          <t>Anticipo Ganancias Ley 25.413 débitos</t>
        </is>
      </c>
      <c r="H388" s="8" t="inlineStr">
        <is>
          <t>Anticipo Impuesto a las Ganancias</t>
        </is>
      </c>
      <c r="I388" s="9" t="n">
        <v>4.53</v>
      </c>
      <c r="J388" s="9" t="inlineStr"/>
      <c r="K388" s="8" t="inlineStr">
        <is>
          <t>Copiar en Flexxus: Tipo=MB-EXT | Movimiento=GRAVAMEN LEY 25.413 S/DEB | Monto=4,53 | Fecha: 27/04/2026</t>
        </is>
      </c>
    </row>
    <row r="389">
      <c r="A389" s="8" t="inlineStr">
        <is>
          <t>PEND-542DA387217A-A001</t>
        </is>
      </c>
      <c r="B389" s="8" t="inlineStr">
        <is>
          <t>ABIERTO</t>
        </is>
      </c>
      <c r="C389" s="8" t="inlineStr">
        <is>
          <t>Banco egreso no Flexxus</t>
        </is>
      </c>
      <c r="D389" s="8" t="inlineStr">
        <is>
          <t>27/04/2026</t>
        </is>
      </c>
      <c r="E389" s="8" t="inlineStr">
        <is>
          <t>108784</t>
        </is>
      </c>
      <c r="F389" s="8" t="inlineStr">
        <is>
          <t>GRAVAMEN LEY 25413 S/DEB</t>
        </is>
      </c>
      <c r="G389" s="8" t="inlineStr">
        <is>
          <t>Anticipo Ganancias Ley 25.413 débitos</t>
        </is>
      </c>
      <c r="H389" s="8" t="inlineStr">
        <is>
          <t>Anticipo Impuesto a las Ganancias</t>
        </is>
      </c>
      <c r="I389" s="9" t="n">
        <v>4.37</v>
      </c>
      <c r="J389" s="9" t="inlineStr"/>
      <c r="K389" s="8" t="inlineStr">
        <is>
          <t>Copiar en Flexxus: Tipo=MB-EXT | Movimiento=GRAVAMEN LEY 25.413 S/DEB | Monto=4,37 | Fecha: 27/04/2026</t>
        </is>
      </c>
    </row>
    <row r="390">
      <c r="A390" s="8" t="inlineStr">
        <is>
          <t>PEND-3350F75103AD-A001</t>
        </is>
      </c>
      <c r="B390" s="8" t="inlineStr">
        <is>
          <t>ABIERTO</t>
        </is>
      </c>
      <c r="C390" s="8" t="inlineStr">
        <is>
          <t>Banco egreso no Flexxus</t>
        </is>
      </c>
      <c r="D390" s="8" t="inlineStr">
        <is>
          <t>28/04/2026</t>
        </is>
      </c>
      <c r="E390" s="8" t="inlineStr">
        <is>
          <t>32032899</t>
        </is>
      </c>
      <c r="F390" s="8" t="inlineStr">
        <is>
          <t>GRAVAMEN LEY 25413 S/DEB</t>
        </is>
      </c>
      <c r="G390" s="8" t="inlineStr">
        <is>
          <t>Anticipo Ganancias Ley 25.413 débitos</t>
        </is>
      </c>
      <c r="H390" s="8" t="inlineStr">
        <is>
          <t>Anticipo Impuesto a las Ganancias</t>
        </is>
      </c>
      <c r="I390" s="9" t="n">
        <v>4.37</v>
      </c>
      <c r="J390" s="9" t="inlineStr"/>
      <c r="K390" s="8" t="inlineStr">
        <is>
          <t>Copiar en Flexxus: Tipo=MB-EXT | Movimiento=GRAVAMEN LEY 25.413 S/DEB | Monto=4,37 | Fecha: 28/04/2026</t>
        </is>
      </c>
    </row>
    <row r="391">
      <c r="A391" s="8" t="inlineStr">
        <is>
          <t>PEND-C0639E56B331-A001</t>
        </is>
      </c>
      <c r="B391" s="8" t="inlineStr">
        <is>
          <t>ABIERTO</t>
        </is>
      </c>
      <c r="C391" s="8" t="inlineStr">
        <is>
          <t>Banco egreso no Flexxus</t>
        </is>
      </c>
      <c r="D391" s="8" t="inlineStr">
        <is>
          <t>28/04/2026</t>
        </is>
      </c>
      <c r="E391" s="8" t="inlineStr">
        <is>
          <t>109283</t>
        </is>
      </c>
      <c r="F391" s="8" t="inlineStr">
        <is>
          <t>GRAVAMEN LEY 25413 S/DEB</t>
        </is>
      </c>
      <c r="G391" s="8" t="inlineStr">
        <is>
          <t>Anticipo Ganancias Ley 25.413 débitos</t>
        </is>
      </c>
      <c r="H391" s="8" t="inlineStr">
        <is>
          <t>Anticipo Impuesto a las Ganancias</t>
        </is>
      </c>
      <c r="I391" s="9" t="n">
        <v>4.35</v>
      </c>
      <c r="J391" s="9" t="inlineStr"/>
      <c r="K391" s="8" t="inlineStr">
        <is>
          <t>Copiar en Flexxus: Tipo=MB-EXT | Movimiento=GRAVAMEN LEY 25.413 S/DEB | Monto=4,35 | Fecha: 28/04/2026</t>
        </is>
      </c>
    </row>
    <row r="392">
      <c r="A392" s="8" t="inlineStr">
        <is>
          <t>PEND-270AA6E3AFE7-A001</t>
        </is>
      </c>
      <c r="B392" s="8" t="inlineStr">
        <is>
          <t>ABIERTO</t>
        </is>
      </c>
      <c r="C392" s="8" t="inlineStr">
        <is>
          <t>Banco egreso no Flexxus</t>
        </is>
      </c>
      <c r="D392" s="8" t="inlineStr">
        <is>
          <t>27/04/2026</t>
        </is>
      </c>
      <c r="E392" s="8" t="inlineStr">
        <is>
          <t>108827</t>
        </is>
      </c>
      <c r="F392" s="8" t="inlineStr">
        <is>
          <t>GRAVAMEN LEY 25413 S/DEB</t>
        </is>
      </c>
      <c r="G392" s="8" t="inlineStr">
        <is>
          <t>Anticipo Ganancias Ley 25.413 débitos</t>
        </is>
      </c>
      <c r="H392" s="8" t="inlineStr">
        <is>
          <t>Anticipo Impuesto a las Ganancias</t>
        </is>
      </c>
      <c r="I392" s="9" t="n">
        <v>4.2</v>
      </c>
      <c r="J392" s="9" t="inlineStr"/>
      <c r="K392" s="8" t="inlineStr">
        <is>
          <t>Copiar en Flexxus: Tipo=MB-EXT | Movimiento=GRAVAMEN LEY 25.413 S/DEB | Monto=4,20 | Fecha: 27/04/2026</t>
        </is>
      </c>
    </row>
    <row r="393">
      <c r="A393" s="8" t="inlineStr">
        <is>
          <t>PEND-1EED461B6236-A001</t>
        </is>
      </c>
      <c r="B393" s="8" t="inlineStr">
        <is>
          <t>ABIERTO</t>
        </is>
      </c>
      <c r="C393" s="8" t="inlineStr">
        <is>
          <t>Banco egreso no Flexxus</t>
        </is>
      </c>
      <c r="D393" s="8" t="inlineStr">
        <is>
          <t>27/04/2026</t>
        </is>
      </c>
      <c r="E393" s="8" t="inlineStr">
        <is>
          <t>108838</t>
        </is>
      </c>
      <c r="F393" s="8" t="inlineStr">
        <is>
          <t>GRAVAMEN LEY 25413 S/DEB</t>
        </is>
      </c>
      <c r="G393" s="8" t="inlineStr">
        <is>
          <t>Anticipo Ganancias Ley 25.413 débitos</t>
        </is>
      </c>
      <c r="H393" s="8" t="inlineStr">
        <is>
          <t>Anticipo Impuesto a las Ganancias</t>
        </is>
      </c>
      <c r="I393" s="9" t="n">
        <v>4.17</v>
      </c>
      <c r="J393" s="9" t="inlineStr"/>
      <c r="K393" s="8" t="inlineStr">
        <is>
          <t>Copiar en Flexxus: Tipo=MB-EXT | Movimiento=GRAVAMEN LEY 25.413 S/DEB | Monto=4,17 | Fecha: 27/04/2026</t>
        </is>
      </c>
    </row>
    <row r="394">
      <c r="A394" s="8" t="inlineStr">
        <is>
          <t>PEND-92B1E2F3C954-A001</t>
        </is>
      </c>
      <c r="B394" s="8" t="inlineStr">
        <is>
          <t>ABIERTO</t>
        </is>
      </c>
      <c r="C394" s="8" t="inlineStr">
        <is>
          <t>Banco egreso no Flexxus</t>
        </is>
      </c>
      <c r="D394" s="8" t="inlineStr">
        <is>
          <t>27/04/2026</t>
        </is>
      </c>
      <c r="E394" s="8" t="inlineStr">
        <is>
          <t>29841670</t>
        </is>
      </c>
      <c r="F394" s="8" t="inlineStr">
        <is>
          <t>GRAVAMEN LEY 25413 S/DEB</t>
        </is>
      </c>
      <c r="G394" s="8" t="inlineStr">
        <is>
          <t>Anticipo Ganancias Ley 25.413 débitos</t>
        </is>
      </c>
      <c r="H394" s="8" t="inlineStr">
        <is>
          <t>Anticipo Impuesto a las Ganancias</t>
        </is>
      </c>
      <c r="I394" s="9" t="n">
        <v>4.13</v>
      </c>
      <c r="J394" s="9" t="inlineStr"/>
      <c r="K394" s="8" t="inlineStr">
        <is>
          <t>Copiar en Flexxus: Tipo=MB-EXT | Movimiento=GRAVAMEN LEY 25.413 S/DEB | Monto=4,13 | Fecha: 27/04/2026</t>
        </is>
      </c>
    </row>
    <row r="395">
      <c r="A395" s="8" t="inlineStr">
        <is>
          <t>PEND-D17ABBB14D31-A001</t>
        </is>
      </c>
      <c r="B395" s="8" t="inlineStr">
        <is>
          <t>ABIERTO</t>
        </is>
      </c>
      <c r="C395" s="8" t="inlineStr">
        <is>
          <t>Banco egreso no Flexxus</t>
        </is>
      </c>
      <c r="D395" s="8" t="inlineStr">
        <is>
          <t>27/04/2026</t>
        </is>
      </c>
      <c r="E395" s="8" t="inlineStr">
        <is>
          <t>108840</t>
        </is>
      </c>
      <c r="F395" s="8" t="inlineStr">
        <is>
          <t>GRAVAMEN LEY 25413 S/DEB</t>
        </is>
      </c>
      <c r="G395" s="8" t="inlineStr">
        <is>
          <t>Anticipo Ganancias Ley 25.413 débitos</t>
        </is>
      </c>
      <c r="H395" s="8" t="inlineStr">
        <is>
          <t>Anticipo Impuesto a las Ganancias</t>
        </is>
      </c>
      <c r="I395" s="9" t="n">
        <v>4.02</v>
      </c>
      <c r="J395" s="9" t="inlineStr"/>
      <c r="K395" s="8" t="inlineStr">
        <is>
          <t>Copiar en Flexxus: Tipo=MB-EXT | Movimiento=GRAVAMEN LEY 25.413 S/DEB | Monto=4,02 | Fecha: 27/04/2026</t>
        </is>
      </c>
    </row>
    <row r="396">
      <c r="A396" s="8" t="inlineStr">
        <is>
          <t>PEND-6D9BFD4E9506-A001</t>
        </is>
      </c>
      <c r="B396" s="8" t="inlineStr">
        <is>
          <t>ABIERTO</t>
        </is>
      </c>
      <c r="C396" s="8" t="inlineStr">
        <is>
          <t>Banco egreso no Flexxus</t>
        </is>
      </c>
      <c r="D396" s="8" t="inlineStr">
        <is>
          <t>27/04/2026</t>
        </is>
      </c>
      <c r="E396" s="8" t="inlineStr">
        <is>
          <t>108780</t>
        </is>
      </c>
      <c r="F396" s="8" t="inlineStr">
        <is>
          <t>GRAVAMEN LEY 25413 S/DEB</t>
        </is>
      </c>
      <c r="G396" s="8" t="inlineStr">
        <is>
          <t>Anticipo Ganancias Ley 25.413 débitos</t>
        </is>
      </c>
      <c r="H396" s="8" t="inlineStr">
        <is>
          <t>Anticipo Impuesto a las Ganancias</t>
        </is>
      </c>
      <c r="I396" s="9" t="n">
        <v>3.96</v>
      </c>
      <c r="J396" s="9" t="inlineStr"/>
      <c r="K396" s="8" t="inlineStr">
        <is>
          <t>Copiar en Flexxus: Tipo=MB-EXT | Movimiento=GRAVAMEN LEY 25.413 S/DEB | Monto=3,96 | Fecha: 27/04/2026</t>
        </is>
      </c>
    </row>
    <row r="397">
      <c r="A397" s="8" t="inlineStr">
        <is>
          <t>PEND-0397FEA5C609-A001</t>
        </is>
      </c>
      <c r="B397" s="8" t="inlineStr">
        <is>
          <t>ABIERTO</t>
        </is>
      </c>
      <c r="C397" s="8" t="inlineStr">
        <is>
          <t>Banco egreso no Flexxus</t>
        </is>
      </c>
      <c r="D397" s="8" t="inlineStr">
        <is>
          <t>27/04/2026</t>
        </is>
      </c>
      <c r="E397" s="8" t="inlineStr">
        <is>
          <t>108837</t>
        </is>
      </c>
      <c r="F397" s="8" t="inlineStr">
        <is>
          <t>GRAVAMEN LEY 25413 S/DEB</t>
        </is>
      </c>
      <c r="G397" s="8" t="inlineStr">
        <is>
          <t>Anticipo Ganancias Ley 25.413 débitos</t>
        </is>
      </c>
      <c r="H397" s="8" t="inlineStr">
        <is>
          <t>Anticipo Impuesto a las Ganancias</t>
        </is>
      </c>
      <c r="I397" s="9" t="n">
        <v>3.87</v>
      </c>
      <c r="J397" s="9" t="inlineStr"/>
      <c r="K397" s="8" t="inlineStr">
        <is>
          <t>Copiar en Flexxus: Tipo=MB-EXT | Movimiento=GRAVAMEN LEY 25.413 S/DEB | Monto=3,87 | Fecha: 27/04/2026</t>
        </is>
      </c>
    </row>
    <row r="398">
      <c r="A398" s="8" t="inlineStr">
        <is>
          <t>PEND-E71860355EC8-A001</t>
        </is>
      </c>
      <c r="B398" s="8" t="inlineStr">
        <is>
          <t>ABIERTO</t>
        </is>
      </c>
      <c r="C398" s="8" t="inlineStr">
        <is>
          <t>Banco egreso no Flexxus</t>
        </is>
      </c>
      <c r="D398" s="8" t="inlineStr">
        <is>
          <t>27/04/2026</t>
        </is>
      </c>
      <c r="E398" s="8" t="inlineStr">
        <is>
          <t>108782</t>
        </is>
      </c>
      <c r="F398" s="8" t="inlineStr">
        <is>
          <t>GRAVAMEN LEY 25413 S/DEB</t>
        </is>
      </c>
      <c r="G398" s="8" t="inlineStr">
        <is>
          <t>Anticipo Ganancias Ley 25.413 débitos</t>
        </is>
      </c>
      <c r="H398" s="8" t="inlineStr">
        <is>
          <t>Anticipo Impuesto a las Ganancias</t>
        </is>
      </c>
      <c r="I398" s="9" t="n">
        <v>3.78</v>
      </c>
      <c r="J398" s="9" t="inlineStr"/>
      <c r="K398" s="8" t="inlineStr">
        <is>
          <t>Copiar en Flexxus: Tipo=MB-EXT | Movimiento=GRAVAMEN LEY 25.413 S/DEB | Monto=3,78 | Fecha: 27/04/2026</t>
        </is>
      </c>
    </row>
    <row r="399">
      <c r="A399" s="8" t="inlineStr">
        <is>
          <t>PEND-084E2787E3DD-A001</t>
        </is>
      </c>
      <c r="B399" s="8" t="inlineStr">
        <is>
          <t>ABIERTO</t>
        </is>
      </c>
      <c r="C399" s="8" t="inlineStr">
        <is>
          <t>Banco egreso no Flexxus</t>
        </is>
      </c>
      <c r="D399" s="8" t="inlineStr">
        <is>
          <t>27/04/2026</t>
        </is>
      </c>
      <c r="E399" s="8" t="inlineStr">
        <is>
          <t>108775</t>
        </is>
      </c>
      <c r="F399" s="8" t="inlineStr">
        <is>
          <t>GRAVAMEN LEY 25413 S/DEB</t>
        </is>
      </c>
      <c r="G399" s="8" t="inlineStr">
        <is>
          <t>Anticipo Ganancias Ley 25.413 débitos</t>
        </is>
      </c>
      <c r="H399" s="8" t="inlineStr">
        <is>
          <t>Anticipo Impuesto a las Ganancias</t>
        </is>
      </c>
      <c r="I399" s="9" t="n">
        <v>3.76</v>
      </c>
      <c r="J399" s="9" t="inlineStr"/>
      <c r="K399" s="8" t="inlineStr">
        <is>
          <t>Copiar en Flexxus: Tipo=MB-EXT | Movimiento=GRAVAMEN LEY 25.413 S/DEB | Monto=3,76 | Fecha: 27/04/2026</t>
        </is>
      </c>
    </row>
    <row r="400">
      <c r="A400" s="8" t="inlineStr">
        <is>
          <t>PEND-AFC50901D177-A001</t>
        </is>
      </c>
      <c r="B400" s="8" t="inlineStr">
        <is>
          <t>ABIERTO</t>
        </is>
      </c>
      <c r="C400" s="8" t="inlineStr">
        <is>
          <t>Banco egreso no Flexxus</t>
        </is>
      </c>
      <c r="D400" s="8" t="inlineStr">
        <is>
          <t>28/04/2026</t>
        </is>
      </c>
      <c r="E400" s="8" t="inlineStr">
        <is>
          <t>29841705</t>
        </is>
      </c>
      <c r="F400" s="8" t="inlineStr">
        <is>
          <t>GRAVAMEN LEY 25413 S/DEB</t>
        </is>
      </c>
      <c r="G400" s="8" t="inlineStr">
        <is>
          <t>Anticipo Ganancias Ley 25.413 débitos</t>
        </is>
      </c>
      <c r="H400" s="8" t="inlineStr">
        <is>
          <t>Anticipo Impuesto a las Ganancias</t>
        </is>
      </c>
      <c r="I400" s="9" t="n">
        <v>3.76</v>
      </c>
      <c r="J400" s="9" t="inlineStr"/>
      <c r="K400" s="8" t="inlineStr">
        <is>
          <t>Copiar en Flexxus: Tipo=MB-EXT | Movimiento=GRAVAMEN LEY 25.413 S/DEB | Monto=3,76 | Fecha: 28/04/2026</t>
        </is>
      </c>
    </row>
    <row r="401">
      <c r="A401" s="8" t="inlineStr">
        <is>
          <t>PEND-2B953E334FFB-A001</t>
        </is>
      </c>
      <c r="B401" s="8" t="inlineStr">
        <is>
          <t>ABIERTO</t>
        </is>
      </c>
      <c r="C401" s="8" t="inlineStr">
        <is>
          <t>Banco egreso no Flexxus</t>
        </is>
      </c>
      <c r="D401" s="8" t="inlineStr">
        <is>
          <t>27/04/2026</t>
        </is>
      </c>
      <c r="E401" s="8" t="inlineStr">
        <is>
          <t>108807</t>
        </is>
      </c>
      <c r="F401" s="8" t="inlineStr">
        <is>
          <t>GRAVAMEN LEY 25413 S/DEB</t>
        </is>
      </c>
      <c r="G401" s="8" t="inlineStr">
        <is>
          <t>Anticipo Ganancias Ley 25.413 débitos</t>
        </is>
      </c>
      <c r="H401" s="8" t="inlineStr">
        <is>
          <t>Anticipo Impuesto a las Ganancias</t>
        </is>
      </c>
      <c r="I401" s="9" t="n">
        <v>3.65</v>
      </c>
      <c r="J401" s="9" t="inlineStr"/>
      <c r="K401" s="8" t="inlineStr">
        <is>
          <t>Copiar en Flexxus: Tipo=MB-EXT | Movimiento=GRAVAMEN LEY 25.413 S/DEB | Monto=3,65 | Fecha: 27/04/2026</t>
        </is>
      </c>
    </row>
    <row r="402">
      <c r="A402" s="8" t="inlineStr">
        <is>
          <t>PEND-D18F9388236E-A001</t>
        </is>
      </c>
      <c r="B402" s="8" t="inlineStr">
        <is>
          <t>ABIERTO</t>
        </is>
      </c>
      <c r="C402" s="8" t="inlineStr">
        <is>
          <t>Banco egreso no Flexxus</t>
        </is>
      </c>
      <c r="D402" s="8" t="inlineStr">
        <is>
          <t>27/04/2026</t>
        </is>
      </c>
      <c r="E402" s="8" t="inlineStr">
        <is>
          <t>108842</t>
        </is>
      </c>
      <c r="F402" s="8" t="inlineStr">
        <is>
          <t>GRAVAMEN LEY 25413 S/DEB</t>
        </is>
      </c>
      <c r="G402" s="8" t="inlineStr">
        <is>
          <t>Anticipo Ganancias Ley 25.413 débitos</t>
        </is>
      </c>
      <c r="H402" s="8" t="inlineStr">
        <is>
          <t>Anticipo Impuesto a las Ganancias</t>
        </is>
      </c>
      <c r="I402" s="9" t="n">
        <v>3.6</v>
      </c>
      <c r="J402" s="9" t="inlineStr"/>
      <c r="K402" s="8" t="inlineStr">
        <is>
          <t>Copiar en Flexxus: Tipo=MB-EXT | Movimiento=GRAVAMEN LEY 25.413 S/DEB | Monto=3,60 | Fecha: 27/04/2026</t>
        </is>
      </c>
    </row>
    <row r="403">
      <c r="A403" s="8" t="inlineStr">
        <is>
          <t>PEND-063EFD1D824D-A001</t>
        </is>
      </c>
      <c r="B403" s="8" t="inlineStr">
        <is>
          <t>ABIERTO</t>
        </is>
      </c>
      <c r="C403" s="8" t="inlineStr">
        <is>
          <t>Banco egreso no Flexxus</t>
        </is>
      </c>
      <c r="D403" s="8" t="inlineStr">
        <is>
          <t>27/04/2026</t>
        </is>
      </c>
      <c r="E403" s="8" t="inlineStr">
        <is>
          <t>CTRL-CONTINUIDAD</t>
        </is>
      </c>
      <c r="F403" s="8" t="inlineStr">
        <is>
          <t>Diferencia técnica menor de continuidad/extracto bancario</t>
        </is>
      </c>
      <c r="G403" s="8" t="inlineStr">
        <is>
          <t>Otro</t>
        </is>
      </c>
      <c r="H403" s="8" t="inlineStr">
        <is>
          <t>Revisar según concepto</t>
        </is>
      </c>
      <c r="I403" s="9" t="n">
        <v>3.6</v>
      </c>
      <c r="J403" s="9" t="inlineStr"/>
      <c r="K403" s="8" t="inlineStr">
        <is>
          <t>Registrar asiento / revisar según concepto</t>
        </is>
      </c>
    </row>
    <row r="404">
      <c r="A404" s="8" t="inlineStr">
        <is>
          <t>PEND-D01EFD31C5B6-A001</t>
        </is>
      </c>
      <c r="B404" s="8" t="inlineStr">
        <is>
          <t>ABIERTO</t>
        </is>
      </c>
      <c r="C404" s="8" t="inlineStr">
        <is>
          <t>Banco egreso no Flexxus</t>
        </is>
      </c>
      <c r="D404" s="8" t="inlineStr">
        <is>
          <t>28/04/2026</t>
        </is>
      </c>
      <c r="E404" s="8" t="inlineStr">
        <is>
          <t>32032899</t>
        </is>
      </c>
      <c r="F404" s="8" t="inlineStr">
        <is>
          <t>GRAVAMEN LEY 25413 S/DEB</t>
        </is>
      </c>
      <c r="G404" s="8" t="inlineStr">
        <is>
          <t>Anticipo Ganancias Ley 25.413 débitos</t>
        </is>
      </c>
      <c r="H404" s="8" t="inlineStr">
        <is>
          <t>Anticipo Impuesto a las Ganancias</t>
        </is>
      </c>
      <c r="I404" s="9" t="n">
        <v>3.56</v>
      </c>
      <c r="J404" s="9" t="inlineStr"/>
      <c r="K404" s="8" t="inlineStr">
        <is>
          <t>Copiar en Flexxus: Tipo=MB-EXT | Movimiento=GRAVAMEN LEY 25.413 S/DEB | Monto=3,56 | Fecha: 28/04/2026</t>
        </is>
      </c>
    </row>
    <row r="405">
      <c r="A405" s="8" t="inlineStr">
        <is>
          <t>PEND-87A8C4BFECC0-A001</t>
        </is>
      </c>
      <c r="B405" s="8" t="inlineStr">
        <is>
          <t>ABIERTO</t>
        </is>
      </c>
      <c r="C405" s="8" t="inlineStr">
        <is>
          <t>Banco egreso no Flexxus</t>
        </is>
      </c>
      <c r="D405" s="8" t="inlineStr">
        <is>
          <t>27/04/2026</t>
        </is>
      </c>
      <c r="E405" s="8" t="inlineStr">
        <is>
          <t>108781</t>
        </is>
      </c>
      <c r="F405" s="8" t="inlineStr">
        <is>
          <t>GRAVAMEN LEY 25413 S/DEB</t>
        </is>
      </c>
      <c r="G405" s="8" t="inlineStr">
        <is>
          <t>Anticipo Ganancias Ley 25.413 débitos</t>
        </is>
      </c>
      <c r="H405" s="8" t="inlineStr">
        <is>
          <t>Anticipo Impuesto a las Ganancias</t>
        </is>
      </c>
      <c r="I405" s="9" t="n">
        <v>3.47</v>
      </c>
      <c r="J405" s="9" t="inlineStr"/>
      <c r="K405" s="8" t="inlineStr">
        <is>
          <t>Copiar en Flexxus: Tipo=MB-EXT | Movimiento=GRAVAMEN LEY 25.413 S/DEB | Monto=3,47 | Fecha: 27/04/2026</t>
        </is>
      </c>
    </row>
    <row r="406">
      <c r="A406" s="8" t="inlineStr">
        <is>
          <t>PEND-E21C0350576A-A001</t>
        </is>
      </c>
      <c r="B406" s="8" t="inlineStr">
        <is>
          <t>ABIERTO</t>
        </is>
      </c>
      <c r="C406" s="8" t="inlineStr">
        <is>
          <t>Banco egreso no Flexxus</t>
        </is>
      </c>
      <c r="D406" s="8" t="inlineStr">
        <is>
          <t>27/04/2026</t>
        </is>
      </c>
      <c r="E406" s="8" t="inlineStr">
        <is>
          <t>108841</t>
        </is>
      </c>
      <c r="F406" s="8" t="inlineStr">
        <is>
          <t>GRAVAMEN LEY 25413 S/DEB</t>
        </is>
      </c>
      <c r="G406" s="8" t="inlineStr">
        <is>
          <t>Anticipo Ganancias Ley 25.413 débitos</t>
        </is>
      </c>
      <c r="H406" s="8" t="inlineStr">
        <is>
          <t>Anticipo Impuesto a las Ganancias</t>
        </is>
      </c>
      <c r="I406" s="9" t="n">
        <v>3.46</v>
      </c>
      <c r="J406" s="9" t="inlineStr"/>
      <c r="K406" s="8" t="inlineStr">
        <is>
          <t>Copiar en Flexxus: Tipo=MB-EXT | Movimiento=GRAVAMEN LEY 25.413 S/DEB | Monto=3,46 | Fecha: 27/04/2026</t>
        </is>
      </c>
    </row>
    <row r="407">
      <c r="A407" s="8" t="inlineStr">
        <is>
          <t>PEND-3C759E0B07B9-A001</t>
        </is>
      </c>
      <c r="B407" s="8" t="inlineStr">
        <is>
          <t>ABIERTO</t>
        </is>
      </c>
      <c r="C407" s="8" t="inlineStr">
        <is>
          <t>Banco egreso no Flexxus</t>
        </is>
      </c>
      <c r="D407" s="8" t="inlineStr">
        <is>
          <t>27/04/2026</t>
        </is>
      </c>
      <c r="E407" s="8" t="inlineStr">
        <is>
          <t>108830</t>
        </is>
      </c>
      <c r="F407" s="8" t="inlineStr">
        <is>
          <t>GRAVAMEN LEY 25413 S/DEB</t>
        </is>
      </c>
      <c r="G407" s="8" t="inlineStr">
        <is>
          <t>Anticipo Ganancias Ley 25.413 débitos</t>
        </is>
      </c>
      <c r="H407" s="8" t="inlineStr">
        <is>
          <t>Anticipo Impuesto a las Ganancias</t>
        </is>
      </c>
      <c r="I407" s="9" t="n">
        <v>3.3</v>
      </c>
      <c r="J407" s="9" t="inlineStr"/>
      <c r="K407" s="8" t="inlineStr">
        <is>
          <t>Copiar en Flexxus: Tipo=MB-EXT | Movimiento=GRAVAMEN LEY 25.413 S/DEB | Monto=3,30 | Fecha: 27/04/2026</t>
        </is>
      </c>
    </row>
    <row r="408">
      <c r="A408" s="8" t="inlineStr">
        <is>
          <t>PEND-8ACA1B4AC846-A001</t>
        </is>
      </c>
      <c r="B408" s="8" t="inlineStr">
        <is>
          <t>ABIERTO</t>
        </is>
      </c>
      <c r="C408" s="8" t="inlineStr">
        <is>
          <t>Banco egreso no Flexxus</t>
        </is>
      </c>
      <c r="D408" s="8" t="inlineStr">
        <is>
          <t>27/04/2026</t>
        </is>
      </c>
      <c r="E408" s="8" t="inlineStr">
        <is>
          <t>31995644</t>
        </is>
      </c>
      <c r="F408" s="8" t="inlineStr">
        <is>
          <t>GRAVAMEN LEY 25413 S/DEB</t>
        </is>
      </c>
      <c r="G408" s="8" t="inlineStr">
        <is>
          <t>Anticipo Ganancias Ley 25.413 débitos</t>
        </is>
      </c>
      <c r="H408" s="8" t="inlineStr">
        <is>
          <t>Anticipo Impuesto a las Ganancias</t>
        </is>
      </c>
      <c r="I408" s="9" t="n">
        <v>3.26</v>
      </c>
      <c r="J408" s="9" t="inlineStr"/>
      <c r="K408" s="8" t="inlineStr">
        <is>
          <t>Copiar en Flexxus: Tipo=MB-EXT | Movimiento=GRAVAMEN LEY 25.413 S/DEB | Monto=3,26 | Fecha: 27/04/2026</t>
        </is>
      </c>
    </row>
    <row r="409">
      <c r="A409" s="8" t="inlineStr">
        <is>
          <t>PEND-B5B5F264A73F-A001</t>
        </is>
      </c>
      <c r="B409" s="8" t="inlineStr">
        <is>
          <t>ABIERTO</t>
        </is>
      </c>
      <c r="C409" s="8" t="inlineStr">
        <is>
          <t>Banco egreso no Flexxus</t>
        </is>
      </c>
      <c r="D409" s="8" t="inlineStr">
        <is>
          <t>28/04/2026</t>
        </is>
      </c>
      <c r="E409" s="8" t="inlineStr">
        <is>
          <t>29841627</t>
        </is>
      </c>
      <c r="F409" s="8" t="inlineStr">
        <is>
          <t>GRAVAMEN LEY 25413 S/DEB</t>
        </is>
      </c>
      <c r="G409" s="8" t="inlineStr">
        <is>
          <t>Anticipo Ganancias Ley 25.413 débitos</t>
        </is>
      </c>
      <c r="H409" s="8" t="inlineStr">
        <is>
          <t>Anticipo Impuesto a las Ganancias</t>
        </is>
      </c>
      <c r="I409" s="9" t="n">
        <v>3.17</v>
      </c>
      <c r="J409" s="9" t="inlineStr"/>
      <c r="K409" s="8" t="inlineStr">
        <is>
          <t>Copiar en Flexxus: Tipo=MB-EXT | Movimiento=GRAVAMEN LEY 25.413 S/DEB | Monto=3,17 | Fecha: 28/04/2026</t>
        </is>
      </c>
    </row>
    <row r="410">
      <c r="A410" s="8" t="inlineStr">
        <is>
          <t>PEND-1B89056FBF70-A001</t>
        </is>
      </c>
      <c r="B410" s="8" t="inlineStr">
        <is>
          <t>ABIERTO</t>
        </is>
      </c>
      <c r="C410" s="8" t="inlineStr">
        <is>
          <t>Banco egreso no Flexxus</t>
        </is>
      </c>
      <c r="D410" s="8" t="inlineStr">
        <is>
          <t>27/04/2026</t>
        </is>
      </c>
      <c r="E410" s="8" t="inlineStr">
        <is>
          <t>108770</t>
        </is>
      </c>
      <c r="F410" s="8" t="inlineStr">
        <is>
          <t>GRAVAMEN LEY 25413 S/DEB</t>
        </is>
      </c>
      <c r="G410" s="8" t="inlineStr">
        <is>
          <t>Anticipo Ganancias Ley 25.413 débitos</t>
        </is>
      </c>
      <c r="H410" s="8" t="inlineStr">
        <is>
          <t>Anticipo Impuesto a las Ganancias</t>
        </is>
      </c>
      <c r="I410" s="9" t="n">
        <v>3.15</v>
      </c>
      <c r="J410" s="9" t="inlineStr"/>
      <c r="K410" s="8" t="inlineStr">
        <is>
          <t>Copiar en Flexxus: Tipo=MB-EXT | Movimiento=GRAVAMEN LEY 25.413 S/DEB | Monto=3,15 | Fecha: 27/04/2026</t>
        </is>
      </c>
    </row>
    <row r="411">
      <c r="A411" s="8" t="inlineStr">
        <is>
          <t>PEND-FDDAE0D7AAB8-A001</t>
        </is>
      </c>
      <c r="B411" s="8" t="inlineStr">
        <is>
          <t>ABIERTO</t>
        </is>
      </c>
      <c r="C411" s="8" t="inlineStr">
        <is>
          <t>Banco egreso no Flexxus</t>
        </is>
      </c>
      <c r="D411" s="8" t="inlineStr">
        <is>
          <t>27/04/2026</t>
        </is>
      </c>
      <c r="E411" s="8" t="inlineStr">
        <is>
          <t>108811</t>
        </is>
      </c>
      <c r="F411" s="8" t="inlineStr">
        <is>
          <t>GRAVAMEN LEY 25413 S/DEB</t>
        </is>
      </c>
      <c r="G411" s="8" t="inlineStr">
        <is>
          <t>Anticipo Ganancias Ley 25.413 débitos</t>
        </is>
      </c>
      <c r="H411" s="8" t="inlineStr">
        <is>
          <t>Anticipo Impuesto a las Ganancias</t>
        </is>
      </c>
      <c r="I411" s="9" t="n">
        <v>3.08</v>
      </c>
      <c r="J411" s="9" t="inlineStr"/>
      <c r="K411" s="8" t="inlineStr">
        <is>
          <t>Copiar en Flexxus: Tipo=MB-EXT | Movimiento=GRAVAMEN LEY 25.413 S/DEB | Monto=3,08 | Fecha: 27/04/2026</t>
        </is>
      </c>
    </row>
    <row r="412">
      <c r="A412" s="8" t="inlineStr">
        <is>
          <t>PEND-0384B8D794B1-A001</t>
        </is>
      </c>
      <c r="B412" s="8" t="inlineStr">
        <is>
          <t>ABIERTO</t>
        </is>
      </c>
      <c r="C412" s="8" t="inlineStr">
        <is>
          <t>Banco egreso no Flexxus</t>
        </is>
      </c>
      <c r="D412" s="8" t="inlineStr">
        <is>
          <t>27/04/2026</t>
        </is>
      </c>
      <c r="E412" s="8" t="inlineStr">
        <is>
          <t>108763</t>
        </is>
      </c>
      <c r="F412" s="8" t="inlineStr">
        <is>
          <t>GRAVAMEN LEY 25413 S/DEB</t>
        </is>
      </c>
      <c r="G412" s="8" t="inlineStr">
        <is>
          <t>Anticipo Ganancias Ley 25.413 débitos</t>
        </is>
      </c>
      <c r="H412" s="8" t="inlineStr">
        <is>
          <t>Anticipo Impuesto a las Ganancias</t>
        </is>
      </c>
      <c r="I412" s="9" t="n">
        <v>3.04</v>
      </c>
      <c r="J412" s="9" t="inlineStr"/>
      <c r="K412" s="8" t="inlineStr">
        <is>
          <t>Copiar en Flexxus: Tipo=MB-EXT | Movimiento=GRAVAMEN LEY 25.413 S/DEB | Monto=3,04 | Fecha: 27/04/2026</t>
        </is>
      </c>
    </row>
    <row r="413">
      <c r="A413" s="8" t="inlineStr">
        <is>
          <t>PEND-23252C46ACE5-A001</t>
        </is>
      </c>
      <c r="B413" s="8" t="inlineStr">
        <is>
          <t>ABIERTO</t>
        </is>
      </c>
      <c r="C413" s="8" t="inlineStr">
        <is>
          <t>Banco egreso no Flexxus</t>
        </is>
      </c>
      <c r="D413" s="8" t="inlineStr">
        <is>
          <t>27/04/2026</t>
        </is>
      </c>
      <c r="E413" s="8" t="inlineStr">
        <is>
          <t>108812</t>
        </is>
      </c>
      <c r="F413" s="8" t="inlineStr">
        <is>
          <t>GRAVAMEN LEY 25413 S/DEB</t>
        </is>
      </c>
      <c r="G413" s="8" t="inlineStr">
        <is>
          <t>Anticipo Ganancias Ley 25.413 débitos</t>
        </is>
      </c>
      <c r="H413" s="8" t="inlineStr">
        <is>
          <t>Anticipo Impuesto a las Ganancias</t>
        </is>
      </c>
      <c r="I413" s="9" t="n">
        <v>2.97</v>
      </c>
      <c r="J413" s="9" t="inlineStr"/>
      <c r="K413" s="8" t="inlineStr">
        <is>
          <t>Copiar en Flexxus: Tipo=MB-EXT | Movimiento=GRAVAMEN LEY 25.413 S/DEB | Monto=2,97 | Fecha: 27/04/2026</t>
        </is>
      </c>
    </row>
    <row r="414">
      <c r="A414" s="8" t="inlineStr">
        <is>
          <t>PEND-814DEA65BC79-A001</t>
        </is>
      </c>
      <c r="B414" s="8" t="inlineStr">
        <is>
          <t>ABIERTO</t>
        </is>
      </c>
      <c r="C414" s="8" t="inlineStr">
        <is>
          <t>Banco egreso no Flexxus</t>
        </is>
      </c>
      <c r="D414" s="8" t="inlineStr">
        <is>
          <t>28/04/2026</t>
        </is>
      </c>
      <c r="E414" s="8" t="inlineStr">
        <is>
          <t>109261</t>
        </is>
      </c>
      <c r="F414" s="8" t="inlineStr">
        <is>
          <t>GRAVAMEN LEY 25413 S/DEB</t>
        </is>
      </c>
      <c r="G414" s="8" t="inlineStr">
        <is>
          <t>Anticipo Ganancias Ley 25.413 débitos</t>
        </is>
      </c>
      <c r="H414" s="8" t="inlineStr">
        <is>
          <t>Anticipo Impuesto a las Ganancias</t>
        </is>
      </c>
      <c r="I414" s="9" t="n">
        <v>2.87</v>
      </c>
      <c r="J414" s="9" t="inlineStr"/>
      <c r="K414" s="8" t="inlineStr">
        <is>
          <t>Copiar en Flexxus: Tipo=MB-EXT | Movimiento=GRAVAMEN LEY 25.413 S/DEB | Monto=2,87 | Fecha: 28/04/2026</t>
        </is>
      </c>
    </row>
    <row r="415">
      <c r="A415" s="8" t="inlineStr">
        <is>
          <t>PEND-2E2BB80D2422-A001</t>
        </is>
      </c>
      <c r="B415" s="8" t="inlineStr">
        <is>
          <t>ABIERTO</t>
        </is>
      </c>
      <c r="C415" s="8" t="inlineStr">
        <is>
          <t>Banco egreso no Flexxus</t>
        </is>
      </c>
      <c r="D415" s="8" t="inlineStr">
        <is>
          <t>28/04/2026</t>
        </is>
      </c>
      <c r="E415" s="8" t="inlineStr">
        <is>
          <t>29841642</t>
        </is>
      </c>
      <c r="F415" s="8" t="inlineStr">
        <is>
          <t>GRAVAMEN LEY 25413 S/DEB</t>
        </is>
      </c>
      <c r="G415" s="8" t="inlineStr">
        <is>
          <t>Anticipo Ganancias Ley 25.413 débitos</t>
        </is>
      </c>
      <c r="H415" s="8" t="inlineStr">
        <is>
          <t>Anticipo Impuesto a las Ganancias</t>
        </is>
      </c>
      <c r="I415" s="9" t="n">
        <v>2.79</v>
      </c>
      <c r="J415" s="9" t="inlineStr"/>
      <c r="K415" s="8" t="inlineStr">
        <is>
          <t>Copiar en Flexxus: Tipo=MB-EXT | Movimiento=GRAVAMEN LEY 25.413 S/DEB | Monto=2,79 | Fecha: 28/04/2026</t>
        </is>
      </c>
    </row>
    <row r="416">
      <c r="A416" s="8" t="inlineStr">
        <is>
          <t>PEND-BA1CA6434947-A001</t>
        </is>
      </c>
      <c r="B416" s="8" t="inlineStr">
        <is>
          <t>ABIERTO</t>
        </is>
      </c>
      <c r="C416" s="8" t="inlineStr">
        <is>
          <t>Banco egreso no Flexxus</t>
        </is>
      </c>
      <c r="D416" s="8" t="inlineStr">
        <is>
          <t>27/04/2026</t>
        </is>
      </c>
      <c r="E416" s="8" t="inlineStr">
        <is>
          <t>108771</t>
        </is>
      </c>
      <c r="F416" s="8" t="inlineStr">
        <is>
          <t>GRAVAMEN LEY 25413 S/DEB</t>
        </is>
      </c>
      <c r="G416" s="8" t="inlineStr">
        <is>
          <t>Anticipo Ganancias Ley 25.413 débitos</t>
        </is>
      </c>
      <c r="H416" s="8" t="inlineStr">
        <is>
          <t>Anticipo Impuesto a las Ganancias</t>
        </is>
      </c>
      <c r="I416" s="9" t="n">
        <v>2.76</v>
      </c>
      <c r="J416" s="9" t="inlineStr"/>
      <c r="K416" s="8" t="inlineStr">
        <is>
          <t>Copiar en Flexxus: Tipo=MB-EXT | Movimiento=GRAVAMEN LEY 25.413 S/DEB | Monto=2,76 | Fecha: 27/04/2026</t>
        </is>
      </c>
    </row>
    <row r="417">
      <c r="A417" s="8" t="inlineStr">
        <is>
          <t>PEND-563AFB2E9D08-A001</t>
        </is>
      </c>
      <c r="B417" s="8" t="inlineStr">
        <is>
          <t>ABIERTO</t>
        </is>
      </c>
      <c r="C417" s="8" t="inlineStr">
        <is>
          <t>Banco egreso no Flexxus</t>
        </is>
      </c>
      <c r="D417" s="8" t="inlineStr">
        <is>
          <t>27/04/2026</t>
        </is>
      </c>
      <c r="E417" s="8" t="inlineStr">
        <is>
          <t>108787</t>
        </is>
      </c>
      <c r="F417" s="8" t="inlineStr">
        <is>
          <t>GRAVAMEN LEY 25413 S/DEB</t>
        </is>
      </c>
      <c r="G417" s="8" t="inlineStr">
        <is>
          <t>Anticipo Ganancias Ley 25.413 débitos</t>
        </is>
      </c>
      <c r="H417" s="8" t="inlineStr">
        <is>
          <t>Anticipo Impuesto a las Ganancias</t>
        </is>
      </c>
      <c r="I417" s="9" t="n">
        <v>2.73</v>
      </c>
      <c r="J417" s="9" t="inlineStr"/>
      <c r="K417" s="8" t="inlineStr">
        <is>
          <t>Copiar en Flexxus: Tipo=MB-EXT | Movimiento=GRAVAMEN LEY 25.413 S/DEB | Monto=2,73 | Fecha: 27/04/2026</t>
        </is>
      </c>
    </row>
    <row r="418">
      <c r="A418" s="8" t="inlineStr">
        <is>
          <t>PEND-51357A6CC058-A001</t>
        </is>
      </c>
      <c r="B418" s="8" t="inlineStr">
        <is>
          <t>ABIERTO</t>
        </is>
      </c>
      <c r="C418" s="8" t="inlineStr">
        <is>
          <t>Banco egreso no Flexxus</t>
        </is>
      </c>
      <c r="D418" s="8" t="inlineStr">
        <is>
          <t>28/04/2026</t>
        </is>
      </c>
      <c r="E418" s="8" t="inlineStr">
        <is>
          <t>31995644</t>
        </is>
      </c>
      <c r="F418" s="8" t="inlineStr">
        <is>
          <t>GRAVAMEN LEY 25413 S/DEB</t>
        </is>
      </c>
      <c r="G418" s="8" t="inlineStr">
        <is>
          <t>Anticipo Ganancias Ley 25.413 débitos</t>
        </is>
      </c>
      <c r="H418" s="8" t="inlineStr">
        <is>
          <t>Anticipo Impuesto a las Ganancias</t>
        </is>
      </c>
      <c r="I418" s="9" t="n">
        <v>2.63</v>
      </c>
      <c r="J418" s="9" t="inlineStr"/>
      <c r="K418" s="8" t="inlineStr">
        <is>
          <t>Copiar en Flexxus: Tipo=MB-EXT | Movimiento=GRAVAMEN LEY 25.413 S/DEB | Monto=2,63 | Fecha: 28/04/2026</t>
        </is>
      </c>
    </row>
    <row r="419">
      <c r="A419" s="8" t="inlineStr">
        <is>
          <t>PEND-D52439331EA9-A001</t>
        </is>
      </c>
      <c r="B419" s="8" t="inlineStr">
        <is>
          <t>ABIERTO</t>
        </is>
      </c>
      <c r="C419" s="8" t="inlineStr">
        <is>
          <t>Banco egreso no Flexxus</t>
        </is>
      </c>
      <c r="D419" s="8" t="inlineStr">
        <is>
          <t>27/04/2026</t>
        </is>
      </c>
      <c r="E419" s="8" t="inlineStr">
        <is>
          <t>108817</t>
        </is>
      </c>
      <c r="F419" s="8" t="inlineStr">
        <is>
          <t>GRAVAMEN LEY 25413 S/DEB</t>
        </is>
      </c>
      <c r="G419" s="8" t="inlineStr">
        <is>
          <t>Anticipo Ganancias Ley 25.413 débitos</t>
        </is>
      </c>
      <c r="H419" s="8" t="inlineStr">
        <is>
          <t>Anticipo Impuesto a las Ganancias</t>
        </is>
      </c>
      <c r="I419" s="9" t="n">
        <v>2.6</v>
      </c>
      <c r="J419" s="9" t="inlineStr"/>
      <c r="K419" s="8" t="inlineStr">
        <is>
          <t>Copiar en Flexxus: Tipo=MB-EXT | Movimiento=GRAVAMEN LEY 25.413 S/DEB | Monto=2,60 | Fecha: 27/04/2026</t>
        </is>
      </c>
    </row>
    <row r="420">
      <c r="A420" s="8" t="inlineStr">
        <is>
          <t>PEND-1BE32B42AC22-A001</t>
        </is>
      </c>
      <c r="B420" s="8" t="inlineStr">
        <is>
          <t>ABIERTO</t>
        </is>
      </c>
      <c r="C420" s="8" t="inlineStr">
        <is>
          <t>Banco egreso no Flexxus</t>
        </is>
      </c>
      <c r="D420" s="8" t="inlineStr">
        <is>
          <t>27/04/2026</t>
        </is>
      </c>
      <c r="E420" s="8" t="inlineStr">
        <is>
          <t>108798</t>
        </is>
      </c>
      <c r="F420" s="8" t="inlineStr">
        <is>
          <t>GRAVAMEN LEY 25413 S/DEB</t>
        </is>
      </c>
      <c r="G420" s="8" t="inlineStr">
        <is>
          <t>Anticipo Ganancias Ley 25.413 débitos</t>
        </is>
      </c>
      <c r="H420" s="8" t="inlineStr">
        <is>
          <t>Anticipo Impuesto a las Ganancias</t>
        </is>
      </c>
      <c r="I420" s="9" t="n">
        <v>2.58</v>
      </c>
      <c r="J420" s="9" t="inlineStr"/>
      <c r="K420" s="8" t="inlineStr">
        <is>
          <t>Copiar en Flexxus: Tipo=MB-EXT | Movimiento=GRAVAMEN LEY 25.413 S/DEB | Monto=2,58 | Fecha: 27/04/2026</t>
        </is>
      </c>
    </row>
    <row r="421">
      <c r="A421" s="8" t="inlineStr">
        <is>
          <t>PEND-733BC21E56E7-A001</t>
        </is>
      </c>
      <c r="B421" s="8" t="inlineStr">
        <is>
          <t>ABIERTO</t>
        </is>
      </c>
      <c r="C421" s="8" t="inlineStr">
        <is>
          <t>Banco egreso no Flexxus</t>
        </is>
      </c>
      <c r="D421" s="8" t="inlineStr">
        <is>
          <t>28/04/2026</t>
        </is>
      </c>
      <c r="E421" s="8" t="inlineStr">
        <is>
          <t>109281</t>
        </is>
      </c>
      <c r="F421" s="8" t="inlineStr">
        <is>
          <t>GRAVAMEN LEY 25413 S/DEB</t>
        </is>
      </c>
      <c r="G421" s="8" t="inlineStr">
        <is>
          <t>Anticipo Ganancias Ley 25.413 débitos</t>
        </is>
      </c>
      <c r="H421" s="8" t="inlineStr">
        <is>
          <t>Anticipo Impuesto a las Ganancias</t>
        </is>
      </c>
      <c r="I421" s="9" t="n">
        <v>2.44</v>
      </c>
      <c r="J421" s="9" t="inlineStr"/>
      <c r="K421" s="8" t="inlineStr">
        <is>
          <t>Copiar en Flexxus: Tipo=MB-EXT | Movimiento=GRAVAMEN LEY 25.413 S/DEB | Monto=2,44 | Fecha: 28/04/2026</t>
        </is>
      </c>
    </row>
    <row r="422">
      <c r="A422" s="8" t="inlineStr">
        <is>
          <t>PEND-342DC35BFA90-A001</t>
        </is>
      </c>
      <c r="B422" s="8" t="inlineStr">
        <is>
          <t>ABIERTO</t>
        </is>
      </c>
      <c r="C422" s="8" t="inlineStr">
        <is>
          <t>Banco egreso no Flexxus</t>
        </is>
      </c>
      <c r="D422" s="8" t="inlineStr">
        <is>
          <t>28/04/2026</t>
        </is>
      </c>
      <c r="E422" s="8" t="inlineStr">
        <is>
          <t>109280</t>
        </is>
      </c>
      <c r="F422" s="8" t="inlineStr">
        <is>
          <t>GRAVAMEN LEY 25413 S/DEB</t>
        </is>
      </c>
      <c r="G422" s="8" t="inlineStr">
        <is>
          <t>Anticipo Ganancias Ley 25.413 débitos</t>
        </is>
      </c>
      <c r="H422" s="8" t="inlineStr">
        <is>
          <t>Anticipo Impuesto a las Ganancias</t>
        </is>
      </c>
      <c r="I422" s="9" t="n">
        <v>2.44</v>
      </c>
      <c r="J422" s="9" t="inlineStr"/>
      <c r="K422" s="8" t="inlineStr">
        <is>
          <t>Copiar en Flexxus: Tipo=MB-EXT | Movimiento=GRAVAMEN LEY 25.413 S/DEB | Monto=2,44 | Fecha: 28/04/2026</t>
        </is>
      </c>
    </row>
    <row r="423">
      <c r="A423" s="8" t="inlineStr">
        <is>
          <t>PEND-237C99790446-A001</t>
        </is>
      </c>
      <c r="B423" s="8" t="inlineStr">
        <is>
          <t>ABIERTO</t>
        </is>
      </c>
      <c r="C423" s="8" t="inlineStr">
        <is>
          <t>Banco egreso no Flexxus</t>
        </is>
      </c>
      <c r="D423" s="8" t="inlineStr">
        <is>
          <t>27/04/2026</t>
        </is>
      </c>
      <c r="E423" s="8" t="inlineStr">
        <is>
          <t>108761</t>
        </is>
      </c>
      <c r="F423" s="8" t="inlineStr">
        <is>
          <t>GRAVAMEN LEY 25413 S/DEB</t>
        </is>
      </c>
      <c r="G423" s="8" t="inlineStr">
        <is>
          <t>Anticipo Ganancias Ley 25.413 débitos</t>
        </is>
      </c>
      <c r="H423" s="8" t="inlineStr">
        <is>
          <t>Anticipo Impuesto a las Ganancias</t>
        </is>
      </c>
      <c r="I423" s="9" t="n">
        <v>2.41</v>
      </c>
      <c r="J423" s="9" t="inlineStr"/>
      <c r="K423" s="8" t="inlineStr">
        <is>
          <t>Copiar en Flexxus: Tipo=MB-EXT | Movimiento=GRAVAMEN LEY 25.413 S/DEB | Monto=2,41 | Fecha: 27/04/2026</t>
        </is>
      </c>
    </row>
    <row r="424">
      <c r="A424" s="8" t="inlineStr">
        <is>
          <t>PEND-1B8F216E423D-A001</t>
        </is>
      </c>
      <c r="B424" s="8" t="inlineStr">
        <is>
          <t>ABIERTO</t>
        </is>
      </c>
      <c r="C424" s="8" t="inlineStr">
        <is>
          <t>Banco egreso no Flexxus</t>
        </is>
      </c>
      <c r="D424" s="8" t="inlineStr">
        <is>
          <t>27/04/2026</t>
        </is>
      </c>
      <c r="E424" s="8" t="inlineStr">
        <is>
          <t>29841670</t>
        </is>
      </c>
      <c r="F424" s="8" t="inlineStr">
        <is>
          <t>GRAVAMEN LEY 25413 S/DEB</t>
        </is>
      </c>
      <c r="G424" s="8" t="inlineStr">
        <is>
          <t>Anticipo Ganancias Ley 25.413 débitos</t>
        </is>
      </c>
      <c r="H424" s="8" t="inlineStr">
        <is>
          <t>Anticipo Impuesto a las Ganancias</t>
        </is>
      </c>
      <c r="I424" s="9" t="n">
        <v>2.38</v>
      </c>
      <c r="J424" s="9" t="inlineStr"/>
      <c r="K424" s="8" t="inlineStr">
        <is>
          <t>Copiar en Flexxus: Tipo=MB-EXT | Movimiento=GRAVAMEN LEY 25.413 S/DEB | Monto=2,38 | Fecha: 27/04/2026</t>
        </is>
      </c>
    </row>
    <row r="425">
      <c r="A425" s="8" t="inlineStr">
        <is>
          <t>PEND-694D7785EBB8-A001</t>
        </is>
      </c>
      <c r="B425" s="8" t="inlineStr">
        <is>
          <t>ABIERTO</t>
        </is>
      </c>
      <c r="C425" s="8" t="inlineStr">
        <is>
          <t>Banco egreso no Flexxus</t>
        </is>
      </c>
      <c r="D425" s="8" t="inlineStr">
        <is>
          <t>27/04/2026</t>
        </is>
      </c>
      <c r="E425" s="8" t="inlineStr">
        <is>
          <t>108804</t>
        </is>
      </c>
      <c r="F425" s="8" t="inlineStr">
        <is>
          <t>GRAVAMEN LEY 25413 S/DEB</t>
        </is>
      </c>
      <c r="G425" s="8" t="inlineStr">
        <is>
          <t>Anticipo Ganancias Ley 25.413 débitos</t>
        </is>
      </c>
      <c r="H425" s="8" t="inlineStr">
        <is>
          <t>Anticipo Impuesto a las Ganancias</t>
        </is>
      </c>
      <c r="I425" s="9" t="n">
        <v>2.33</v>
      </c>
      <c r="J425" s="9" t="inlineStr"/>
      <c r="K425" s="8" t="inlineStr">
        <is>
          <t>Copiar en Flexxus: Tipo=MB-EXT | Movimiento=GRAVAMEN LEY 25.413 S/DEB | Monto=2,33 | Fecha: 27/04/2026</t>
        </is>
      </c>
    </row>
    <row r="426">
      <c r="A426" s="8" t="inlineStr">
        <is>
          <t>PEND-0CDD63618F7A-A001</t>
        </is>
      </c>
      <c r="B426" s="8" t="inlineStr">
        <is>
          <t>ABIERTO</t>
        </is>
      </c>
      <c r="C426" s="8" t="inlineStr">
        <is>
          <t>Banco egreso no Flexxus</t>
        </is>
      </c>
      <c r="D426" s="8" t="inlineStr">
        <is>
          <t>27/04/2026</t>
        </is>
      </c>
      <c r="E426" s="8" t="inlineStr">
        <is>
          <t>108833</t>
        </is>
      </c>
      <c r="F426" s="8" t="inlineStr">
        <is>
          <t>GRAVAMEN LEY 25413 S/DEB</t>
        </is>
      </c>
      <c r="G426" s="8" t="inlineStr">
        <is>
          <t>Anticipo Ganancias Ley 25.413 débitos</t>
        </is>
      </c>
      <c r="H426" s="8" t="inlineStr">
        <is>
          <t>Anticipo Impuesto a las Ganancias</t>
        </is>
      </c>
      <c r="I426" s="9" t="n">
        <v>2.32</v>
      </c>
      <c r="J426" s="9" t="inlineStr"/>
      <c r="K426" s="8" t="inlineStr">
        <is>
          <t>Copiar en Flexxus: Tipo=MB-EXT | Movimiento=GRAVAMEN LEY 25.413 S/DEB | Monto=2,32 | Fecha: 27/04/2026</t>
        </is>
      </c>
    </row>
    <row r="427">
      <c r="A427" s="8" t="inlineStr">
        <is>
          <t>PEND-27FAA25F707E-A001</t>
        </is>
      </c>
      <c r="B427" s="8" t="inlineStr">
        <is>
          <t>ABIERTO</t>
        </is>
      </c>
      <c r="C427" s="8" t="inlineStr">
        <is>
          <t>Banco egreso no Flexxus</t>
        </is>
      </c>
      <c r="D427" s="8" t="inlineStr">
        <is>
          <t>27/04/2026</t>
        </is>
      </c>
      <c r="E427" s="8" t="inlineStr">
        <is>
          <t>108802</t>
        </is>
      </c>
      <c r="F427" s="8" t="inlineStr">
        <is>
          <t>GRAVAMEN LEY 25413 S/DEB</t>
        </is>
      </c>
      <c r="G427" s="8" t="inlineStr">
        <is>
          <t>Anticipo Ganancias Ley 25.413 débitos</t>
        </is>
      </c>
      <c r="H427" s="8" t="inlineStr">
        <is>
          <t>Anticipo Impuesto a las Ganancias</t>
        </is>
      </c>
      <c r="I427" s="9" t="n">
        <v>2.29</v>
      </c>
      <c r="J427" s="9" t="inlineStr"/>
      <c r="K427" s="8" t="inlineStr">
        <is>
          <t>Copiar en Flexxus: Tipo=MB-EXT | Movimiento=GRAVAMEN LEY 25.413 S/DEB | Monto=2,29 | Fecha: 27/04/2026</t>
        </is>
      </c>
    </row>
    <row r="428">
      <c r="A428" s="8" t="inlineStr">
        <is>
          <t>PEND-5A4E667DAF43-A001</t>
        </is>
      </c>
      <c r="B428" s="8" t="inlineStr">
        <is>
          <t>ABIERTO</t>
        </is>
      </c>
      <c r="C428" s="8" t="inlineStr">
        <is>
          <t>Banco egreso no Flexxus</t>
        </is>
      </c>
      <c r="D428" s="8" t="inlineStr">
        <is>
          <t>28/04/2026</t>
        </is>
      </c>
      <c r="E428" s="8" t="inlineStr">
        <is>
          <t>109243</t>
        </is>
      </c>
      <c r="F428" s="8" t="inlineStr">
        <is>
          <t>GRAVAMEN LEY 25413 S/DEB</t>
        </is>
      </c>
      <c r="G428" s="8" t="inlineStr">
        <is>
          <t>Anticipo Ganancias Ley 25.413 débitos</t>
        </is>
      </c>
      <c r="H428" s="8" t="inlineStr">
        <is>
          <t>Anticipo Impuesto a las Ganancias</t>
        </is>
      </c>
      <c r="I428" s="9" t="n">
        <v>2.17</v>
      </c>
      <c r="J428" s="9" t="inlineStr"/>
      <c r="K428" s="8" t="inlineStr">
        <is>
          <t>Copiar en Flexxus: Tipo=MB-EXT | Movimiento=GRAVAMEN LEY 25.413 S/DEB | Monto=2,17 | Fecha: 28/04/2026</t>
        </is>
      </c>
    </row>
    <row r="429">
      <c r="A429" s="8" t="inlineStr">
        <is>
          <t>PEND-6152962AEC0E-A001</t>
        </is>
      </c>
      <c r="B429" s="8" t="inlineStr">
        <is>
          <t>ABIERTO</t>
        </is>
      </c>
      <c r="C429" s="8" t="inlineStr">
        <is>
          <t>Banco egreso no Flexxus</t>
        </is>
      </c>
      <c r="D429" s="8" t="inlineStr">
        <is>
          <t>28/04/2026</t>
        </is>
      </c>
      <c r="E429" s="8" t="inlineStr">
        <is>
          <t>29841705</t>
        </is>
      </c>
      <c r="F429" s="8" t="inlineStr">
        <is>
          <t>GRAVAMEN LEY 25413 S/DEB</t>
        </is>
      </c>
      <c r="G429" s="8" t="inlineStr">
        <is>
          <t>Anticipo Ganancias Ley 25.413 débitos</t>
        </is>
      </c>
      <c r="H429" s="8" t="inlineStr">
        <is>
          <t>Anticipo Impuesto a las Ganancias</t>
        </is>
      </c>
      <c r="I429" s="9" t="n">
        <v>2.11</v>
      </c>
      <c r="J429" s="9" t="inlineStr"/>
      <c r="K429" s="8" t="inlineStr">
        <is>
          <t>Copiar en Flexxus: Tipo=MB-EXT | Movimiento=GRAVAMEN LEY 25.413 S/DEB | Monto=2,11 | Fecha: 28/04/2026</t>
        </is>
      </c>
    </row>
    <row r="430">
      <c r="A430" s="8" t="inlineStr">
        <is>
          <t>PEND-D07226935C9A-A001</t>
        </is>
      </c>
      <c r="B430" s="8" t="inlineStr">
        <is>
          <t>ABIERTO</t>
        </is>
      </c>
      <c r="C430" s="8" t="inlineStr">
        <is>
          <t>Banco egreso no Flexxus</t>
        </is>
      </c>
      <c r="D430" s="8" t="inlineStr">
        <is>
          <t>27/04/2026</t>
        </is>
      </c>
      <c r="E430" s="8" t="inlineStr">
        <is>
          <t>108836</t>
        </is>
      </c>
      <c r="F430" s="8" t="inlineStr">
        <is>
          <t>GRAVAMEN LEY 25413 S/DEB</t>
        </is>
      </c>
      <c r="G430" s="8" t="inlineStr">
        <is>
          <t>Anticipo Ganancias Ley 25.413 débitos</t>
        </is>
      </c>
      <c r="H430" s="8" t="inlineStr">
        <is>
          <t>Anticipo Impuesto a las Ganancias</t>
        </is>
      </c>
      <c r="I430" s="9" t="n">
        <v>2.07</v>
      </c>
      <c r="J430" s="9" t="inlineStr"/>
      <c r="K430" s="8" t="inlineStr">
        <is>
          <t>Copiar en Flexxus: Tipo=MB-EXT | Movimiento=GRAVAMEN LEY 25.413 S/DEB | Monto=2,07 | Fecha: 27/04/2026</t>
        </is>
      </c>
    </row>
    <row r="431">
      <c r="A431" s="8" t="inlineStr">
        <is>
          <t>PEND-41D731B0E4E4-A001</t>
        </is>
      </c>
      <c r="B431" s="8" t="inlineStr">
        <is>
          <t>ABIERTO</t>
        </is>
      </c>
      <c r="C431" s="8" t="inlineStr">
        <is>
          <t>Banco egreso no Flexxus</t>
        </is>
      </c>
      <c r="D431" s="8" t="inlineStr">
        <is>
          <t>27/04/2026</t>
        </is>
      </c>
      <c r="E431" s="8" t="inlineStr">
        <is>
          <t>108824</t>
        </is>
      </c>
      <c r="F431" s="8" t="inlineStr">
        <is>
          <t>GRAVAMEN LEY 25413 S/DEB</t>
        </is>
      </c>
      <c r="G431" s="8" t="inlineStr">
        <is>
          <t>Anticipo Ganancias Ley 25.413 débitos</t>
        </is>
      </c>
      <c r="H431" s="8" t="inlineStr">
        <is>
          <t>Anticipo Impuesto a las Ganancias</t>
        </is>
      </c>
      <c r="I431" s="9" t="n">
        <v>2.05</v>
      </c>
      <c r="J431" s="9" t="inlineStr"/>
      <c r="K431" s="8" t="inlineStr">
        <is>
          <t>Copiar en Flexxus: Tipo=MB-EXT | Movimiento=GRAVAMEN LEY 25.413 S/DEB | Monto=2,05 | Fecha: 27/04/2026</t>
        </is>
      </c>
    </row>
    <row r="432">
      <c r="A432" s="8" t="inlineStr">
        <is>
          <t>PEND-1499BC13A861-A001</t>
        </is>
      </c>
      <c r="B432" s="8" t="inlineStr">
        <is>
          <t>ABIERTO</t>
        </is>
      </c>
      <c r="C432" s="8" t="inlineStr">
        <is>
          <t>Banco egreso no Flexxus</t>
        </is>
      </c>
      <c r="D432" s="8" t="inlineStr">
        <is>
          <t>27/04/2026</t>
        </is>
      </c>
      <c r="E432" s="8" t="inlineStr">
        <is>
          <t>108791</t>
        </is>
      </c>
      <c r="F432" s="8" t="inlineStr">
        <is>
          <t>GRAVAMEN LEY 25413 S/DEB</t>
        </is>
      </c>
      <c r="G432" s="8" t="inlineStr">
        <is>
          <t>Anticipo Ganancias Ley 25.413 débitos</t>
        </is>
      </c>
      <c r="H432" s="8" t="inlineStr">
        <is>
          <t>Anticipo Impuesto a las Ganancias</t>
        </is>
      </c>
      <c r="I432" s="9" t="n">
        <v>2.05</v>
      </c>
      <c r="J432" s="9" t="inlineStr"/>
      <c r="K432" s="8" t="inlineStr">
        <is>
          <t>Copiar en Flexxus: Tipo=MB-EXT | Movimiento=GRAVAMEN LEY 25.413 S/DEB | Monto=2,05 | Fecha: 27/04/2026</t>
        </is>
      </c>
    </row>
    <row r="433">
      <c r="A433" s="8" t="inlineStr">
        <is>
          <t>PEND-EBB74083C616-A001</t>
        </is>
      </c>
      <c r="B433" s="8" t="inlineStr">
        <is>
          <t>ABIERTO</t>
        </is>
      </c>
      <c r="C433" s="8" t="inlineStr">
        <is>
          <t>Banco egreso no Flexxus</t>
        </is>
      </c>
      <c r="D433" s="8" t="inlineStr">
        <is>
          <t>27/04/2026</t>
        </is>
      </c>
      <c r="E433" s="8" t="inlineStr">
        <is>
          <t>108760</t>
        </is>
      </c>
      <c r="F433" s="8" t="inlineStr">
        <is>
          <t>GRAVAMEN LEY 25413 S/DEB</t>
        </is>
      </c>
      <c r="G433" s="8" t="inlineStr">
        <is>
          <t>Anticipo Ganancias Ley 25.413 débitos</t>
        </is>
      </c>
      <c r="H433" s="8" t="inlineStr">
        <is>
          <t>Anticipo Impuesto a las Ganancias</t>
        </is>
      </c>
      <c r="I433" s="9" t="n">
        <v>2.02</v>
      </c>
      <c r="J433" s="9" t="inlineStr"/>
      <c r="K433" s="8" t="inlineStr">
        <is>
          <t>Copiar en Flexxus: Tipo=MB-EXT | Movimiento=GRAVAMEN LEY 25.413 S/DEB | Monto=2,02 | Fecha: 27/04/2026</t>
        </is>
      </c>
    </row>
    <row r="434">
      <c r="A434" s="8" t="inlineStr">
        <is>
          <t>PEND-2875183DB8F8-A001</t>
        </is>
      </c>
      <c r="B434" s="8" t="inlineStr">
        <is>
          <t>ABIERTO</t>
        </is>
      </c>
      <c r="C434" s="8" t="inlineStr">
        <is>
          <t>Banco egreso no Flexxus</t>
        </is>
      </c>
      <c r="D434" s="8" t="inlineStr">
        <is>
          <t>27/04/2026</t>
        </is>
      </c>
      <c r="E434" s="8" t="inlineStr">
        <is>
          <t>108778</t>
        </is>
      </c>
      <c r="F434" s="8" t="inlineStr">
        <is>
          <t>GRAVAMEN LEY 25413 S/DEB</t>
        </is>
      </c>
      <c r="G434" s="8" t="inlineStr">
        <is>
          <t>Anticipo Ganancias Ley 25.413 débitos</t>
        </is>
      </c>
      <c r="H434" s="8" t="inlineStr">
        <is>
          <t>Anticipo Impuesto a las Ganancias</t>
        </is>
      </c>
      <c r="I434" s="9" t="n">
        <v>1.99</v>
      </c>
      <c r="J434" s="9" t="inlineStr"/>
      <c r="K434" s="8" t="inlineStr">
        <is>
          <t>Copiar en Flexxus: Tipo=MB-EXT | Movimiento=GRAVAMEN LEY 25.413 S/DEB | Monto=1,99 | Fecha: 27/04/2026</t>
        </is>
      </c>
    </row>
    <row r="435">
      <c r="A435" s="8" t="inlineStr">
        <is>
          <t>PEND-C3B3D26FE951-A001</t>
        </is>
      </c>
      <c r="B435" s="8" t="inlineStr">
        <is>
          <t>ABIERTO</t>
        </is>
      </c>
      <c r="C435" s="8" t="inlineStr">
        <is>
          <t>Banco egreso no Flexxus</t>
        </is>
      </c>
      <c r="D435" s="8" t="inlineStr">
        <is>
          <t>27/04/2026</t>
        </is>
      </c>
      <c r="E435" s="8" t="inlineStr">
        <is>
          <t>108777</t>
        </is>
      </c>
      <c r="F435" s="8" t="inlineStr">
        <is>
          <t>GRAVAMEN LEY 25413 S/DEB</t>
        </is>
      </c>
      <c r="G435" s="8" t="inlineStr">
        <is>
          <t>Anticipo Ganancias Ley 25.413 débitos</t>
        </is>
      </c>
      <c r="H435" s="8" t="inlineStr">
        <is>
          <t>Anticipo Impuesto a las Ganancias</t>
        </is>
      </c>
      <c r="I435" s="9" t="n">
        <v>1.99</v>
      </c>
      <c r="J435" s="9" t="inlineStr"/>
      <c r="K435" s="8" t="inlineStr">
        <is>
          <t>Copiar en Flexxus: Tipo=MB-EXT | Movimiento=GRAVAMEN LEY 25.413 S/DEB | Monto=1,99 | Fecha: 27/04/2026</t>
        </is>
      </c>
    </row>
    <row r="436">
      <c r="A436" s="8" t="inlineStr">
        <is>
          <t>PEND-327D35AD2908-A001</t>
        </is>
      </c>
      <c r="B436" s="8" t="inlineStr">
        <is>
          <t>ABIERTO</t>
        </is>
      </c>
      <c r="C436" s="8" t="inlineStr">
        <is>
          <t>Banco egreso no Flexxus</t>
        </is>
      </c>
      <c r="D436" s="8" t="inlineStr">
        <is>
          <t>27/04/2026</t>
        </is>
      </c>
      <c r="E436" s="8" t="inlineStr">
        <is>
          <t>29841705</t>
        </is>
      </c>
      <c r="F436" s="8" t="inlineStr">
        <is>
          <t>GRAVAMEN LEY 25413 S/DEB</t>
        </is>
      </c>
      <c r="G436" s="8" t="inlineStr">
        <is>
          <t>Anticipo Ganancias Ley 25.413 débitos</t>
        </is>
      </c>
      <c r="H436" s="8" t="inlineStr">
        <is>
          <t>Anticipo Impuesto a las Ganancias</t>
        </is>
      </c>
      <c r="I436" s="9" t="n">
        <v>1.96</v>
      </c>
      <c r="J436" s="9" t="inlineStr"/>
      <c r="K436" s="8" t="inlineStr">
        <is>
          <t>Copiar en Flexxus: Tipo=MB-EXT | Movimiento=GRAVAMEN LEY 25.413 S/DEB | Monto=1,96 | Fecha: 27/04/2026</t>
        </is>
      </c>
    </row>
    <row r="437">
      <c r="A437" s="8" t="inlineStr">
        <is>
          <t>PEND-0DA0678BE408-A001</t>
        </is>
      </c>
      <c r="B437" s="8" t="inlineStr">
        <is>
          <t>ABIERTO</t>
        </is>
      </c>
      <c r="C437" s="8" t="inlineStr">
        <is>
          <t>Banco egreso no Flexxus</t>
        </is>
      </c>
      <c r="D437" s="8" t="inlineStr">
        <is>
          <t>27/04/2026</t>
        </is>
      </c>
      <c r="E437" s="8" t="inlineStr">
        <is>
          <t>108846</t>
        </is>
      </c>
      <c r="F437" s="8" t="inlineStr">
        <is>
          <t>GRAVAMEN LEY 25413 S/DEB</t>
        </is>
      </c>
      <c r="G437" s="8" t="inlineStr">
        <is>
          <t>Anticipo Ganancias Ley 25.413 débitos</t>
        </is>
      </c>
      <c r="H437" s="8" t="inlineStr">
        <is>
          <t>Anticipo Impuesto a las Ganancias</t>
        </is>
      </c>
      <c r="I437" s="9" t="n">
        <v>1.95</v>
      </c>
      <c r="J437" s="9" t="inlineStr"/>
      <c r="K437" s="8" t="inlineStr">
        <is>
          <t>Copiar en Flexxus: Tipo=MB-EXT | Movimiento=GRAVAMEN LEY 25.413 S/DEB | Monto=1,95 | Fecha: 27/04/2026</t>
        </is>
      </c>
    </row>
    <row r="438">
      <c r="A438" s="8" t="inlineStr">
        <is>
          <t>PEND-CE714578C97E-A001</t>
        </is>
      </c>
      <c r="B438" s="8" t="inlineStr">
        <is>
          <t>ABIERTO</t>
        </is>
      </c>
      <c r="C438" s="8" t="inlineStr">
        <is>
          <t>Banco egreso no Flexxus</t>
        </is>
      </c>
      <c r="D438" s="8" t="inlineStr">
        <is>
          <t>28/04/2026</t>
        </is>
      </c>
      <c r="E438" s="8" t="inlineStr">
        <is>
          <t>109286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1.93</v>
      </c>
      <c r="J438" s="9" t="inlineStr"/>
      <c r="K438" s="8" t="inlineStr">
        <is>
          <t>Copiar en Flexxus: Tipo=MB-EXT | Movimiento=GRAVAMEN LEY 25.413 S/DEB | Monto=1,93 | Fecha: 28/04/2026</t>
        </is>
      </c>
    </row>
    <row r="439">
      <c r="A439" s="8" t="inlineStr">
        <is>
          <t>PEND-295F741C4977-A001</t>
        </is>
      </c>
      <c r="B439" s="8" t="inlineStr">
        <is>
          <t>ABIERTO</t>
        </is>
      </c>
      <c r="C439" s="8" t="inlineStr">
        <is>
          <t>Banco egreso no Flexxus</t>
        </is>
      </c>
      <c r="D439" s="8" t="inlineStr">
        <is>
          <t>28/04/2026</t>
        </is>
      </c>
      <c r="E439" s="8" t="inlineStr">
        <is>
          <t>32032899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1.93</v>
      </c>
      <c r="J439" s="9" t="inlineStr"/>
      <c r="K439" s="8" t="inlineStr">
        <is>
          <t>Copiar en Flexxus: Tipo=MB-EXT | Movimiento=GRAVAMEN LEY 25.413 S/DEB | Monto=1,93 | Fecha: 28/04/2026</t>
        </is>
      </c>
    </row>
    <row r="440">
      <c r="A440" s="8" t="inlineStr">
        <is>
          <t>PEND-C48D26A7A48D-A001</t>
        </is>
      </c>
      <c r="B440" s="8" t="inlineStr">
        <is>
          <t>ABIERTO</t>
        </is>
      </c>
      <c r="C440" s="8" t="inlineStr">
        <is>
          <t>Banco egreso no Flexxus</t>
        </is>
      </c>
      <c r="D440" s="8" t="inlineStr">
        <is>
          <t>28/04/2026</t>
        </is>
      </c>
      <c r="E440" s="8" t="inlineStr">
        <is>
          <t>29841683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1.9</v>
      </c>
      <c r="J440" s="9" t="inlineStr"/>
      <c r="K440" s="8" t="inlineStr">
        <is>
          <t>Copiar en Flexxus: Tipo=MB-EXT | Movimiento=GRAVAMEN LEY 25.413 S/DEB | Monto=1,90 | Fecha: 28/04/2026</t>
        </is>
      </c>
    </row>
    <row r="441">
      <c r="A441" s="8" t="inlineStr">
        <is>
          <t>PEND-622D373754C3-A001</t>
        </is>
      </c>
      <c r="B441" s="8" t="inlineStr">
        <is>
          <t>ABIERTO</t>
        </is>
      </c>
      <c r="C441" s="8" t="inlineStr">
        <is>
          <t>Banco egreso no Flexxus</t>
        </is>
      </c>
      <c r="D441" s="8" t="inlineStr">
        <is>
          <t>27/04/2026</t>
        </is>
      </c>
      <c r="E441" s="8" t="inlineStr">
        <is>
          <t>108783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1.89</v>
      </c>
      <c r="J441" s="9" t="inlineStr"/>
      <c r="K441" s="8" t="inlineStr">
        <is>
          <t>Copiar en Flexxus: Tipo=MB-EXT | Movimiento=GRAVAMEN LEY 25.413 S/DEB | Monto=1,89 | Fecha: 27/04/2026</t>
        </is>
      </c>
    </row>
    <row r="442">
      <c r="A442" s="8" t="inlineStr">
        <is>
          <t>PEND-67166EB67871-A001</t>
        </is>
      </c>
      <c r="B442" s="8" t="inlineStr">
        <is>
          <t>ABIERTO</t>
        </is>
      </c>
      <c r="C442" s="8" t="inlineStr">
        <is>
          <t>Banco egreso no Flexxus</t>
        </is>
      </c>
      <c r="D442" s="8" t="inlineStr">
        <is>
          <t>27/04/2026</t>
        </is>
      </c>
      <c r="E442" s="8" t="inlineStr">
        <is>
          <t>29841705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1.8</v>
      </c>
      <c r="J442" s="9" t="inlineStr"/>
      <c r="K442" s="8" t="inlineStr">
        <is>
          <t>Copiar en Flexxus: Tipo=MB-EXT | Movimiento=GRAVAMEN LEY 25.413 S/DEB | Monto=1,80 | Fecha: 27/04/2026</t>
        </is>
      </c>
    </row>
    <row r="443">
      <c r="A443" s="8" t="inlineStr">
        <is>
          <t>PEND-7F4E3808FB21-A001</t>
        </is>
      </c>
      <c r="B443" s="8" t="inlineStr">
        <is>
          <t>ABIERTO</t>
        </is>
      </c>
      <c r="C443" s="8" t="inlineStr">
        <is>
          <t>Banco egreso no Flexxus</t>
        </is>
      </c>
      <c r="D443" s="8" t="inlineStr">
        <is>
          <t>28/04/2026</t>
        </is>
      </c>
      <c r="E443" s="8" t="inlineStr">
        <is>
          <t>109282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1.72</v>
      </c>
      <c r="J443" s="9" t="inlineStr"/>
      <c r="K443" s="8" t="inlineStr">
        <is>
          <t>Copiar en Flexxus: Tipo=MB-EXT | Movimiento=GRAVAMEN LEY 25.413 S/DEB | Monto=1,72 | Fecha: 28/04/2026</t>
        </is>
      </c>
    </row>
    <row r="444">
      <c r="A444" s="8" t="inlineStr">
        <is>
          <t>PEND-63412E175E46-A001</t>
        </is>
      </c>
      <c r="B444" s="8" t="inlineStr">
        <is>
          <t>ABIERTO</t>
        </is>
      </c>
      <c r="C444" s="8" t="inlineStr">
        <is>
          <t>Banco egreso no Flexxus</t>
        </is>
      </c>
      <c r="D444" s="8" t="inlineStr">
        <is>
          <t>27/04/2026</t>
        </is>
      </c>
      <c r="E444" s="8" t="inlineStr">
        <is>
          <t>108806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1.68</v>
      </c>
      <c r="J444" s="9" t="inlineStr"/>
      <c r="K444" s="8" t="inlineStr">
        <is>
          <t>Copiar en Flexxus: Tipo=MB-EXT | Movimiento=GRAVAMEN LEY 25.413 S/DEB | Monto=1,68 | Fecha: 27/04/2026</t>
        </is>
      </c>
    </row>
    <row r="445">
      <c r="A445" s="8" t="inlineStr">
        <is>
          <t>PEND-BEE642F364E8-A001</t>
        </is>
      </c>
      <c r="B445" s="8" t="inlineStr">
        <is>
          <t>ABIERTO</t>
        </is>
      </c>
      <c r="C445" s="8" t="inlineStr">
        <is>
          <t>Banco egreso no Flexxus</t>
        </is>
      </c>
      <c r="D445" s="8" t="inlineStr">
        <is>
          <t>27/04/2026</t>
        </is>
      </c>
      <c r="E445" s="8" t="inlineStr">
        <is>
          <t>108829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1.66</v>
      </c>
      <c r="J445" s="9" t="inlineStr"/>
      <c r="K445" s="8" t="inlineStr">
        <is>
          <t>Copiar en Flexxus: Tipo=MB-EXT | Movimiento=GRAVAMEN LEY 25.413 S/DEB | Monto=1,66 | Fecha: 27/04/2026</t>
        </is>
      </c>
    </row>
    <row r="446">
      <c r="A446" s="8" t="inlineStr">
        <is>
          <t>PEND-E0501E193AA6-A001</t>
        </is>
      </c>
      <c r="B446" s="8" t="inlineStr">
        <is>
          <t>ABIERTO</t>
        </is>
      </c>
      <c r="C446" s="8" t="inlineStr">
        <is>
          <t>Banco egreso no Flexxus</t>
        </is>
      </c>
      <c r="D446" s="8" t="inlineStr">
        <is>
          <t>28/04/2026</t>
        </is>
      </c>
      <c r="E446" s="8" t="inlineStr">
        <is>
          <t>29841670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1.63</v>
      </c>
      <c r="J446" s="9" t="inlineStr"/>
      <c r="K446" s="8" t="inlineStr">
        <is>
          <t>Copiar en Flexxus: Tipo=MB-EXT | Movimiento=GRAVAMEN LEY 25.413 S/DEB | Monto=1,63 | Fecha: 28/04/2026</t>
        </is>
      </c>
    </row>
    <row r="447">
      <c r="A447" s="8" t="inlineStr">
        <is>
          <t>PEND-66C080961A8A-A001</t>
        </is>
      </c>
      <c r="B447" s="8" t="inlineStr">
        <is>
          <t>ABIERTO</t>
        </is>
      </c>
      <c r="C447" s="8" t="inlineStr">
        <is>
          <t>Banco egreso no Flexxus</t>
        </is>
      </c>
      <c r="D447" s="8" t="inlineStr">
        <is>
          <t>27/04/2026</t>
        </is>
      </c>
      <c r="E447" s="8" t="inlineStr">
        <is>
          <t>108834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1.61</v>
      </c>
      <c r="J447" s="9" t="inlineStr"/>
      <c r="K447" s="8" t="inlineStr">
        <is>
          <t>Copiar en Flexxus: Tipo=MB-EXT | Movimiento=GRAVAMEN LEY 25.413 S/DEB | Monto=1,61 | Fecha: 27/04/2026</t>
        </is>
      </c>
    </row>
    <row r="448">
      <c r="A448" s="8" t="inlineStr">
        <is>
          <t>PEND-4F481E5F8D38-A001</t>
        </is>
      </c>
      <c r="B448" s="8" t="inlineStr">
        <is>
          <t>ABIERTO</t>
        </is>
      </c>
      <c r="C448" s="8" t="inlineStr">
        <is>
          <t>Banco egreso no Flexxus</t>
        </is>
      </c>
      <c r="D448" s="8" t="inlineStr">
        <is>
          <t>27/04/2026</t>
        </is>
      </c>
      <c r="E448" s="8" t="inlineStr">
        <is>
          <t>108835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1.6</v>
      </c>
      <c r="J448" s="9" t="inlineStr"/>
      <c r="K448" s="8" t="inlineStr">
        <is>
          <t>Copiar en Flexxus: Tipo=MB-EXT | Movimiento=GRAVAMEN LEY 25.413 S/DEB | Monto=1,60 | Fecha: 27/04/2026</t>
        </is>
      </c>
    </row>
    <row r="449">
      <c r="A449" s="8" t="inlineStr">
        <is>
          <t>PEND-370B99E70945-A001</t>
        </is>
      </c>
      <c r="B449" s="8" t="inlineStr">
        <is>
          <t>ABIERTO</t>
        </is>
      </c>
      <c r="C449" s="8" t="inlineStr">
        <is>
          <t>Banco egreso no Flexxus</t>
        </is>
      </c>
      <c r="D449" s="8" t="inlineStr">
        <is>
          <t>27/04/2026</t>
        </is>
      </c>
      <c r="E449" s="8" t="inlineStr">
        <is>
          <t>108813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1.6</v>
      </c>
      <c r="J449" s="9" t="inlineStr"/>
      <c r="K449" s="8" t="inlineStr">
        <is>
          <t>Copiar en Flexxus: Tipo=MB-EXT | Movimiento=GRAVAMEN LEY 25.413 S/DEB | Monto=1,60 | Fecha: 27/04/2026</t>
        </is>
      </c>
    </row>
    <row r="450">
      <c r="A450" s="8" t="inlineStr">
        <is>
          <t>PEND-C720D6B916BE-A001</t>
        </is>
      </c>
      <c r="B450" s="8" t="inlineStr">
        <is>
          <t>ABIERTO</t>
        </is>
      </c>
      <c r="C450" s="8" t="inlineStr">
        <is>
          <t>Banco egreso no Flexxus</t>
        </is>
      </c>
      <c r="D450" s="8" t="inlineStr">
        <is>
          <t>27/04/2026</t>
        </is>
      </c>
      <c r="E450" s="8" t="inlineStr">
        <is>
          <t>108805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1.6</v>
      </c>
      <c r="J450" s="9" t="inlineStr"/>
      <c r="K450" s="8" t="inlineStr">
        <is>
          <t>Copiar en Flexxus: Tipo=MB-EXT | Movimiento=GRAVAMEN LEY 25.413 S/DEB | Monto=1,60 | Fecha: 27/04/2026</t>
        </is>
      </c>
    </row>
    <row r="451">
      <c r="A451" s="8" t="inlineStr">
        <is>
          <t>PEND-DF03769779EE-A001</t>
        </is>
      </c>
      <c r="B451" s="8" t="inlineStr">
        <is>
          <t>ABIERTO</t>
        </is>
      </c>
      <c r="C451" s="8" t="inlineStr">
        <is>
          <t>Banco egreso no Flexxus</t>
        </is>
      </c>
      <c r="D451" s="8" t="inlineStr">
        <is>
          <t>27/04/2026</t>
        </is>
      </c>
      <c r="E451" s="8" t="inlineStr">
        <is>
          <t>108765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1.6</v>
      </c>
      <c r="J451" s="9" t="inlineStr"/>
      <c r="K451" s="8" t="inlineStr">
        <is>
          <t>Copiar en Flexxus: Tipo=MB-EXT | Movimiento=GRAVAMEN LEY 25.413 S/DEB | Monto=1,60 | Fecha: 27/04/2026</t>
        </is>
      </c>
    </row>
    <row r="452">
      <c r="A452" s="8" t="inlineStr">
        <is>
          <t>PEND-EE41D15AAB79-A001</t>
        </is>
      </c>
      <c r="B452" s="8" t="inlineStr">
        <is>
          <t>ABIERTO</t>
        </is>
      </c>
      <c r="C452" s="8" t="inlineStr">
        <is>
          <t>Banco egreso no Flexxus</t>
        </is>
      </c>
      <c r="D452" s="8" t="inlineStr">
        <is>
          <t>27/04/2026</t>
        </is>
      </c>
      <c r="E452" s="8" t="inlineStr">
        <is>
          <t>108797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1.53</v>
      </c>
      <c r="J452" s="9" t="inlineStr"/>
      <c r="K452" s="8" t="inlineStr">
        <is>
          <t>Copiar en Flexxus: Tipo=MB-EXT | Movimiento=GRAVAMEN LEY 25.413 S/DEB | Monto=1,53 | Fecha: 27/04/2026</t>
        </is>
      </c>
    </row>
    <row r="453">
      <c r="A453" s="8" t="inlineStr">
        <is>
          <t>PEND-4644FC147B49-A001</t>
        </is>
      </c>
      <c r="B453" s="8" t="inlineStr">
        <is>
          <t>ABIERTO</t>
        </is>
      </c>
      <c r="C453" s="8" t="inlineStr">
        <is>
          <t>Banco egreso no Flexxus</t>
        </is>
      </c>
      <c r="D453" s="8" t="inlineStr">
        <is>
          <t>27/04/2026</t>
        </is>
      </c>
      <c r="E453" s="8" t="inlineStr">
        <is>
          <t>108847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1.49</v>
      </c>
      <c r="J453" s="9" t="inlineStr"/>
      <c r="K453" s="8" t="inlineStr">
        <is>
          <t>Copiar en Flexxus: Tipo=MB-EXT | Movimiento=GRAVAMEN LEY 25.413 S/DEB | Monto=1,49 | Fecha: 27/04/2026</t>
        </is>
      </c>
    </row>
    <row r="454">
      <c r="A454" s="8" t="inlineStr">
        <is>
          <t>PEND-8606CA67D770-A001</t>
        </is>
      </c>
      <c r="B454" s="8" t="inlineStr">
        <is>
          <t>ABIERTO</t>
        </is>
      </c>
      <c r="C454" s="8" t="inlineStr">
        <is>
          <t>Banco egreso no Flexxus</t>
        </is>
      </c>
      <c r="D454" s="8" t="inlineStr">
        <is>
          <t>27/04/2026</t>
        </is>
      </c>
      <c r="E454" s="8" t="inlineStr">
        <is>
          <t>108823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1.49</v>
      </c>
      <c r="J454" s="9" t="inlineStr"/>
      <c r="K454" s="8" t="inlineStr">
        <is>
          <t>Copiar en Flexxus: Tipo=MB-EXT | Movimiento=GRAVAMEN LEY 25.413 S/DEB | Monto=1,49 | Fecha: 27/04/2026</t>
        </is>
      </c>
    </row>
    <row r="455">
      <c r="A455" s="8" t="inlineStr">
        <is>
          <t>PEND-AA4F5FA54512-A001</t>
        </is>
      </c>
      <c r="B455" s="8" t="inlineStr">
        <is>
          <t>ABIERTO</t>
        </is>
      </c>
      <c r="C455" s="8" t="inlineStr">
        <is>
          <t>Banco egreso no Flexxus</t>
        </is>
      </c>
      <c r="D455" s="8" t="inlineStr">
        <is>
          <t>27/04/2026</t>
        </is>
      </c>
      <c r="E455" s="8" t="inlineStr">
        <is>
          <t>108789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1.49</v>
      </c>
      <c r="J455" s="9" t="inlineStr"/>
      <c r="K455" s="8" t="inlineStr">
        <is>
          <t>Copiar en Flexxus: Tipo=MB-EXT | Movimiento=GRAVAMEN LEY 25.413 S/DEB | Monto=1,49 | Fecha: 27/04/2026</t>
        </is>
      </c>
    </row>
    <row r="456">
      <c r="A456" s="8" t="inlineStr">
        <is>
          <t>PEND-25F8990E9DC8-A001</t>
        </is>
      </c>
      <c r="B456" s="8" t="inlineStr">
        <is>
          <t>ABIERTO</t>
        </is>
      </c>
      <c r="C456" s="8" t="inlineStr">
        <is>
          <t>Banco egreso no Flexxus</t>
        </is>
      </c>
      <c r="D456" s="8" t="inlineStr">
        <is>
          <t>27/04/2026</t>
        </is>
      </c>
      <c r="E456" s="8" t="inlineStr">
        <is>
          <t>108809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1.47</v>
      </c>
      <c r="J456" s="9" t="inlineStr"/>
      <c r="K456" s="8" t="inlineStr">
        <is>
          <t>Copiar en Flexxus: Tipo=MB-EXT | Movimiento=GRAVAMEN LEY 25.413 S/DEB | Monto=1,47 | Fecha: 27/04/2026</t>
        </is>
      </c>
    </row>
    <row r="457">
      <c r="A457" s="8" t="inlineStr">
        <is>
          <t>PEND-4B656B1FE11D-A001</t>
        </is>
      </c>
      <c r="B457" s="8" t="inlineStr">
        <is>
          <t>ABIERTO</t>
        </is>
      </c>
      <c r="C457" s="8" t="inlineStr">
        <is>
          <t>Banco egreso no Flexxus</t>
        </is>
      </c>
      <c r="D457" s="8" t="inlineStr">
        <is>
          <t>27/04/2026</t>
        </is>
      </c>
      <c r="E457" s="8" t="inlineStr">
        <is>
          <t>108844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1.46</v>
      </c>
      <c r="J457" s="9" t="inlineStr"/>
      <c r="K457" s="8" t="inlineStr">
        <is>
          <t>Copiar en Flexxus: Tipo=MB-EXT | Movimiento=GRAVAMEN LEY 25.413 S/DEB | Monto=1,46 | Fecha: 27/04/2026</t>
        </is>
      </c>
    </row>
    <row r="458">
      <c r="A458" s="8" t="inlineStr">
        <is>
          <t>PEND-83DB16D4340C-A001</t>
        </is>
      </c>
      <c r="B458" s="8" t="inlineStr">
        <is>
          <t>ABIERTO</t>
        </is>
      </c>
      <c r="C458" s="8" t="inlineStr">
        <is>
          <t>Banco egreso no Flexxus</t>
        </is>
      </c>
      <c r="D458" s="8" t="inlineStr">
        <is>
          <t>27/04/2026</t>
        </is>
      </c>
      <c r="E458" s="8" t="inlineStr">
        <is>
          <t>108803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1.46</v>
      </c>
      <c r="J458" s="9" t="inlineStr"/>
      <c r="K458" s="8" t="inlineStr">
        <is>
          <t>Copiar en Flexxus: Tipo=MB-EXT | Movimiento=GRAVAMEN LEY 25.413 S/DEB | Monto=1,46 | Fecha: 27/04/2026</t>
        </is>
      </c>
    </row>
    <row r="459">
      <c r="A459" s="8" t="inlineStr">
        <is>
          <t>PEND-1C0DB8A916EA-A001</t>
        </is>
      </c>
      <c r="B459" s="8" t="inlineStr">
        <is>
          <t>ABIERTO</t>
        </is>
      </c>
      <c r="C459" s="8" t="inlineStr">
        <is>
          <t>Banco egreso no Flexxus</t>
        </is>
      </c>
      <c r="D459" s="8" t="inlineStr">
        <is>
          <t>27/04/2026</t>
        </is>
      </c>
      <c r="E459" s="8" t="inlineStr">
        <is>
          <t>108828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1.43</v>
      </c>
      <c r="J459" s="9" t="inlineStr"/>
      <c r="K459" s="8" t="inlineStr">
        <is>
          <t>Copiar en Flexxus: Tipo=MB-EXT | Movimiento=GRAVAMEN LEY 25.413 S/DEB | Monto=1,43 | Fecha: 27/04/2026</t>
        </is>
      </c>
    </row>
    <row r="460">
      <c r="A460" s="8" t="inlineStr">
        <is>
          <t>PEND-4B88EB731C8F-A001</t>
        </is>
      </c>
      <c r="B460" s="8" t="inlineStr">
        <is>
          <t>ABIERTO</t>
        </is>
      </c>
      <c r="C460" s="8" t="inlineStr">
        <is>
          <t>Banco egreso no Flexxus</t>
        </is>
      </c>
      <c r="D460" s="8" t="inlineStr">
        <is>
          <t>27/04/2026</t>
        </is>
      </c>
      <c r="E460" s="8" t="inlineStr">
        <is>
          <t>108820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1.43</v>
      </c>
      <c r="J460" s="9" t="inlineStr"/>
      <c r="K460" s="8" t="inlineStr">
        <is>
          <t>Copiar en Flexxus: Tipo=MB-EXT | Movimiento=GRAVAMEN LEY 25.413 S/DEB | Monto=1,43 | Fecha: 27/04/2026</t>
        </is>
      </c>
    </row>
    <row r="461">
      <c r="A461" s="8" t="inlineStr">
        <is>
          <t>PEND-505CC8311E06-A001</t>
        </is>
      </c>
      <c r="B461" s="8" t="inlineStr">
        <is>
          <t>ABIERTO</t>
        </is>
      </c>
      <c r="C461" s="8" t="inlineStr">
        <is>
          <t>Banco egreso no Flexxus</t>
        </is>
      </c>
      <c r="D461" s="8" t="inlineStr">
        <is>
          <t>27/04/2026</t>
        </is>
      </c>
      <c r="E461" s="8" t="inlineStr">
        <is>
          <t>29841683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1.41</v>
      </c>
      <c r="J461" s="9" t="inlineStr"/>
      <c r="K461" s="8" t="inlineStr">
        <is>
          <t>Copiar en Flexxus: Tipo=MB-EXT | Movimiento=GRAVAMEN LEY 25.413 S/DEB | Monto=1,41 | Fecha: 27/04/2026</t>
        </is>
      </c>
    </row>
    <row r="462">
      <c r="A462" s="8" t="inlineStr">
        <is>
          <t>PEND-92D84B85AEEE-A001</t>
        </is>
      </c>
      <c r="B462" s="8" t="inlineStr">
        <is>
          <t>ABIERTO</t>
        </is>
      </c>
      <c r="C462" s="8" t="inlineStr">
        <is>
          <t>Banco egreso no Flexxus</t>
        </is>
      </c>
      <c r="D462" s="8" t="inlineStr">
        <is>
          <t>27/04/2026</t>
        </is>
      </c>
      <c r="E462" s="8" t="inlineStr">
        <is>
          <t>108826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1.37</v>
      </c>
      <c r="J462" s="9" t="inlineStr"/>
      <c r="K462" s="8" t="inlineStr">
        <is>
          <t>Copiar en Flexxus: Tipo=MB-EXT | Movimiento=GRAVAMEN LEY 25.413 S/DEB | Monto=1,37 | Fecha: 27/04/2026</t>
        </is>
      </c>
    </row>
    <row r="463">
      <c r="A463" s="8" t="inlineStr">
        <is>
          <t>PEND-C255B42B26C5-A001</t>
        </is>
      </c>
      <c r="B463" s="8" t="inlineStr">
        <is>
          <t>ABIERTO</t>
        </is>
      </c>
      <c r="C463" s="8" t="inlineStr">
        <is>
          <t>Banco egreso no Flexxus</t>
        </is>
      </c>
      <c r="D463" s="8" t="inlineStr">
        <is>
          <t>27/04/2026</t>
        </is>
      </c>
      <c r="E463" s="8" t="inlineStr">
        <is>
          <t>108814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1.37</v>
      </c>
      <c r="J463" s="9" t="inlineStr"/>
      <c r="K463" s="8" t="inlineStr">
        <is>
          <t>Copiar en Flexxus: Tipo=MB-EXT | Movimiento=GRAVAMEN LEY 25.413 S/DEB | Monto=1,37 | Fecha: 27/04/2026</t>
        </is>
      </c>
    </row>
    <row r="464">
      <c r="A464" s="8" t="inlineStr">
        <is>
          <t>PEND-FCC295003ACC-A001</t>
        </is>
      </c>
      <c r="B464" s="8" t="inlineStr">
        <is>
          <t>ABIERTO</t>
        </is>
      </c>
      <c r="C464" s="8" t="inlineStr">
        <is>
          <t>Banco egreso no Flexxus</t>
        </is>
      </c>
      <c r="D464" s="8" t="inlineStr">
        <is>
          <t>27/04/2026</t>
        </is>
      </c>
      <c r="E464" s="8" t="inlineStr">
        <is>
          <t>108766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1.37</v>
      </c>
      <c r="J464" s="9" t="inlineStr"/>
      <c r="K464" s="8" t="inlineStr">
        <is>
          <t>Copiar en Flexxus: Tipo=MB-EXT | Movimiento=GRAVAMEN LEY 25.413 S/DEB | Monto=1,37 | Fecha: 27/04/2026</t>
        </is>
      </c>
    </row>
    <row r="465">
      <c r="A465" s="8" t="inlineStr">
        <is>
          <t>PEND-5080AEA64BD6-A001</t>
        </is>
      </c>
      <c r="B465" s="8" t="inlineStr">
        <is>
          <t>ABIERTO</t>
        </is>
      </c>
      <c r="C465" s="8" t="inlineStr">
        <is>
          <t>Banco egreso no Flexxus</t>
        </is>
      </c>
      <c r="D465" s="8" t="inlineStr">
        <is>
          <t>28/04/2026</t>
        </is>
      </c>
      <c r="E465" s="8" t="inlineStr">
        <is>
          <t>109284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1.28</v>
      </c>
      <c r="J465" s="9" t="inlineStr"/>
      <c r="K465" s="8" t="inlineStr">
        <is>
          <t>Copiar en Flexxus: Tipo=MB-EXT | Movimiento=GRAVAMEN LEY 25.413 S/DEB | Monto=1,28 | Fecha: 28/04/2026</t>
        </is>
      </c>
    </row>
    <row r="466">
      <c r="A466" s="8" t="inlineStr">
        <is>
          <t>PEND-6226F267D176-A001</t>
        </is>
      </c>
      <c r="B466" s="8" t="inlineStr">
        <is>
          <t>ABIERTO</t>
        </is>
      </c>
      <c r="C466" s="8" t="inlineStr">
        <is>
          <t>Banco egreso no Flexxus</t>
        </is>
      </c>
      <c r="D466" s="8" t="inlineStr">
        <is>
          <t>28/04/2026</t>
        </is>
      </c>
      <c r="E466" s="8" t="inlineStr">
        <is>
          <t>109285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1.27</v>
      </c>
      <c r="J466" s="9" t="inlineStr"/>
      <c r="K466" s="8" t="inlineStr">
        <is>
          <t>Copiar en Flexxus: Tipo=MB-EXT | Movimiento=GRAVAMEN LEY 25.413 S/DEB | Monto=1,27 | Fecha: 28/04/2026</t>
        </is>
      </c>
    </row>
    <row r="467">
      <c r="A467" s="8" t="inlineStr">
        <is>
          <t>PEND-98133263776E-A001</t>
        </is>
      </c>
      <c r="B467" s="8" t="inlineStr">
        <is>
          <t>ABIERTO</t>
        </is>
      </c>
      <c r="C467" s="8" t="inlineStr">
        <is>
          <t>Banco egreso no Flexxus</t>
        </is>
      </c>
      <c r="D467" s="8" t="inlineStr">
        <is>
          <t>27/04/2026</t>
        </is>
      </c>
      <c r="E467" s="8" t="inlineStr">
        <is>
          <t>108880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1.2</v>
      </c>
      <c r="J467" s="9" t="inlineStr"/>
      <c r="K467" s="8" t="inlineStr">
        <is>
          <t>Copiar en Flexxus: Tipo=MB-EXT | Movimiento=GRAVAMEN LEY 25.413 S/DEB | Monto=1,20 | Fecha: 27/04/2026</t>
        </is>
      </c>
    </row>
    <row r="468">
      <c r="A468" s="8" t="inlineStr">
        <is>
          <t>PEND-CC4164B1D088-A001</t>
        </is>
      </c>
      <c r="B468" s="8" t="inlineStr">
        <is>
          <t>ABIERTO</t>
        </is>
      </c>
      <c r="C468" s="8" t="inlineStr">
        <is>
          <t>Banco egreso no Flexxus</t>
        </is>
      </c>
      <c r="D468" s="8" t="inlineStr">
        <is>
          <t>27/04/2026</t>
        </is>
      </c>
      <c r="E468" s="8" t="inlineStr">
        <is>
          <t>29841642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1.13</v>
      </c>
      <c r="J468" s="9" t="inlineStr"/>
      <c r="K468" s="8" t="inlineStr">
        <is>
          <t>Copiar en Flexxus: Tipo=MB-EXT | Movimiento=GRAVAMEN LEY 25.413 S/DEB | Monto=1,13 | Fecha: 27/04/2026</t>
        </is>
      </c>
    </row>
    <row r="469">
      <c r="A469" s="8" t="inlineStr">
        <is>
          <t>PEND-E80BD4EE954C-A001</t>
        </is>
      </c>
      <c r="B469" s="8" t="inlineStr">
        <is>
          <t>ABIERTO</t>
        </is>
      </c>
      <c r="C469" s="8" t="inlineStr">
        <is>
          <t>Banco egreso no Flexxus</t>
        </is>
      </c>
      <c r="D469" s="8" t="inlineStr">
        <is>
          <t>27/04/2026</t>
        </is>
      </c>
      <c r="E469" s="8" t="inlineStr">
        <is>
          <t>108792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1.13</v>
      </c>
      <c r="J469" s="9" t="inlineStr"/>
      <c r="K469" s="8" t="inlineStr">
        <is>
          <t>Copiar en Flexxus: Tipo=MB-EXT | Movimiento=GRAVAMEN LEY 25.413 S/DEB | Monto=1,13 | Fecha: 27/04/2026</t>
        </is>
      </c>
    </row>
    <row r="470">
      <c r="A470" s="8" t="inlineStr">
        <is>
          <t>PEND-84B62F6DE4D1-A001</t>
        </is>
      </c>
      <c r="B470" s="8" t="inlineStr">
        <is>
          <t>ABIERTO</t>
        </is>
      </c>
      <c r="C470" s="8" t="inlineStr">
        <is>
          <t>Banco egreso no Flexxus</t>
        </is>
      </c>
      <c r="D470" s="8" t="inlineStr">
        <is>
          <t>27/04/2026</t>
        </is>
      </c>
      <c r="E470" s="8" t="inlineStr">
        <is>
          <t>108819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1</v>
      </c>
      <c r="J470" s="9" t="inlineStr"/>
      <c r="K470" s="8" t="inlineStr">
        <is>
          <t>Copiar en Flexxus: Tipo=MB-EXT | Movimiento=GRAVAMEN LEY 25.413 S/DEB | Monto=1,00 | Fecha: 27/04/2026</t>
        </is>
      </c>
    </row>
    <row r="471">
      <c r="A471" s="8" t="inlineStr">
        <is>
          <t>PEND-28413A593B7A-A001</t>
        </is>
      </c>
      <c r="B471" s="8" t="inlineStr">
        <is>
          <t>ABIERTO</t>
        </is>
      </c>
      <c r="C471" s="8" t="inlineStr">
        <is>
          <t>Banco egreso no Flexxus</t>
        </is>
      </c>
      <c r="D471" s="8" t="inlineStr">
        <is>
          <t>27/04/2026</t>
        </is>
      </c>
      <c r="E471" s="8" t="inlineStr">
        <is>
          <t>108808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0.89</v>
      </c>
      <c r="J471" s="9" t="inlineStr"/>
      <c r="K471" s="8" t="inlineStr">
        <is>
          <t>Copiar en Flexxus: Tipo=MB-EXT | Movimiento=GRAVAMEN LEY 25.413 S/DEB | Monto=0,89 | Fecha: 27/04/2026</t>
        </is>
      </c>
    </row>
    <row r="472">
      <c r="A472" s="8" t="inlineStr">
        <is>
          <t>PEND-4FB475A056D0-A001</t>
        </is>
      </c>
      <c r="B472" s="8" t="inlineStr">
        <is>
          <t>ABIERTO</t>
        </is>
      </c>
      <c r="C472" s="8" t="inlineStr">
        <is>
          <t>Banco egreso no Flexxus</t>
        </is>
      </c>
      <c r="D472" s="8" t="inlineStr">
        <is>
          <t>27/04/2026</t>
        </is>
      </c>
      <c r="E472" s="8" t="inlineStr">
        <is>
          <t>108815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0.88</v>
      </c>
      <c r="J472" s="9" t="inlineStr"/>
      <c r="K472" s="8" t="inlineStr">
        <is>
          <t>Copiar en Flexxus: Tipo=MB-EXT | Movimiento=GRAVAMEN LEY 25.413 S/DEB | Monto=0,88 | Fecha: 27/04/2026</t>
        </is>
      </c>
    </row>
    <row r="473">
      <c r="A473" s="8" t="inlineStr">
        <is>
          <t>PEND-EF2DD414F03F-A001</t>
        </is>
      </c>
      <c r="B473" s="8" t="inlineStr">
        <is>
          <t>ABIERTO</t>
        </is>
      </c>
      <c r="C473" s="8" t="inlineStr">
        <is>
          <t>Banco egreso no Flexxus</t>
        </is>
      </c>
      <c r="D473" s="8" t="inlineStr">
        <is>
          <t>27/04/2026</t>
        </is>
      </c>
      <c r="E473" s="8" t="inlineStr">
        <is>
          <t>29841627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0.8</v>
      </c>
      <c r="J473" s="9" t="inlineStr"/>
      <c r="K473" s="8" t="inlineStr">
        <is>
          <t>Copiar en Flexxus: Tipo=MB-EXT | Movimiento=GRAVAMEN LEY 25.413 S/DEB | Monto=0,80 | Fecha: 27/04/2026</t>
        </is>
      </c>
    </row>
    <row r="474">
      <c r="A474" s="8" t="inlineStr">
        <is>
          <t>PEND-2DAB7884162E-A001</t>
        </is>
      </c>
      <c r="B474" s="8" t="inlineStr">
        <is>
          <t>ABIERTO</t>
        </is>
      </c>
      <c r="C474" s="8" t="inlineStr">
        <is>
          <t>Banco egreso no Flexxus</t>
        </is>
      </c>
      <c r="D474" s="8" t="inlineStr">
        <is>
          <t>27/04/2026</t>
        </is>
      </c>
      <c r="E474" s="8" t="inlineStr">
        <is>
          <t>108825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0.8</v>
      </c>
      <c r="J474" s="9" t="inlineStr"/>
      <c r="K474" s="8" t="inlineStr">
        <is>
          <t>Copiar en Flexxus: Tipo=MB-EXT | Movimiento=GRAVAMEN LEY 25.413 S/DEB | Monto=0,80 | Fecha: 27/04/2026</t>
        </is>
      </c>
    </row>
    <row r="475">
      <c r="A475" s="8" t="inlineStr">
        <is>
          <t>PEND-E4CE7A29E34D-A001</t>
        </is>
      </c>
      <c r="B475" s="8" t="inlineStr">
        <is>
          <t>ABIERTO</t>
        </is>
      </c>
      <c r="C475" s="8" t="inlineStr">
        <is>
          <t>Banco egreso no Flexxus</t>
        </is>
      </c>
      <c r="D475" s="8" t="inlineStr">
        <is>
          <t>27/04/2026</t>
        </is>
      </c>
      <c r="E475" s="8" t="inlineStr">
        <is>
          <t>108816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0.8</v>
      </c>
      <c r="J475" s="9" t="inlineStr"/>
      <c r="K475" s="8" t="inlineStr">
        <is>
          <t>Copiar en Flexxus: Tipo=MB-EXT | Movimiento=GRAVAMEN LEY 25.413 S/DEB | Monto=0,80 | Fecha: 27/04/2026</t>
        </is>
      </c>
    </row>
    <row r="476">
      <c r="A476" s="8" t="inlineStr">
        <is>
          <t>PEND-EE6DEB71DDE5-A001</t>
        </is>
      </c>
      <c r="B476" s="8" t="inlineStr">
        <is>
          <t>ABIERTO</t>
        </is>
      </c>
      <c r="C476" s="8" t="inlineStr">
        <is>
          <t>Banco egreso no Flexxus</t>
        </is>
      </c>
      <c r="D476" s="8" t="inlineStr">
        <is>
          <t>27/04/2026</t>
        </is>
      </c>
      <c r="E476" s="8" t="inlineStr">
        <is>
          <t>108767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0.8</v>
      </c>
      <c r="J476" s="9" t="inlineStr"/>
      <c r="K476" s="8" t="inlineStr">
        <is>
          <t>Copiar en Flexxus: Tipo=MB-EXT | Movimiento=GRAVAMEN LEY 25.413 S/DEB | Monto=0,80 | Fecha: 27/04/2026</t>
        </is>
      </c>
    </row>
    <row r="477">
      <c r="A477" s="8" t="inlineStr">
        <is>
          <t>PEND-198499142FC1-A001</t>
        </is>
      </c>
      <c r="B477" s="8" t="inlineStr">
        <is>
          <t>ABIERTO</t>
        </is>
      </c>
      <c r="C477" s="8" t="inlineStr">
        <is>
          <t>Banco egreso no Flexxus</t>
        </is>
      </c>
      <c r="D477" s="8" t="inlineStr">
        <is>
          <t>27/04/2026</t>
        </is>
      </c>
      <c r="E477" s="8" t="inlineStr">
        <is>
          <t>108764</t>
        </is>
      </c>
      <c r="F477" s="8" t="inlineStr">
        <is>
          <t>GRAVAMEN LEY 25413 S/DEB</t>
        </is>
      </c>
      <c r="G477" s="8" t="inlineStr">
        <is>
          <t>Anticipo Ganancias Ley 25.413 débitos</t>
        </is>
      </c>
      <c r="H477" s="8" t="inlineStr">
        <is>
          <t>Anticipo Impuesto a las Ganancias</t>
        </is>
      </c>
      <c r="I477" s="9" t="n">
        <v>0.8</v>
      </c>
      <c r="J477" s="9" t="inlineStr"/>
      <c r="K477" s="8" t="inlineStr">
        <is>
          <t>Copiar en Flexxus: Tipo=MB-EXT | Movimiento=GRAVAMEN LEY 25.413 S/DEB | Monto=0,80 | Fecha: 27/04/2026</t>
        </is>
      </c>
    </row>
    <row r="478">
      <c r="A478" s="8" t="inlineStr">
        <is>
          <t>PEND-082BB8906C6D-A001</t>
        </is>
      </c>
      <c r="B478" s="8" t="inlineStr">
        <is>
          <t>ABIERTO</t>
        </is>
      </c>
      <c r="C478" s="8" t="inlineStr">
        <is>
          <t>Banco egreso no Flexxus</t>
        </is>
      </c>
      <c r="D478" s="8" t="inlineStr">
        <is>
          <t>28/04/2026</t>
        </is>
      </c>
      <c r="E478" s="8" t="inlineStr">
        <is>
          <t>109287</t>
        </is>
      </c>
      <c r="F478" s="8" t="inlineStr">
        <is>
          <t>GRAVAMEN LEY 25413 S/DEB</t>
        </is>
      </c>
      <c r="G478" s="8" t="inlineStr">
        <is>
          <t>Anticipo Ganancias Ley 25.413 débitos</t>
        </is>
      </c>
      <c r="H478" s="8" t="inlineStr">
        <is>
          <t>Anticipo Impuesto a las Ganancias</t>
        </is>
      </c>
      <c r="I478" s="9" t="n">
        <v>0.8</v>
      </c>
      <c r="J478" s="9" t="inlineStr"/>
      <c r="K478" s="8" t="inlineStr">
        <is>
          <t>Copiar en Flexxus: Tipo=MB-EXT | Movimiento=GRAVAMEN LEY 25.413 S/DEB | Monto=0,80 | Fecha: 28/04/2026</t>
        </is>
      </c>
    </row>
    <row r="479">
      <c r="A479" s="8" t="inlineStr">
        <is>
          <t>PEND-01D5E791B778-A001</t>
        </is>
      </c>
      <c r="B479" s="8" t="inlineStr">
        <is>
          <t>ABIERTO</t>
        </is>
      </c>
      <c r="C479" s="8" t="inlineStr">
        <is>
          <t>Banco egreso no Flexxus</t>
        </is>
      </c>
      <c r="D479" s="8" t="inlineStr">
        <is>
          <t>27/04/2026</t>
        </is>
      </c>
      <c r="E479" s="8" t="inlineStr">
        <is>
          <t>108776</t>
        </is>
      </c>
      <c r="F479" s="8" t="inlineStr">
        <is>
          <t>GRAVAMEN LEY 25413 S/DEB</t>
        </is>
      </c>
      <c r="G479" s="8" t="inlineStr">
        <is>
          <t>Anticipo Ganancias Ley 25.413 débitos</t>
        </is>
      </c>
      <c r="H479" s="8" t="inlineStr">
        <is>
          <t>Anticipo Impuesto a las Ganancias</t>
        </is>
      </c>
      <c r="I479" s="9" t="n">
        <v>0.79</v>
      </c>
      <c r="J479" s="9" t="inlineStr"/>
      <c r="K479" s="8" t="inlineStr">
        <is>
          <t>Copiar en Flexxus: Tipo=MB-EXT | Movimiento=GRAVAMEN LEY 25.413 S/DEB | Monto=0,79 | Fecha: 27/04/2026</t>
        </is>
      </c>
    </row>
    <row r="480">
      <c r="A480" s="8" t="inlineStr">
        <is>
          <t>PEND-1D71FFF604C4-A001</t>
        </is>
      </c>
      <c r="B480" s="8" t="inlineStr">
        <is>
          <t>ABIERTO</t>
        </is>
      </c>
      <c r="C480" s="8" t="inlineStr">
        <is>
          <t>Banco egreso no Flexxus</t>
        </is>
      </c>
      <c r="D480" s="8" t="inlineStr">
        <is>
          <t>27/04/2026</t>
        </is>
      </c>
      <c r="E480" s="8" t="inlineStr">
        <is>
          <t>108794</t>
        </is>
      </c>
      <c r="F480" s="8" t="inlineStr">
        <is>
          <t>GRAVAMEN LEY 25413 S/DEB</t>
        </is>
      </c>
      <c r="G480" s="8" t="inlineStr">
        <is>
          <t>Anticipo Ganancias Ley 25.413 débitos</t>
        </is>
      </c>
      <c r="H480" s="8" t="inlineStr">
        <is>
          <t>Anticipo Impuesto a las Ganancias</t>
        </is>
      </c>
      <c r="I480" s="9" t="n">
        <v>0.75</v>
      </c>
      <c r="J480" s="9" t="inlineStr"/>
      <c r="K480" s="8" t="inlineStr">
        <is>
          <t>Copiar en Flexxus: Tipo=MB-EXT | Movimiento=GRAVAMEN LEY 25.413 S/DEB | Monto=0,75 | Fecha: 27/04/2026</t>
        </is>
      </c>
    </row>
    <row r="481">
      <c r="A481" s="8" t="inlineStr">
        <is>
          <t>PEND-1D68A8F567D5-A001</t>
        </is>
      </c>
      <c r="B481" s="8" t="inlineStr">
        <is>
          <t>ABIERTO</t>
        </is>
      </c>
      <c r="C481" s="8" t="inlineStr">
        <is>
          <t>Banco egreso no Flexxus</t>
        </is>
      </c>
      <c r="D481" s="8" t="inlineStr">
        <is>
          <t>27/04/2026</t>
        </is>
      </c>
      <c r="E481" s="8" t="inlineStr">
        <is>
          <t>108831</t>
        </is>
      </c>
      <c r="F481" s="8" t="inlineStr">
        <is>
          <t>GRAVAMEN LEY 25413 S/DEB</t>
        </is>
      </c>
      <c r="G481" s="8" t="inlineStr">
        <is>
          <t>Anticipo Ganancias Ley 25.413 débitos</t>
        </is>
      </c>
      <c r="H481" s="8" t="inlineStr">
        <is>
          <t>Anticipo Impuesto a las Ganancias</t>
        </is>
      </c>
      <c r="I481" s="9" t="n">
        <v>0.74</v>
      </c>
      <c r="J481" s="9" t="inlineStr"/>
      <c r="K481" s="8" t="inlineStr">
        <is>
          <t>Copiar en Flexxus: Tipo=MB-EXT | Movimiento=GRAVAMEN LEY 25.413 S/DEB | Monto=0,74 | Fecha: 27/04/2026</t>
        </is>
      </c>
    </row>
    <row r="482">
      <c r="A482" s="8" t="inlineStr">
        <is>
          <t>PEND-0B310409FE63-A001</t>
        </is>
      </c>
      <c r="B482" s="8" t="inlineStr">
        <is>
          <t>ABIERTO</t>
        </is>
      </c>
      <c r="C482" s="8" t="inlineStr">
        <is>
          <t>Banco egreso no Flexxus</t>
        </is>
      </c>
      <c r="D482" s="8" t="inlineStr">
        <is>
          <t>27/04/2026</t>
        </is>
      </c>
      <c r="E482" s="8" t="inlineStr">
        <is>
          <t>108779</t>
        </is>
      </c>
      <c r="F482" s="8" t="inlineStr">
        <is>
          <t>GRAVAMEN LEY 25413 S/DEB</t>
        </is>
      </c>
      <c r="G482" s="8" t="inlineStr">
        <is>
          <t>Anticipo Ganancias Ley 25.413 débitos</t>
        </is>
      </c>
      <c r="H482" s="8" t="inlineStr">
        <is>
          <t>Anticipo Impuesto a las Ganancias</t>
        </is>
      </c>
      <c r="I482" s="9" t="n">
        <v>0.74</v>
      </c>
      <c r="J482" s="9" t="inlineStr"/>
      <c r="K482" s="8" t="inlineStr">
        <is>
          <t>Copiar en Flexxus: Tipo=MB-EXT | Movimiento=GRAVAMEN LEY 25.413 S/DEB | Monto=0,74 | Fecha: 27/04/2026</t>
        </is>
      </c>
    </row>
    <row r="483">
      <c r="A483" s="8" t="inlineStr">
        <is>
          <t>PEND-015B825C674F-A001</t>
        </is>
      </c>
      <c r="B483" s="8" t="inlineStr">
        <is>
          <t>ABIERTO</t>
        </is>
      </c>
      <c r="C483" s="8" t="inlineStr">
        <is>
          <t>Banco egreso no Flexxus</t>
        </is>
      </c>
      <c r="D483" s="8" t="inlineStr">
        <is>
          <t>27/04/2026</t>
        </is>
      </c>
      <c r="E483" s="8" t="inlineStr">
        <is>
          <t>108832</t>
        </is>
      </c>
      <c r="F483" s="8" t="inlineStr">
        <is>
          <t>GRAVAMEN LEY 25413 S/DEB</t>
        </is>
      </c>
      <c r="G483" s="8" t="inlineStr">
        <is>
          <t>Anticipo Ganancias Ley 25.413 débitos</t>
        </is>
      </c>
      <c r="H483" s="8" t="inlineStr">
        <is>
          <t>Anticipo Impuesto a las Ganancias</t>
        </is>
      </c>
      <c r="I483" s="9" t="n">
        <v>0.7</v>
      </c>
      <c r="J483" s="9" t="inlineStr"/>
      <c r="K483" s="8" t="inlineStr">
        <is>
          <t>Copiar en Flexxus: Tipo=MB-EXT | Movimiento=GRAVAMEN LEY 25.413 S/DEB | Monto=0,70 | Fecha: 27/04/2026</t>
        </is>
      </c>
    </row>
    <row r="484">
      <c r="A484" s="8" t="inlineStr">
        <is>
          <t>PEND-32F9D3D00CE7-A001</t>
        </is>
      </c>
      <c r="B484" s="8" t="inlineStr">
        <is>
          <t>ABIERTO</t>
        </is>
      </c>
      <c r="C484" s="8" t="inlineStr">
        <is>
          <t>Banco egreso no Flexxus</t>
        </is>
      </c>
      <c r="D484" s="8" t="inlineStr">
        <is>
          <t>27/04/2026</t>
        </is>
      </c>
      <c r="E484" s="8" t="inlineStr">
        <is>
          <t>108843</t>
        </is>
      </c>
      <c r="F484" s="8" t="inlineStr">
        <is>
          <t>GRAVAMEN LEY 25413 S/DEB</t>
        </is>
      </c>
      <c r="G484" s="8" t="inlineStr">
        <is>
          <t>Anticipo Ganancias Ley 25.413 débitos</t>
        </is>
      </c>
      <c r="H484" s="8" t="inlineStr">
        <is>
          <t>Anticipo Impuesto a las Ganancias</t>
        </is>
      </c>
      <c r="I484" s="9" t="n">
        <v>0.68</v>
      </c>
      <c r="J484" s="9" t="inlineStr"/>
      <c r="K484" s="8" t="inlineStr">
        <is>
          <t>Copiar en Flexxus: Tipo=MB-EXT | Movimiento=GRAVAMEN LEY 25.413 S/DEB | Monto=0,68 | Fecha: 27/04/2026</t>
        </is>
      </c>
    </row>
    <row r="485">
      <c r="A485" s="8" t="inlineStr">
        <is>
          <t>PEND-D9D5B62F25C7-A001</t>
        </is>
      </c>
      <c r="B485" s="8" t="inlineStr">
        <is>
          <t>ABIERTO</t>
        </is>
      </c>
      <c r="C485" s="8" t="inlineStr">
        <is>
          <t>Banco egreso no Flexxus</t>
        </is>
      </c>
      <c r="D485" s="8" t="inlineStr">
        <is>
          <t>27/04/2026</t>
        </is>
      </c>
      <c r="E485" s="8" t="inlineStr">
        <is>
          <t>108822</t>
        </is>
      </c>
      <c r="F485" s="8" t="inlineStr">
        <is>
          <t>GRAVAMEN LEY 25413 S/DEB</t>
        </is>
      </c>
      <c r="G485" s="8" t="inlineStr">
        <is>
          <t>Anticipo Ganancias Ley 25.413 débitos</t>
        </is>
      </c>
      <c r="H485" s="8" t="inlineStr">
        <is>
          <t>Anticipo Impuesto a las Ganancias</t>
        </is>
      </c>
      <c r="I485" s="9" t="n">
        <v>0.68</v>
      </c>
      <c r="J485" s="9" t="inlineStr"/>
      <c r="K485" s="8" t="inlineStr">
        <is>
          <t>Copiar en Flexxus: Tipo=MB-EXT | Movimiento=GRAVAMEN LEY 25.413 S/DEB | Monto=0,68 | Fecha: 27/04/2026</t>
        </is>
      </c>
    </row>
    <row r="486">
      <c r="A486" s="8" t="inlineStr">
        <is>
          <t>PEND-2F46C7EBE8B3-A001</t>
        </is>
      </c>
      <c r="B486" s="8" t="inlineStr">
        <is>
          <t>ABIERTO</t>
        </is>
      </c>
      <c r="C486" s="8" t="inlineStr">
        <is>
          <t>Banco egreso no Flexxus</t>
        </is>
      </c>
      <c r="D486" s="8" t="inlineStr">
        <is>
          <t>27/04/2026</t>
        </is>
      </c>
      <c r="E486" s="8" t="inlineStr">
        <is>
          <t>108786</t>
        </is>
      </c>
      <c r="F486" s="8" t="inlineStr">
        <is>
          <t>GRAVAMEN LEY 25413 S/DEB</t>
        </is>
      </c>
      <c r="G486" s="8" t="inlineStr">
        <is>
          <t>Anticipo Ganancias Ley 25.413 débitos</t>
        </is>
      </c>
      <c r="H486" s="8" t="inlineStr">
        <is>
          <t>Anticipo Impuesto a las Ganancias</t>
        </is>
      </c>
      <c r="I486" s="9" t="n">
        <v>0.68</v>
      </c>
      <c r="J486" s="9" t="inlineStr"/>
      <c r="K486" s="8" t="inlineStr">
        <is>
          <t>Copiar en Flexxus: Tipo=MB-EXT | Movimiento=GRAVAMEN LEY 25.413 S/DEB | Monto=0,68 | Fecha: 27/04/2026</t>
        </is>
      </c>
    </row>
    <row r="487">
      <c r="A487" s="8" t="inlineStr">
        <is>
          <t>PEND-DBA5684E6921-A001</t>
        </is>
      </c>
      <c r="B487" s="8" t="inlineStr">
        <is>
          <t>ABIERTO</t>
        </is>
      </c>
      <c r="C487" s="8" t="inlineStr">
        <is>
          <t>Banco egreso no Flexxus</t>
        </is>
      </c>
      <c r="D487" s="8" t="inlineStr">
        <is>
          <t>28/04/2026</t>
        </is>
      </c>
      <c r="E487" s="8" t="inlineStr">
        <is>
          <t>109241</t>
        </is>
      </c>
      <c r="F487" s="8" t="inlineStr">
        <is>
          <t>GRAVAMEN LEY 25413 S/DEB</t>
        </is>
      </c>
      <c r="G487" s="8" t="inlineStr">
        <is>
          <t>Anticipo Ganancias Ley 25.413 débitos</t>
        </is>
      </c>
      <c r="H487" s="8" t="inlineStr">
        <is>
          <t>Anticipo Impuesto a las Ganancias</t>
        </is>
      </c>
      <c r="I487" s="9" t="n">
        <v>0.68</v>
      </c>
      <c r="J487" s="9" t="inlineStr"/>
      <c r="K487" s="8" t="inlineStr">
        <is>
          <t>Copiar en Flexxus: Tipo=MB-EXT | Movimiento=GRAVAMEN LEY 25.413 S/DEB | Monto=0,68 | Fecha: 28/04/2026</t>
        </is>
      </c>
    </row>
    <row r="488">
      <c r="A488" s="8" t="inlineStr">
        <is>
          <t>PEND-5D3D06876C27-A001</t>
        </is>
      </c>
      <c r="B488" s="8" t="inlineStr">
        <is>
          <t>ABIERTO</t>
        </is>
      </c>
      <c r="C488" s="8" t="inlineStr">
        <is>
          <t>Banco egreso no Flexxus</t>
        </is>
      </c>
      <c r="D488" s="8" t="inlineStr">
        <is>
          <t>27/04/2026</t>
        </is>
      </c>
      <c r="E488" s="8" t="inlineStr">
        <is>
          <t>108788</t>
        </is>
      </c>
      <c r="F488" s="8" t="inlineStr">
        <is>
          <t>GRAVAMEN LEY 25413 S/DEB</t>
        </is>
      </c>
      <c r="G488" s="8" t="inlineStr">
        <is>
          <t>Anticipo Ganancias Ley 25.413 débitos</t>
        </is>
      </c>
      <c r="H488" s="8" t="inlineStr">
        <is>
          <t>Anticipo Impuesto a las Ganancias</t>
        </is>
      </c>
      <c r="I488" s="9" t="n">
        <v>0.63</v>
      </c>
      <c r="J488" s="9" t="inlineStr"/>
      <c r="K488" s="8" t="inlineStr">
        <is>
          <t>Copiar en Flexxus: Tipo=MB-EXT | Movimiento=GRAVAMEN LEY 25.413 S/DEB | Monto=0,63 | Fecha: 27/04/2026</t>
        </is>
      </c>
    </row>
    <row r="489">
      <c r="A489" s="8" t="inlineStr">
        <is>
          <t>PEND-F3773844AEAB-A001</t>
        </is>
      </c>
      <c r="B489" s="8" t="inlineStr">
        <is>
          <t>ABIERTO</t>
        </is>
      </c>
      <c r="C489" s="8" t="inlineStr">
        <is>
          <t>Banco egreso no Flexxus</t>
        </is>
      </c>
      <c r="D489" s="8" t="inlineStr">
        <is>
          <t>27/04/2026</t>
        </is>
      </c>
      <c r="E489" s="8" t="inlineStr">
        <is>
          <t>29841627</t>
        </is>
      </c>
      <c r="F489" s="8" t="inlineStr">
        <is>
          <t>GRAVAMEN LEY 25413 S/DEB</t>
        </is>
      </c>
      <c r="G489" s="8" t="inlineStr">
        <is>
          <t>Anticipo Ganancias Ley 25.413 débitos</t>
        </is>
      </c>
      <c r="H489" s="8" t="inlineStr">
        <is>
          <t>Anticipo Impuesto a las Ganancias</t>
        </is>
      </c>
      <c r="I489" s="9" t="n">
        <v>0.59</v>
      </c>
      <c r="J489" s="9" t="inlineStr"/>
      <c r="K489" s="8" t="inlineStr">
        <is>
          <t>Copiar en Flexxus: Tipo=MB-EXT | Movimiento=GRAVAMEN LEY 25.413 S/DEB | Monto=0,59 | Fecha: 27/04/2026</t>
        </is>
      </c>
    </row>
    <row r="490">
      <c r="A490" s="8" t="inlineStr">
        <is>
          <t>PEND-D8DEA42204D8-A001</t>
        </is>
      </c>
      <c r="B490" s="8" t="inlineStr">
        <is>
          <t>ABIERTO</t>
        </is>
      </c>
      <c r="C490" s="8" t="inlineStr">
        <is>
          <t>Banco egreso no Flexxus</t>
        </is>
      </c>
      <c r="D490" s="8" t="inlineStr">
        <is>
          <t>27/04/2026</t>
        </is>
      </c>
      <c r="E490" s="8" t="inlineStr">
        <is>
          <t>108790</t>
        </is>
      </c>
      <c r="F490" s="8" t="inlineStr">
        <is>
          <t>GRAVAMEN LEY 25413 S/DEB</t>
        </is>
      </c>
      <c r="G490" s="8" t="inlineStr">
        <is>
          <t>Anticipo Ganancias Ley 25.413 débitos</t>
        </is>
      </c>
      <c r="H490" s="8" t="inlineStr">
        <is>
          <t>Anticipo Impuesto a las Ganancias</t>
        </is>
      </c>
      <c r="I490" s="9" t="n">
        <v>0.59</v>
      </c>
      <c r="J490" s="9" t="inlineStr"/>
      <c r="K490" s="8" t="inlineStr">
        <is>
          <t>Copiar en Flexxus: Tipo=MB-EXT | Movimiento=GRAVAMEN LEY 25.413 S/DEB | Monto=0,59 | Fecha: 27/04/2026</t>
        </is>
      </c>
    </row>
    <row r="491">
      <c r="A491" s="8" t="inlineStr">
        <is>
          <t>PEND-2C783B9F72ED-A001</t>
        </is>
      </c>
      <c r="B491" s="8" t="inlineStr">
        <is>
          <t>ABIERTO</t>
        </is>
      </c>
      <c r="C491" s="8" t="inlineStr">
        <is>
          <t>Banco egreso no Flexxus</t>
        </is>
      </c>
      <c r="D491" s="8" t="inlineStr">
        <is>
          <t>27/04/2026</t>
        </is>
      </c>
      <c r="E491" s="8" t="inlineStr">
        <is>
          <t>108768</t>
        </is>
      </c>
      <c r="F491" s="8" t="inlineStr">
        <is>
          <t>GRAVAMEN LEY 25413 S/DEB</t>
        </is>
      </c>
      <c r="G491" s="8" t="inlineStr">
        <is>
          <t>Anticipo Ganancias Ley 25.413 débitos</t>
        </is>
      </c>
      <c r="H491" s="8" t="inlineStr">
        <is>
          <t>Anticipo Impuesto a las Ganancias</t>
        </is>
      </c>
      <c r="I491" s="9" t="n">
        <v>0.5600000000000001</v>
      </c>
      <c r="J491" s="9" t="inlineStr"/>
      <c r="K491" s="8" t="inlineStr">
        <is>
          <t>Copiar en Flexxus: Tipo=MB-EXT | Movimiento=GRAVAMEN LEY 25.413 S/DEB | Monto=0,56 | Fecha: 27/04/2026</t>
        </is>
      </c>
    </row>
    <row r="492">
      <c r="A492" s="8" t="inlineStr">
        <is>
          <t>PEND-97A150BC6F94-A001</t>
        </is>
      </c>
      <c r="B492" s="8" t="inlineStr">
        <is>
          <t>ABIERTO</t>
        </is>
      </c>
      <c r="C492" s="8" t="inlineStr">
        <is>
          <t>Banco egreso no Flexxus</t>
        </is>
      </c>
      <c r="D492" s="8" t="inlineStr">
        <is>
          <t>27/04/2026</t>
        </is>
      </c>
      <c r="E492" s="8" t="inlineStr">
        <is>
          <t>29841705</t>
        </is>
      </c>
      <c r="F492" s="8" t="inlineStr">
        <is>
          <t>GRAVAMEN LEY 25413 S/DEB</t>
        </is>
      </c>
      <c r="G492" s="8" t="inlineStr">
        <is>
          <t>Anticipo Ganancias Ley 25.413 débitos</t>
        </is>
      </c>
      <c r="H492" s="8" t="inlineStr">
        <is>
          <t>Anticipo Impuesto a las Ganancias</t>
        </is>
      </c>
      <c r="I492" s="9" t="n">
        <v>0.55</v>
      </c>
      <c r="J492" s="9" t="inlineStr"/>
      <c r="K492" s="8" t="inlineStr">
        <is>
          <t>Copiar en Flexxus: Tipo=MB-EXT | Movimiento=GRAVAMEN LEY 25.413 S/DEB | Monto=0,55 | Fecha: 27/04/2026</t>
        </is>
      </c>
    </row>
    <row r="493">
      <c r="A493" s="8" t="inlineStr">
        <is>
          <t>PEND-052BAE954830-A001</t>
        </is>
      </c>
      <c r="B493" s="8" t="inlineStr">
        <is>
          <t>ABIERTO</t>
        </is>
      </c>
      <c r="C493" s="8" t="inlineStr">
        <is>
          <t>Banco egreso no Flexxus</t>
        </is>
      </c>
      <c r="D493" s="8" t="inlineStr">
        <is>
          <t>27/04/2026</t>
        </is>
      </c>
      <c r="E493" s="8" t="inlineStr">
        <is>
          <t>108801</t>
        </is>
      </c>
      <c r="F493" s="8" t="inlineStr">
        <is>
          <t>GRAVAMEN LEY 25413 S/DEB</t>
        </is>
      </c>
      <c r="G493" s="8" t="inlineStr">
        <is>
          <t>Anticipo Ganancias Ley 25.413 débitos</t>
        </is>
      </c>
      <c r="H493" s="8" t="inlineStr">
        <is>
          <t>Anticipo Impuesto a las Ganancias</t>
        </is>
      </c>
      <c r="I493" s="9" t="n">
        <v>0.53</v>
      </c>
      <c r="J493" s="9" t="inlineStr"/>
      <c r="K493" s="8" t="inlineStr">
        <is>
          <t>Copiar en Flexxus: Tipo=MB-EXT | Movimiento=GRAVAMEN LEY 25.413 S/DEB | Monto=0,53 | Fecha: 27/04/2026</t>
        </is>
      </c>
    </row>
    <row r="494">
      <c r="A494" s="8" t="inlineStr">
        <is>
          <t>PEND-7FE9CE05C107-A001</t>
        </is>
      </c>
      <c r="B494" s="8" t="inlineStr">
        <is>
          <t>ABIERTO</t>
        </is>
      </c>
      <c r="C494" s="8" t="inlineStr">
        <is>
          <t>Banco egreso no Flexxus</t>
        </is>
      </c>
      <c r="D494" s="8" t="inlineStr">
        <is>
          <t>27/04/2026</t>
        </is>
      </c>
      <c r="E494" s="8" t="inlineStr">
        <is>
          <t>108799</t>
        </is>
      </c>
      <c r="F494" s="8" t="inlineStr">
        <is>
          <t>GRAVAMEN LEY 25413 S/DEB</t>
        </is>
      </c>
      <c r="G494" s="8" t="inlineStr">
        <is>
          <t>Anticipo Ganancias Ley 25.413 débitos</t>
        </is>
      </c>
      <c r="H494" s="8" t="inlineStr">
        <is>
          <t>Anticipo Impuesto a las Ganancias</t>
        </is>
      </c>
      <c r="I494" s="9" t="n">
        <v>0.53</v>
      </c>
      <c r="J494" s="9" t="inlineStr"/>
      <c r="K494" s="8" t="inlineStr">
        <is>
          <t>Copiar en Flexxus: Tipo=MB-EXT | Movimiento=GRAVAMEN LEY 25.413 S/DEB | Monto=0,53 | Fecha: 27/04/2026</t>
        </is>
      </c>
    </row>
    <row r="495">
      <c r="A495" s="8" t="inlineStr">
        <is>
          <t>PEND-A061D6A132FB-A001</t>
        </is>
      </c>
      <c r="B495" s="8" t="inlineStr">
        <is>
          <t>ABIERTO</t>
        </is>
      </c>
      <c r="C495" s="8" t="inlineStr">
        <is>
          <t>Banco egreso no Flexxus</t>
        </is>
      </c>
      <c r="D495" s="8" t="inlineStr">
        <is>
          <t>28/04/2026</t>
        </is>
      </c>
      <c r="E495" s="8" t="inlineStr">
        <is>
          <t>29841642</t>
        </is>
      </c>
      <c r="F495" s="8" t="inlineStr">
        <is>
          <t>GRAVAMEN LEY 25413 S/DEB</t>
        </is>
      </c>
      <c r="G495" s="8" t="inlineStr">
        <is>
          <t>Anticipo Ganancias Ley 25.413 débitos</t>
        </is>
      </c>
      <c r="H495" s="8" t="inlineStr">
        <is>
          <t>Anticipo Impuesto a las Ganancias</t>
        </is>
      </c>
      <c r="I495" s="9" t="n">
        <v>0.53</v>
      </c>
      <c r="J495" s="9" t="inlineStr"/>
      <c r="K495" s="8" t="inlineStr">
        <is>
          <t>Copiar en Flexxus: Tipo=MB-EXT | Movimiento=GRAVAMEN LEY 25.413 S/DEB | Monto=0,53 | Fecha: 28/04/2026</t>
        </is>
      </c>
    </row>
    <row r="496">
      <c r="A496" s="8" t="inlineStr">
        <is>
          <t>PEND-17E109FC692F-A001</t>
        </is>
      </c>
      <c r="B496" s="8" t="inlineStr">
        <is>
          <t>ABIERTO</t>
        </is>
      </c>
      <c r="C496" s="8" t="inlineStr">
        <is>
          <t>Banco egreso no Flexxus</t>
        </is>
      </c>
      <c r="D496" s="8" t="inlineStr">
        <is>
          <t>27/04/2026</t>
        </is>
      </c>
      <c r="E496" s="8" t="inlineStr">
        <is>
          <t>108773</t>
        </is>
      </c>
      <c r="F496" s="8" t="inlineStr">
        <is>
          <t>GRAVAMEN LEY 25413 S/DEB</t>
        </is>
      </c>
      <c r="G496" s="8" t="inlineStr">
        <is>
          <t>Anticipo Ganancias Ley 25.413 débitos</t>
        </is>
      </c>
      <c r="H496" s="8" t="inlineStr">
        <is>
          <t>Anticipo Impuesto a las Ganancias</t>
        </is>
      </c>
      <c r="I496" s="9" t="n">
        <v>0.51</v>
      </c>
      <c r="J496" s="9" t="inlineStr"/>
      <c r="K496" s="8" t="inlineStr">
        <is>
          <t>Copiar en Flexxus: Tipo=MB-EXT | Movimiento=GRAVAMEN LEY 25.413 S/DEB | Monto=0,51 | Fecha: 27/04/2026</t>
        </is>
      </c>
    </row>
    <row r="497">
      <c r="A497" s="8" t="inlineStr">
        <is>
          <t>PEND-F88F466F6F06-A001</t>
        </is>
      </c>
      <c r="B497" s="8" t="inlineStr">
        <is>
          <t>ABIERTO</t>
        </is>
      </c>
      <c r="C497" s="8" t="inlineStr">
        <is>
          <t>Banco egreso no Flexxus</t>
        </is>
      </c>
      <c r="D497" s="8" t="inlineStr">
        <is>
          <t>27/04/2026</t>
        </is>
      </c>
      <c r="E497" s="8" t="inlineStr">
        <is>
          <t>108839</t>
        </is>
      </c>
      <c r="F497" s="8" t="inlineStr">
        <is>
          <t>GRAVAMEN LEY 25413 S/DEB</t>
        </is>
      </c>
      <c r="G497" s="8" t="inlineStr">
        <is>
          <t>Anticipo Ganancias Ley 25.413 débitos</t>
        </is>
      </c>
      <c r="H497" s="8" t="inlineStr">
        <is>
          <t>Anticipo Impuesto a las Ganancias</t>
        </is>
      </c>
      <c r="I497" s="9" t="n">
        <v>0.46</v>
      </c>
      <c r="J497" s="9" t="inlineStr"/>
      <c r="K497" s="8" t="inlineStr">
        <is>
          <t>Copiar en Flexxus: Tipo=MB-EXT | Movimiento=GRAVAMEN LEY 25.413 S/DEB | Monto=0,46 | Fecha: 27/04/2026</t>
        </is>
      </c>
    </row>
    <row r="498">
      <c r="A498" s="8" t="inlineStr">
        <is>
          <t>PEND-9BB365999086-A001</t>
        </is>
      </c>
      <c r="B498" s="8" t="inlineStr">
        <is>
          <t>ABIERTO</t>
        </is>
      </c>
      <c r="C498" s="8" t="inlineStr">
        <is>
          <t>Banco egreso no Flexxus</t>
        </is>
      </c>
      <c r="D498" s="8" t="inlineStr">
        <is>
          <t>27/04/2026</t>
        </is>
      </c>
      <c r="E498" s="8" t="inlineStr">
        <is>
          <t>108769</t>
        </is>
      </c>
      <c r="F498" s="8" t="inlineStr">
        <is>
          <t>GRAVAMEN LEY 25413 S/DEB</t>
        </is>
      </c>
      <c r="G498" s="8" t="inlineStr">
        <is>
          <t>Anticipo Ganancias Ley 25.413 débitos</t>
        </is>
      </c>
      <c r="H498" s="8" t="inlineStr">
        <is>
          <t>Anticipo Impuesto a las Ganancias</t>
        </is>
      </c>
      <c r="I498" s="9" t="n">
        <v>0.46</v>
      </c>
      <c r="J498" s="9" t="inlineStr"/>
      <c r="K498" s="8" t="inlineStr">
        <is>
          <t>Copiar en Flexxus: Tipo=MB-EXT | Movimiento=GRAVAMEN LEY 25.413 S/DEB | Monto=0,46 | Fecha: 27/04/2026</t>
        </is>
      </c>
    </row>
    <row r="499">
      <c r="A499" s="8" t="inlineStr">
        <is>
          <t>PEND-E85E5F0BA32C-A001</t>
        </is>
      </c>
      <c r="B499" s="8" t="inlineStr">
        <is>
          <t>ABIERTO</t>
        </is>
      </c>
      <c r="C499" s="8" t="inlineStr">
        <is>
          <t>Banco egreso no Flexxus</t>
        </is>
      </c>
      <c r="D499" s="8" t="inlineStr">
        <is>
          <t>27/04/2026</t>
        </is>
      </c>
      <c r="E499" s="8" t="inlineStr">
        <is>
          <t>108755</t>
        </is>
      </c>
      <c r="F499" s="8" t="inlineStr">
        <is>
          <t>GRAVAMEN LEY 25413 S/DEB</t>
        </is>
      </c>
      <c r="G499" s="8" t="inlineStr">
        <is>
          <t>Anticipo Ganancias Ley 25.413 débitos</t>
        </is>
      </c>
      <c r="H499" s="8" t="inlineStr">
        <is>
          <t>Anticipo Impuesto a las Ganancias</t>
        </is>
      </c>
      <c r="I499" s="9" t="n">
        <v>0.41</v>
      </c>
      <c r="J499" s="9" t="inlineStr"/>
      <c r="K499" s="8" t="inlineStr">
        <is>
          <t>Copiar en Flexxus: Tipo=MB-EXT | Movimiento=GRAVAMEN LEY 25.413 S/DEB | Monto=0,41 | Fecha: 27/04/2026</t>
        </is>
      </c>
    </row>
    <row r="500">
      <c r="A500" s="8" t="inlineStr">
        <is>
          <t>PEND-9A29AA5EB5BE-A001</t>
        </is>
      </c>
      <c r="B500" s="8" t="inlineStr">
        <is>
          <t>ABIERTO</t>
        </is>
      </c>
      <c r="C500" s="8" t="inlineStr">
        <is>
          <t>Banco egreso no Flexxus</t>
        </is>
      </c>
      <c r="D500" s="8" t="inlineStr">
        <is>
          <t>27/04/2026</t>
        </is>
      </c>
      <c r="E500" s="8" t="inlineStr">
        <is>
          <t>29841705</t>
        </is>
      </c>
      <c r="F500" s="8" t="inlineStr">
        <is>
          <t>GRAVAMEN LEY 25413 S/DEB</t>
        </is>
      </c>
      <c r="G500" s="8" t="inlineStr">
        <is>
          <t>Anticipo Ganancias Ley 25.413 débitos</t>
        </is>
      </c>
      <c r="H500" s="8" t="inlineStr">
        <is>
          <t>Anticipo Impuesto a las Ganancias</t>
        </is>
      </c>
      <c r="I500" s="9" t="n">
        <v>0.39</v>
      </c>
      <c r="J500" s="9" t="inlineStr"/>
      <c r="K500" s="8" t="inlineStr">
        <is>
          <t>Copiar en Flexxus: Tipo=MB-EXT | Movimiento=GRAVAMEN LEY 25.413 S/DEB | Monto=0,39 | Fecha: 27/04/2026</t>
        </is>
      </c>
    </row>
    <row r="501">
      <c r="A501" s="8" t="inlineStr">
        <is>
          <t>PEND-14F2FB92B317-A001</t>
        </is>
      </c>
      <c r="B501" s="8" t="inlineStr">
        <is>
          <t>ABIERTO</t>
        </is>
      </c>
      <c r="C501" s="8" t="inlineStr">
        <is>
          <t>Banco egreso no Flexxus</t>
        </is>
      </c>
      <c r="D501" s="8" t="inlineStr">
        <is>
          <t>27/04/2026</t>
        </is>
      </c>
      <c r="E501" s="8" t="inlineStr">
        <is>
          <t>108878</t>
        </is>
      </c>
      <c r="F501" s="8" t="inlineStr">
        <is>
          <t>GRAVAMEN LEY 25413 S/DEB</t>
        </is>
      </c>
      <c r="G501" s="8" t="inlineStr">
        <is>
          <t>Anticipo Ganancias Ley 25.413 débitos</t>
        </is>
      </c>
      <c r="H501" s="8" t="inlineStr">
        <is>
          <t>Anticipo Impuesto a las Ganancias</t>
        </is>
      </c>
      <c r="I501" s="9" t="n">
        <v>0.27</v>
      </c>
      <c r="J501" s="9" t="inlineStr"/>
      <c r="K501" s="8" t="inlineStr">
        <is>
          <t>Copiar en Flexxus: Tipo=MB-EXT | Movimiento=GRAVAMEN LEY 25.413 S/DEB | Monto=0,27 | Fecha: 27/04/2026</t>
        </is>
      </c>
    </row>
    <row r="502">
      <c r="A502" s="8" t="inlineStr">
        <is>
          <t>PEND-93192FA01FE4-A001</t>
        </is>
      </c>
      <c r="B502" s="8" t="inlineStr">
        <is>
          <t>ABIERTO</t>
        </is>
      </c>
      <c r="C502" s="8" t="inlineStr">
        <is>
          <t>Banco egreso no Flexxus</t>
        </is>
      </c>
      <c r="D502" s="8" t="inlineStr">
        <is>
          <t>27/04/2026</t>
        </is>
      </c>
      <c r="E502" s="8" t="inlineStr">
        <is>
          <t>108800</t>
        </is>
      </c>
      <c r="F502" s="8" t="inlineStr">
        <is>
          <t>GRAVAMEN LEY 25413 S/DEB</t>
        </is>
      </c>
      <c r="G502" s="8" t="inlineStr">
        <is>
          <t>Anticipo Ganancias Ley 25.413 débitos</t>
        </is>
      </c>
      <c r="H502" s="8" t="inlineStr">
        <is>
          <t>Anticipo Impuesto a las Ganancias</t>
        </is>
      </c>
      <c r="I502" s="9" t="n">
        <v>0.27</v>
      </c>
      <c r="J502" s="9" t="inlineStr"/>
      <c r="K502" s="8" t="inlineStr">
        <is>
          <t>Copiar en Flexxus: Tipo=MB-EXT | Movimiento=GRAVAMEN LEY 25.413 S/DEB | Monto=0,27 | Fecha: 27/04/2026</t>
        </is>
      </c>
    </row>
    <row r="503">
      <c r="A503" s="8" t="inlineStr">
        <is>
          <t>PEND-D426AC58D1E5-A001</t>
        </is>
      </c>
      <c r="B503" s="8" t="inlineStr">
        <is>
          <t>ABIERTO</t>
        </is>
      </c>
      <c r="C503" s="8" t="inlineStr">
        <is>
          <t>Banco egreso no Flexxus</t>
        </is>
      </c>
      <c r="D503" s="8" t="inlineStr">
        <is>
          <t>27/04/2026</t>
        </is>
      </c>
      <c r="E503" s="8" t="inlineStr">
        <is>
          <t>108772</t>
        </is>
      </c>
      <c r="F503" s="8" t="inlineStr">
        <is>
          <t>GRAVAMEN LEY 25413 S/DEB</t>
        </is>
      </c>
      <c r="G503" s="8" t="inlineStr">
        <is>
          <t>Anticipo Ganancias Ley 25.413 débitos</t>
        </is>
      </c>
      <c r="H503" s="8" t="inlineStr">
        <is>
          <t>Anticipo Impuesto a las Ganancias</t>
        </is>
      </c>
      <c r="I503" s="9" t="n">
        <v>0.27</v>
      </c>
      <c r="J503" s="9" t="inlineStr"/>
      <c r="K503" s="8" t="inlineStr">
        <is>
          <t>Copiar en Flexxus: Tipo=MB-EXT | Movimiento=GRAVAMEN LEY 25.413 S/DEB | Monto=0,27 | Fecha: 27/04/2026</t>
        </is>
      </c>
    </row>
    <row r="504">
      <c r="A504" s="8" t="inlineStr">
        <is>
          <t>PEND-0B94CEBFAEEC-A001</t>
        </is>
      </c>
      <c r="B504" s="8" t="inlineStr">
        <is>
          <t>ABIERTO</t>
        </is>
      </c>
      <c r="C504" s="8" t="inlineStr">
        <is>
          <t>Banco egreso no Flexxus</t>
        </is>
      </c>
      <c r="D504" s="8" t="inlineStr">
        <is>
          <t>27/04/2026</t>
        </is>
      </c>
      <c r="E504" s="8" t="inlineStr">
        <is>
          <t>29841705</t>
        </is>
      </c>
      <c r="F504" s="8" t="inlineStr">
        <is>
          <t>GRAVAMEN LEY 25413 S/DEB</t>
        </is>
      </c>
      <c r="G504" s="8" t="inlineStr">
        <is>
          <t>Anticipo Ganancias Ley 25.413 débitos</t>
        </is>
      </c>
      <c r="H504" s="8" t="inlineStr">
        <is>
          <t>Anticipo Impuesto a las Ganancias</t>
        </is>
      </c>
      <c r="I504" s="9" t="n">
        <v>0.26</v>
      </c>
      <c r="J504" s="9" t="inlineStr"/>
      <c r="K504" s="8" t="inlineStr">
        <is>
          <t>Copiar en Flexxus: Tipo=MB-EXT | Movimiento=GRAVAMEN LEY 25.413 S/DEB | Monto=0,26 | Fecha: 27/04/2026</t>
        </is>
      </c>
    </row>
    <row r="505">
      <c r="A505" s="8" t="inlineStr">
        <is>
          <t>PEND-F8AD7724E7F3-A001</t>
        </is>
      </c>
      <c r="B505" s="8" t="inlineStr">
        <is>
          <t>ABIERTO</t>
        </is>
      </c>
      <c r="C505" s="8" t="inlineStr">
        <is>
          <t>Banco egreso no Flexxus</t>
        </is>
      </c>
      <c r="D505" s="8" t="inlineStr">
        <is>
          <t>24/04/2026</t>
        </is>
      </c>
      <c r="E505" s="8" t="inlineStr">
        <is>
          <t>CTRL-V5911-QR</t>
        </is>
      </c>
      <c r="F505" s="8" t="inlineStr">
        <is>
          <t>Diferencia técnica menor por cierre QR doble punta</t>
        </is>
      </c>
      <c r="G505" s="8" t="inlineStr">
        <is>
          <t>Otro</t>
        </is>
      </c>
      <c r="H505" s="8" t="inlineStr">
        <is>
          <t>Revisar según concepto</t>
        </is>
      </c>
      <c r="I505" s="9" t="n">
        <v>0.24</v>
      </c>
      <c r="J505" s="9" t="inlineStr"/>
      <c r="K505" s="8" t="inlineStr">
        <is>
          <t>Registrar asiento / revisar según concepto</t>
        </is>
      </c>
    </row>
    <row r="506">
      <c r="A506" s="8" t="inlineStr">
        <is>
          <t>PEND-0A60C8DB506F-A001</t>
        </is>
      </c>
      <c r="B506" s="8" t="inlineStr">
        <is>
          <t>ABIERTO</t>
        </is>
      </c>
      <c r="C506" s="8" t="inlineStr">
        <is>
          <t>Banco egreso no Flexxus</t>
        </is>
      </c>
      <c r="D506" s="8" t="inlineStr">
        <is>
          <t>28/04/2026</t>
        </is>
      </c>
      <c r="E506" s="8" t="inlineStr">
        <is>
          <t>29841705</t>
        </is>
      </c>
      <c r="F506" s="8" t="inlineStr">
        <is>
          <t>GRAVAMEN LEY 25413 S/DEB</t>
        </is>
      </c>
      <c r="G506" s="8" t="inlineStr">
        <is>
          <t>Anticipo Ganancias Ley 25.413 débitos</t>
        </is>
      </c>
      <c r="H506" s="8" t="inlineStr">
        <is>
          <t>Anticipo Impuesto a las Ganancias</t>
        </is>
      </c>
      <c r="I506" s="9" t="n">
        <v>0.18</v>
      </c>
      <c r="J506" s="9" t="inlineStr"/>
      <c r="K506" s="8" t="inlineStr">
        <is>
          <t>Copiar en Flexxus: Tipo=MB-EXT | Movimiento=GRAVAMEN LEY 25.413 S/DEB | Monto=0,18 | Fecha: 28/04/2026</t>
        </is>
      </c>
    </row>
    <row r="507">
      <c r="A507" s="8" t="inlineStr">
        <is>
          <t>PEND-104B629E539D-A001</t>
        </is>
      </c>
      <c r="B507" s="8" t="inlineStr">
        <is>
          <t>ABIERTO</t>
        </is>
      </c>
      <c r="C507" s="8" t="inlineStr">
        <is>
          <t>Banco egreso no Flexxus</t>
        </is>
      </c>
      <c r="D507" s="8" t="inlineStr">
        <is>
          <t>27/04/2026</t>
        </is>
      </c>
      <c r="E507" s="8" t="inlineStr">
        <is>
          <t>108759</t>
        </is>
      </c>
      <c r="F507" s="8" t="inlineStr">
        <is>
          <t>PAGO CON TRANSFERENCIA</t>
        </is>
      </c>
      <c r="G507" s="8" t="inlineStr">
        <is>
          <t>Otro</t>
        </is>
      </c>
      <c r="H507" s="8" t="inlineStr">
        <is>
          <t>Revisar según concepto</t>
        </is>
      </c>
      <c r="I507" s="9" t="n">
        <v>0.01</v>
      </c>
      <c r="J507" s="9" t="inlineStr"/>
      <c r="K507" s="8" t="inlineStr">
        <is>
          <t>Registrar asiento / revisar según concepto</t>
        </is>
      </c>
    </row>
    <row r="508">
      <c r="A508" s="8" t="inlineStr">
        <is>
          <t>PEND-95CACB246B1D-A001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29/04/2026</t>
        </is>
      </c>
      <c r="E508" s="8" t="inlineStr">
        <is>
          <t>109467</t>
        </is>
      </c>
      <c r="F508" s="8" t="inlineStr">
        <is>
          <t>GRAVAMEN LEY 25413 S/DEB</t>
        </is>
      </c>
      <c r="G508" s="8" t="inlineStr">
        <is>
          <t>Anticipo Ganancias Ley 25.413 débitos</t>
        </is>
      </c>
      <c r="H508" s="8" t="inlineStr">
        <is>
          <t>Anticipo Impuesto a las Ganancias</t>
        </is>
      </c>
      <c r="I508" s="9" t="n">
        <v>5.36</v>
      </c>
      <c r="J508" s="9" t="inlineStr"/>
      <c r="K508" s="8" t="inlineStr">
        <is>
          <t>Copiar en Flexxus: Tipo=MB-EXT | Movimiento=GRAVAMEN LEY 25.413 S/DEB | Monto=5,36 | Fecha: 29/04/2026</t>
        </is>
      </c>
    </row>
    <row r="509">
      <c r="A509" s="8" t="inlineStr">
        <is>
          <t>PEND-911617C52832-A001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29/04/2026</t>
        </is>
      </c>
      <c r="E509" s="8" t="inlineStr">
        <is>
          <t>32032899</t>
        </is>
      </c>
      <c r="F509" s="8" t="inlineStr">
        <is>
          <t>GRAVAMEN LEY 25413 S/DEB</t>
        </is>
      </c>
      <c r="G509" s="8" t="inlineStr">
        <is>
          <t>Anticipo Ganancias Ley 25.413 débitos</t>
        </is>
      </c>
      <c r="H509" s="8" t="inlineStr">
        <is>
          <t>Anticipo Impuesto a las Ganancias</t>
        </is>
      </c>
      <c r="I509" s="9" t="n">
        <v>18.54</v>
      </c>
      <c r="J509" s="9" t="inlineStr"/>
      <c r="K509" s="8" t="inlineStr">
        <is>
          <t>Copiar en Flexxus: Tipo=MB-EXT | Movimiento=GRAVAMEN LEY 25.413 S/DEB | Monto=18,54 | Fecha: 29/04/2026</t>
        </is>
      </c>
    </row>
    <row r="510">
      <c r="A510" s="8" t="inlineStr">
        <is>
          <t>PEND-B1543B3F3382-A001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29/04/2026</t>
        </is>
      </c>
      <c r="E510" s="8" t="inlineStr">
        <is>
          <t>32032899</t>
        </is>
      </c>
      <c r="F510" s="8" t="inlineStr">
        <is>
          <t>GRAVAMEN LEY 25413 S/DEB</t>
        </is>
      </c>
      <c r="G510" s="8" t="inlineStr">
        <is>
          <t>Anticipo Ganancias Ley 25.413 débitos</t>
        </is>
      </c>
      <c r="H510" s="8" t="inlineStr">
        <is>
          <t>Anticipo Impuesto a las Ganancias</t>
        </is>
      </c>
      <c r="I510" s="9" t="n">
        <v>7.76</v>
      </c>
      <c r="J510" s="9" t="inlineStr"/>
      <c r="K510" s="8" t="inlineStr">
        <is>
          <t>Copiar en Flexxus: Tipo=MB-EXT | Movimiento=GRAVAMEN LEY 25.413 S/DEB | Monto=7,76 | Fecha: 29/04/2026</t>
        </is>
      </c>
    </row>
    <row r="511">
      <c r="A511" s="8" t="inlineStr">
        <is>
          <t>PEND-204CB1D8450E-A001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29/04/2026</t>
        </is>
      </c>
      <c r="E511" s="8" t="inlineStr">
        <is>
          <t>31995644</t>
        </is>
      </c>
      <c r="F511" s="8" t="inlineStr">
        <is>
          <t>GRAVAMEN LEY 25413 S/DEB</t>
        </is>
      </c>
      <c r="G511" s="8" t="inlineStr">
        <is>
          <t>Anticipo Ganancias Ley 25.413 débitos</t>
        </is>
      </c>
      <c r="H511" s="8" t="inlineStr">
        <is>
          <t>Anticipo Impuesto a las Ganancias</t>
        </is>
      </c>
      <c r="I511" s="9" t="n">
        <v>4.28</v>
      </c>
      <c r="J511" s="9" t="inlineStr"/>
      <c r="K511" s="8" t="inlineStr">
        <is>
          <t>Copiar en Flexxus: Tipo=MB-EXT | Movimiento=GRAVAMEN LEY 25.413 S/DEB | Monto=4,28 | Fecha: 29/04/2026</t>
        </is>
      </c>
    </row>
    <row r="512">
      <c r="A512" s="8" t="inlineStr">
        <is>
          <t>PEND-8DC8EB765D4E-A001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29/04/2026</t>
        </is>
      </c>
      <c r="E512" s="8" t="inlineStr">
        <is>
          <t>31995644</t>
        </is>
      </c>
      <c r="F512" s="8" t="inlineStr">
        <is>
          <t>GRAVAMEN LEY 25413 S/DEB</t>
        </is>
      </c>
      <c r="G512" s="8" t="inlineStr">
        <is>
          <t>Anticipo Ganancias Ley 25.413 débitos</t>
        </is>
      </c>
      <c r="H512" s="8" t="inlineStr">
        <is>
          <t>Anticipo Impuesto a las Ganancias</t>
        </is>
      </c>
      <c r="I512" s="9" t="n">
        <v>13.62</v>
      </c>
      <c r="J512" s="9" t="inlineStr"/>
      <c r="K512" s="8" t="inlineStr">
        <is>
          <t>Copiar en Flexxus: Tipo=MB-EXT | Movimiento=GRAVAMEN LEY 25.413 S/DEB | Monto=13,62 | Fecha: 29/04/2026</t>
        </is>
      </c>
    </row>
    <row r="513">
      <c r="A513" s="8" t="inlineStr">
        <is>
          <t>PEND-E459FFF1FCA4-A001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29/04/2026</t>
        </is>
      </c>
      <c r="E513" s="8" t="inlineStr">
        <is>
          <t>29841683</t>
        </is>
      </c>
      <c r="F513" s="8" t="inlineStr">
        <is>
          <t>GRAVAMEN LEY 25413 S/DEB</t>
        </is>
      </c>
      <c r="G513" s="8" t="inlineStr">
        <is>
          <t>Anticipo Ganancias Ley 25.413 débitos</t>
        </is>
      </c>
      <c r="H513" s="8" t="inlineStr">
        <is>
          <t>Anticipo Impuesto a las Ganancias</t>
        </is>
      </c>
      <c r="I513" s="9" t="n">
        <v>5.45</v>
      </c>
      <c r="J513" s="9" t="inlineStr"/>
      <c r="K513" s="8" t="inlineStr">
        <is>
          <t>Copiar en Flexxus: Tipo=MB-EXT | Movimiento=GRAVAMEN LEY 25.413 S/DEB | Monto=5,45 | Fecha: 29/04/2026</t>
        </is>
      </c>
    </row>
    <row r="514">
      <c r="A514" s="8" t="inlineStr">
        <is>
          <t>PEND-0742B9F965D1-A001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29/04/2026</t>
        </is>
      </c>
      <c r="E514" s="8" t="inlineStr">
        <is>
          <t>32032899</t>
        </is>
      </c>
      <c r="F514" s="8" t="inlineStr">
        <is>
          <t>GRAVAMEN LEY 25413 S/DEB</t>
        </is>
      </c>
      <c r="G514" s="8" t="inlineStr">
        <is>
          <t>Anticipo Ganancias Ley 25.413 débitos</t>
        </is>
      </c>
      <c r="H514" s="8" t="inlineStr">
        <is>
          <t>Anticipo Impuesto a las Ganancias</t>
        </is>
      </c>
      <c r="I514" s="9" t="n">
        <v>13.33</v>
      </c>
      <c r="J514" s="9" t="inlineStr"/>
      <c r="K514" s="8" t="inlineStr">
        <is>
          <t>Copiar en Flexxus: Tipo=MB-EXT | Movimiento=GRAVAMEN LEY 25.413 S/DEB | Monto=13,33 | Fecha: 29/04/2026</t>
        </is>
      </c>
    </row>
    <row r="515">
      <c r="A515" s="8" t="inlineStr">
        <is>
          <t>PEND-59A2CEEAC157-A001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29/04/2026</t>
        </is>
      </c>
      <c r="E515" s="8" t="inlineStr">
        <is>
          <t>31995644</t>
        </is>
      </c>
      <c r="F515" s="8" t="inlineStr">
        <is>
          <t>GRAVAMEN LEY 25413 S/DEB</t>
        </is>
      </c>
      <c r="G515" s="8" t="inlineStr">
        <is>
          <t>Anticipo Ganancias Ley 25.413 débitos</t>
        </is>
      </c>
      <c r="H515" s="8" t="inlineStr">
        <is>
          <t>Anticipo Impuesto a las Ganancias</t>
        </is>
      </c>
      <c r="I515" s="9" t="n">
        <v>52.96</v>
      </c>
      <c r="J515" s="9" t="inlineStr"/>
      <c r="K515" s="8" t="inlineStr">
        <is>
          <t>Copiar en Flexxus: Tipo=MB-EXT | Movimiento=GRAVAMEN LEY 25.413 S/DEB | Monto=52,96 | Fecha: 29/04/2026</t>
        </is>
      </c>
    </row>
    <row r="516">
      <c r="A516" s="8" t="inlineStr">
        <is>
          <t>PEND-78AD7B0C82B3-A001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29/04/2026</t>
        </is>
      </c>
      <c r="E516" s="8" t="inlineStr">
        <is>
          <t>31995644</t>
        </is>
      </c>
      <c r="F516" s="8" t="inlineStr">
        <is>
          <t>GRAVAMEN LEY 25413 S/DEB</t>
        </is>
      </c>
      <c r="G516" s="8" t="inlineStr">
        <is>
          <t>Anticipo Ganancias Ley 25.413 débitos</t>
        </is>
      </c>
      <c r="H516" s="8" t="inlineStr">
        <is>
          <t>Anticipo Impuesto a las Ganancias</t>
        </is>
      </c>
      <c r="I516" s="9" t="n">
        <v>15.05</v>
      </c>
      <c r="J516" s="9" t="inlineStr"/>
      <c r="K516" s="8" t="inlineStr">
        <is>
          <t>Copiar en Flexxus: Tipo=MB-EXT | Movimiento=GRAVAMEN LEY 25.413 S/DEB | Monto=15,05 | Fecha: 29/04/2026</t>
        </is>
      </c>
    </row>
    <row r="517">
      <c r="A517" s="8" t="inlineStr">
        <is>
          <t>PEND-E6A8EF15BE3A-A001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29/04/2026</t>
        </is>
      </c>
      <c r="E517" s="8" t="inlineStr">
        <is>
          <t>29841627</t>
        </is>
      </c>
      <c r="F517" s="8" t="inlineStr">
        <is>
          <t>GRAVAMEN LEY 25413 S/DEB</t>
        </is>
      </c>
      <c r="G517" s="8" t="inlineStr">
        <is>
          <t>Anticipo Ganancias Ley 25.413 débitos</t>
        </is>
      </c>
      <c r="H517" s="8" t="inlineStr">
        <is>
          <t>Anticipo Impuesto a las Ganancias</t>
        </is>
      </c>
      <c r="I517" s="9" t="n">
        <v>6.15</v>
      </c>
      <c r="J517" s="9" t="inlineStr"/>
      <c r="K517" s="8" t="inlineStr">
        <is>
          <t>Copiar en Flexxus: Tipo=MB-EXT | Movimiento=GRAVAMEN LEY 25.413 S/DEB | Monto=6,15 | Fecha: 29/04/2026</t>
        </is>
      </c>
    </row>
    <row r="518">
      <c r="A518" s="8" t="inlineStr">
        <is>
          <t>PEND-48C0D0FB0504-A001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29/04/2026</t>
        </is>
      </c>
      <c r="E518" s="8" t="inlineStr">
        <is>
          <t>32032899</t>
        </is>
      </c>
      <c r="F518" s="8" t="inlineStr">
        <is>
          <t>GRAVAMEN LEY 25413 S/DEB</t>
        </is>
      </c>
      <c r="G518" s="8" t="inlineStr">
        <is>
          <t>Anticipo Ganancias Ley 25.413 débitos</t>
        </is>
      </c>
      <c r="H518" s="8" t="inlineStr">
        <is>
          <t>Anticipo Impuesto a las Ganancias</t>
        </is>
      </c>
      <c r="I518" s="9" t="n">
        <v>6.15</v>
      </c>
      <c r="J518" s="9" t="inlineStr"/>
      <c r="K518" s="8" t="inlineStr">
        <is>
          <t>Copiar en Flexxus: Tipo=MB-EXT | Movimiento=GRAVAMEN LEY 25.413 S/DEB | Monto=6,15 | Fecha: 29/04/2026</t>
        </is>
      </c>
    </row>
    <row r="519">
      <c r="A519" s="8" t="inlineStr">
        <is>
          <t>PEND-DCD017225DB1-A001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29/04/2026</t>
        </is>
      </c>
      <c r="E519" s="8" t="inlineStr">
        <is>
          <t>31995644</t>
        </is>
      </c>
      <c r="F519" s="8" t="inlineStr">
        <is>
          <t>GRAVAMEN LEY 25413 S/DEB</t>
        </is>
      </c>
      <c r="G519" s="8" t="inlineStr">
        <is>
          <t>Anticipo Ganancias Ley 25.413 débitos</t>
        </is>
      </c>
      <c r="H519" s="8" t="inlineStr">
        <is>
          <t>Anticipo Impuesto a las Ganancias</t>
        </is>
      </c>
      <c r="I519" s="9" t="n">
        <v>2.23</v>
      </c>
      <c r="J519" s="9" t="inlineStr"/>
      <c r="K519" s="8" t="inlineStr">
        <is>
          <t>Copiar en Flexxus: Tipo=MB-EXT | Movimiento=GRAVAMEN LEY 25.413 S/DEB | Monto=2,23 | Fecha: 29/04/2026</t>
        </is>
      </c>
    </row>
    <row r="520">
      <c r="A520" s="8" t="inlineStr">
        <is>
          <t>PEND-B8CE8DF4C38E-A001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29/04/2026</t>
        </is>
      </c>
      <c r="E520" s="8" t="inlineStr">
        <is>
          <t>109429</t>
        </is>
      </c>
      <c r="F520" s="8" t="inlineStr">
        <is>
          <t>GRAVAMEN LEY 25413 S/DEB</t>
        </is>
      </c>
      <c r="G520" s="8" t="inlineStr">
        <is>
          <t>Anticipo Ganancias Ley 25.413 débitos</t>
        </is>
      </c>
      <c r="H520" s="8" t="inlineStr">
        <is>
          <t>Anticipo Impuesto a las Ganancias</t>
        </is>
      </c>
      <c r="I520" s="9" t="n">
        <v>0.45</v>
      </c>
      <c r="J520" s="9" t="inlineStr"/>
      <c r="K520" s="8" t="inlineStr">
        <is>
          <t>Copiar en Flexxus: Tipo=MB-EXT | Movimiento=GRAVAMEN LEY 25.413 S/DEB | Monto=0,45 | Fecha: 29/04/2026</t>
        </is>
      </c>
    </row>
    <row r="521">
      <c r="A521" s="8" t="inlineStr">
        <is>
          <t>PEND-6B1211B0525D-A001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29/04/2026</t>
        </is>
      </c>
      <c r="E521" s="8" t="inlineStr">
        <is>
          <t>109424</t>
        </is>
      </c>
      <c r="F521" s="8" t="inlineStr">
        <is>
          <t>GRAVAMEN LEY 25413 S/DEB</t>
        </is>
      </c>
      <c r="G521" s="8" t="inlineStr">
        <is>
          <t>Anticipo Ganancias Ley 25.413 débitos</t>
        </is>
      </c>
      <c r="H521" s="8" t="inlineStr">
        <is>
          <t>Anticipo Impuesto a las Ganancias</t>
        </is>
      </c>
      <c r="I521" s="9" t="n">
        <v>6.24</v>
      </c>
      <c r="J521" s="9" t="inlineStr"/>
      <c r="K521" s="8" t="inlineStr">
        <is>
          <t>Copiar en Flexxus: Tipo=MB-EXT | Movimiento=GRAVAMEN LEY 25.413 S/DEB | Monto=6,24 | Fecha: 29/04/2026</t>
        </is>
      </c>
    </row>
    <row r="522">
      <c r="A522" s="8" t="inlineStr">
        <is>
          <t>PEND-D62A68069674-A001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29/04/2026</t>
        </is>
      </c>
      <c r="E522" s="8" t="inlineStr">
        <is>
          <t>109479</t>
        </is>
      </c>
      <c r="F522" s="8" t="inlineStr">
        <is>
          <t>INGRESOS BRUTOS MENDOZA</t>
        </is>
      </c>
      <c r="G522" s="8" t="inlineStr">
        <is>
          <t>Retención Ingresos Brutos Mendoza</t>
        </is>
      </c>
      <c r="H522" s="8" t="inlineStr">
        <is>
          <t>Retención de Ingresos Brutos</t>
        </is>
      </c>
      <c r="I522" s="9" t="n">
        <v>705.11</v>
      </c>
      <c r="J522" s="9" t="inlineStr"/>
      <c r="K522" s="8" t="inlineStr">
        <is>
          <t>Copiar en Flexxus: Tipo=MB-EXT | Movimiento=INGRESOS BRUTOS MENDOZA | Monto=705,11 | Fecha: 29/04/2026</t>
        </is>
      </c>
    </row>
    <row r="523">
      <c r="A523" s="8" t="inlineStr">
        <is>
          <t>PEND-A3963C64C01A-A001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29/04/2026</t>
        </is>
      </c>
      <c r="E523" s="8" t="inlineStr">
        <is>
          <t>109479</t>
        </is>
      </c>
      <c r="F523" s="8" t="inlineStr">
        <is>
          <t>GRAVAMEN LEY 25413 S/CRED</t>
        </is>
      </c>
      <c r="G523" s="8" t="inlineStr">
        <is>
          <t>Anticipo Ganancias Ley 25.413 créditos</t>
        </is>
      </c>
      <c r="H523" s="8" t="inlineStr">
        <is>
          <t>Anticipo Impuesto a las Ganancias</t>
        </is>
      </c>
      <c r="I523" s="9" t="n">
        <v>423.06</v>
      </c>
      <c r="J523" s="9" t="inlineStr"/>
      <c r="K523" s="8" t="inlineStr">
        <is>
          <t>Copiar en Flexxus: Tipo=MB-EXT | Movimiento=GRAVAMEN LEY 25.413 S/CRED | Monto=423,06 | Fecha: 29/04/2026</t>
        </is>
      </c>
    </row>
    <row r="524">
      <c r="A524" s="8" t="inlineStr">
        <is>
          <t>PEND-A378E1557EDB-A001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29/04/2026</t>
        </is>
      </c>
      <c r="E524" s="8" t="inlineStr">
        <is>
          <t>109476</t>
        </is>
      </c>
      <c r="F524" s="8" t="inlineStr">
        <is>
          <t>GRAVAMEN LEY 25413 S/CRED</t>
        </is>
      </c>
      <c r="G524" s="8" t="inlineStr">
        <is>
          <t>Anticipo Ganancias Ley 25.413 créditos</t>
        </is>
      </c>
      <c r="H524" s="8" t="inlineStr">
        <is>
          <t>Anticipo Impuesto a las Ganancias</t>
        </is>
      </c>
      <c r="I524" s="9" t="n">
        <v>33.87</v>
      </c>
      <c r="J524" s="9" t="inlineStr"/>
      <c r="K524" s="8" t="inlineStr">
        <is>
          <t>Copiar en Flexxus: Tipo=MB-EXT | Movimiento=GRAVAMEN LEY 25.413 S/CRED | Monto=33,87 | Fecha: 29/04/2026</t>
        </is>
      </c>
    </row>
    <row r="525">
      <c r="A525" s="8" t="inlineStr">
        <is>
          <t>PEND-5DBBE502C7D1-A001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29/04/2026</t>
        </is>
      </c>
      <c r="E525" s="8" t="inlineStr">
        <is>
          <t>109475</t>
        </is>
      </c>
      <c r="F525" s="8" t="inlineStr">
        <is>
          <t>INGRESOS BRUTOS MENDOZA</t>
        </is>
      </c>
      <c r="G525" s="8" t="inlineStr">
        <is>
          <t>Retención Ingresos Brutos Mendoza</t>
        </is>
      </c>
      <c r="H525" s="8" t="inlineStr">
        <is>
          <t>Retención de Ingresos Brutos</t>
        </is>
      </c>
      <c r="I525" s="9" t="n">
        <v>222.82</v>
      </c>
      <c r="J525" s="9" t="inlineStr"/>
      <c r="K525" s="8" t="inlineStr">
        <is>
          <t>Copiar en Flexxus: Tipo=MB-EXT | Movimiento=INGRESOS BRUTOS MENDOZA | Monto=222,82 | Fecha: 29/04/2026</t>
        </is>
      </c>
    </row>
    <row r="526">
      <c r="A526" s="8" t="inlineStr">
        <is>
          <t>PEND-1E5A2F094B9E-A001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29/04/2026</t>
        </is>
      </c>
      <c r="E526" s="8" t="inlineStr">
        <is>
          <t>109474</t>
        </is>
      </c>
      <c r="F526" s="8" t="inlineStr">
        <is>
          <t>GRAVAMEN LEY 25413 S/DEB</t>
        </is>
      </c>
      <c r="G526" s="8" t="inlineStr">
        <is>
          <t>Anticipo Ganancias Ley 25.413 débitos</t>
        </is>
      </c>
      <c r="H526" s="8" t="inlineStr">
        <is>
          <t>Anticipo Impuesto a las Ganancias</t>
        </is>
      </c>
      <c r="I526" s="9" t="n">
        <v>6522</v>
      </c>
      <c r="J526" s="9" t="inlineStr"/>
      <c r="K526" s="8" t="inlineStr">
        <is>
          <t>Copiar en Flexxus: Tipo=MB-EXT | Movimiento=GRAVAMEN LEY 25.413 S/DEB | Monto=6.522,00 | Fecha: 29/04/2026</t>
        </is>
      </c>
    </row>
    <row r="527">
      <c r="A527" s="8" t="inlineStr">
        <is>
          <t>PEND-A000F4136D7B-A001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29/04/2026</t>
        </is>
      </c>
      <c r="E527" s="8" t="inlineStr">
        <is>
          <t>109473</t>
        </is>
      </c>
      <c r="F527" s="8" t="inlineStr">
        <is>
          <t>INGRESOS BRUTOS MENDOZA</t>
        </is>
      </c>
      <c r="G527" s="8" t="inlineStr">
        <is>
          <t>Retención Ingresos Brutos Mendoza</t>
        </is>
      </c>
      <c r="H527" s="8" t="inlineStr">
        <is>
          <t>Retención de Ingresos Brutos</t>
        </is>
      </c>
      <c r="I527" s="9" t="n">
        <v>232.73</v>
      </c>
      <c r="J527" s="9" t="inlineStr"/>
      <c r="K527" s="8" t="inlineStr">
        <is>
          <t>Copiar en Flexxus: Tipo=MB-EXT | Movimiento=INGRESOS BRUTOS MENDOZA | Monto=232,73 | Fecha: 29/04/2026</t>
        </is>
      </c>
    </row>
    <row r="528">
      <c r="A528" s="8" t="inlineStr">
        <is>
          <t>PEND-65D447FA926D-A001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29/04/2026</t>
        </is>
      </c>
      <c r="E528" s="8" t="inlineStr">
        <is>
          <t>109473</t>
        </is>
      </c>
      <c r="F528" s="8" t="inlineStr">
        <is>
          <t>GRAVAMEN LEY 25413 S/CRED</t>
        </is>
      </c>
      <c r="G528" s="8" t="inlineStr">
        <is>
          <t>Anticipo Ganancias Ley 25.413 créditos</t>
        </is>
      </c>
      <c r="H528" s="8" t="inlineStr">
        <is>
          <t>Anticipo Impuesto a las Ganancias</t>
        </is>
      </c>
      <c r="I528" s="9" t="n">
        <v>139.64</v>
      </c>
      <c r="J528" s="9" t="inlineStr"/>
      <c r="K528" s="8" t="inlineStr">
        <is>
          <t>Copiar en Flexxus: Tipo=MB-EXT | Movimiento=GRAVAMEN LEY 25.413 S/CRED | Monto=139,64 | Fecha: 29/04/2026</t>
        </is>
      </c>
    </row>
    <row r="529">
      <c r="A529" s="8" t="inlineStr">
        <is>
          <t>PEND-25AF9D9ED7CD-A001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29/04/2026</t>
        </is>
      </c>
      <c r="E529" s="8" t="inlineStr">
        <is>
          <t>109472</t>
        </is>
      </c>
      <c r="F529" s="8" t="inlineStr">
        <is>
          <t>INGRESOS BRUTOS MENDOZA</t>
        </is>
      </c>
      <c r="G529" s="8" t="inlineStr">
        <is>
          <t>Retención Ingresos Brutos Mendoza</t>
        </is>
      </c>
      <c r="H529" s="8" t="inlineStr">
        <is>
          <t>Retención de Ingresos Brutos</t>
        </is>
      </c>
      <c r="I529" s="9" t="n">
        <v>512</v>
      </c>
      <c r="J529" s="9" t="inlineStr"/>
      <c r="K529" s="8" t="inlineStr">
        <is>
          <t>Copiar en Flexxus: Tipo=MB-EXT | Movimiento=INGRESOS BRUTOS MENDOZA | Monto=512,00 | Fecha: 29/04/2026</t>
        </is>
      </c>
    </row>
    <row r="530">
      <c r="A530" s="8" t="inlineStr">
        <is>
          <t>PEND-86A6A8A4040F-A001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29/04/2026</t>
        </is>
      </c>
      <c r="E530" s="8" t="inlineStr">
        <is>
          <t>109472</t>
        </is>
      </c>
      <c r="F530" s="8" t="inlineStr">
        <is>
          <t>GRAVAMEN LEY 25413 S/CRED</t>
        </is>
      </c>
      <c r="G530" s="8" t="inlineStr">
        <is>
          <t>Anticipo Ganancias Ley 25.413 créditos</t>
        </is>
      </c>
      <c r="H530" s="8" t="inlineStr">
        <is>
          <t>Anticipo Impuesto a las Ganancias</t>
        </is>
      </c>
      <c r="I530" s="9" t="n">
        <v>307.2</v>
      </c>
      <c r="J530" s="9" t="inlineStr"/>
      <c r="K530" s="8" t="inlineStr">
        <is>
          <t>Copiar en Flexxus: Tipo=MB-EXT | Movimiento=GRAVAMEN LEY 25.413 S/CRED | Monto=307,20 | Fecha: 29/04/2026</t>
        </is>
      </c>
    </row>
    <row r="531">
      <c r="A531" s="8" t="inlineStr">
        <is>
          <t>PEND-0FB0E04EB4AC-A001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29/04/2026</t>
        </is>
      </c>
      <c r="E531" s="8" t="inlineStr">
        <is>
          <t>109471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74.27</v>
      </c>
      <c r="J531" s="9" t="inlineStr"/>
      <c r="K531" s="8" t="inlineStr">
        <is>
          <t>Copiar en Flexxus: Tipo=MB-EXT | Movimiento=INGRESOS BRUTOS MENDOZA | Monto=74,27 | Fecha: 29/04/2026</t>
        </is>
      </c>
    </row>
    <row r="532">
      <c r="A532" s="8" t="inlineStr">
        <is>
          <t>PEND-6B87D9D475AA-A001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29/04/2026</t>
        </is>
      </c>
      <c r="E532" s="8" t="inlineStr">
        <is>
          <t>109470</t>
        </is>
      </c>
      <c r="F532" s="8" t="inlineStr">
        <is>
          <t>INGRESOS BRUTOS MENDOZA</t>
        </is>
      </c>
      <c r="G532" s="8" t="inlineStr">
        <is>
          <t>Retención Ingresos Brutos Mendoza</t>
        </is>
      </c>
      <c r="H532" s="8" t="inlineStr">
        <is>
          <t>Retención de Ingresos Brutos</t>
        </is>
      </c>
      <c r="I532" s="9" t="n">
        <v>222.82</v>
      </c>
      <c r="J532" s="9" t="inlineStr"/>
      <c r="K532" s="8" t="inlineStr">
        <is>
          <t>Copiar en Flexxus: Tipo=MB-EXT | Movimiento=INGRESOS BRUTOS MENDOZA | Monto=222,82 | Fecha: 29/04/2026</t>
        </is>
      </c>
    </row>
    <row r="533">
      <c r="A533" s="8" t="inlineStr">
        <is>
          <t>PEND-7DE050FD1ABE-A001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29/04/2026</t>
        </is>
      </c>
      <c r="E533" s="8" t="inlineStr">
        <is>
          <t>109469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445.64</v>
      </c>
      <c r="J533" s="9" t="inlineStr"/>
      <c r="K533" s="8" t="inlineStr">
        <is>
          <t>Copiar en Flexxus: Tipo=MB-EXT | Movimiento=INGRESOS BRUTOS MENDOZA | Monto=445,64 | Fecha: 29/04/2026</t>
        </is>
      </c>
    </row>
    <row r="534">
      <c r="A534" s="8" t="inlineStr">
        <is>
          <t>PEND-2C71CA29ADF7-A001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29/04/2026</t>
        </is>
      </c>
      <c r="E534" s="8" t="inlineStr">
        <is>
          <t>109468</t>
        </is>
      </c>
      <c r="F534" s="8" t="inlineStr">
        <is>
          <t>INGRESOS BRUTOS MENDOZA</t>
        </is>
      </c>
      <c r="G534" s="8" t="inlineStr">
        <is>
          <t>Retención Ingresos Brutos Mendoza</t>
        </is>
      </c>
      <c r="H534" s="8" t="inlineStr">
        <is>
          <t>Retención de Ingresos Brutos</t>
        </is>
      </c>
      <c r="I534" s="9" t="n">
        <v>74.27</v>
      </c>
      <c r="J534" s="9" t="inlineStr"/>
      <c r="K534" s="8" t="inlineStr">
        <is>
          <t>Copiar en Flexxus: Tipo=MB-EXT | Movimiento=INGRESOS BRUTOS MENDOZA | Monto=74,27 | Fecha: 29/04/2026</t>
        </is>
      </c>
    </row>
    <row r="535">
      <c r="A535" s="8" t="inlineStr">
        <is>
          <t>PEND-641D99D5C02D-A001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29/04/2026</t>
        </is>
      </c>
      <c r="E535" s="8" t="inlineStr">
        <is>
          <t>109467</t>
        </is>
      </c>
      <c r="F535" s="8" t="inlineStr">
        <is>
          <t>INGRESOS BRUTOS MENDOZA</t>
        </is>
      </c>
      <c r="G535" s="8" t="inlineStr">
        <is>
          <t>Retención Ingresos Brutos Mendoza</t>
        </is>
      </c>
      <c r="H535" s="8" t="inlineStr">
        <is>
          <t>Retención de Ingresos Brutos</t>
        </is>
      </c>
      <c r="I535" s="9" t="n">
        <v>893.27</v>
      </c>
      <c r="J535" s="9" t="inlineStr"/>
      <c r="K535" s="8" t="inlineStr">
        <is>
          <t>Copiar en Flexxus: Tipo=MB-EXT | Movimiento=INGRESOS BRUTOS MENDOZA | Monto=893,27 | Fecha: 29/04/2026</t>
        </is>
      </c>
    </row>
    <row r="536">
      <c r="A536" s="8" t="inlineStr">
        <is>
          <t>PEND-6C14BCFE4242-A001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29/04/2026</t>
        </is>
      </c>
      <c r="E536" s="8" t="inlineStr">
        <is>
          <t>109467</t>
        </is>
      </c>
      <c r="F536" s="8" t="inlineStr">
        <is>
          <t>GRAVAMEN LEY 25413 S/CRED</t>
        </is>
      </c>
      <c r="G536" s="8" t="inlineStr">
        <is>
          <t>Anticipo Ganancias Ley 25.413 créditos</t>
        </is>
      </c>
      <c r="H536" s="8" t="inlineStr">
        <is>
          <t>Anticipo Impuesto a las Ganancias</t>
        </is>
      </c>
      <c r="I536" s="9" t="n">
        <v>535.96</v>
      </c>
      <c r="J536" s="9" t="inlineStr"/>
      <c r="K536" s="8" t="inlineStr">
        <is>
          <t>Copiar en Flexxus: Tipo=MB-EXT | Movimiento=GRAVAMEN LEY 25.413 S/CRED | Monto=535,96 | Fecha: 29/04/2026</t>
        </is>
      </c>
    </row>
    <row r="537">
      <c r="A537" s="8" t="inlineStr">
        <is>
          <t>PEND-D9EB6477CA1B-A001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29/04/2026</t>
        </is>
      </c>
      <c r="E537" s="8" t="inlineStr">
        <is>
          <t>32032899</t>
        </is>
      </c>
      <c r="F537" s="8" t="inlineStr">
        <is>
          <t>INGRESOS BRUTOS MENDOZA</t>
        </is>
      </c>
      <c r="G537" s="8" t="inlineStr">
        <is>
          <t>Retención Ingresos Brutos Mendoza</t>
        </is>
      </c>
      <c r="H537" s="8" t="inlineStr">
        <is>
          <t>Retención de Ingresos Brutos</t>
        </is>
      </c>
      <c r="I537" s="9" t="n">
        <v>3089.21</v>
      </c>
      <c r="J537" s="9" t="inlineStr"/>
      <c r="K537" s="8" t="inlineStr">
        <is>
          <t>Copiar en Flexxus: Tipo=MB-EXT | Movimiento=INGRESOS BRUTOS MENDOZA | Monto=3.089,21 | Fecha: 29/04/2026</t>
        </is>
      </c>
    </row>
    <row r="538">
      <c r="A538" s="8" t="inlineStr">
        <is>
          <t>PEND-0443AD88854A-A001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29/04/2026</t>
        </is>
      </c>
      <c r="E538" s="8" t="inlineStr">
        <is>
          <t>32032899</t>
        </is>
      </c>
      <c r="F538" s="8" t="inlineStr">
        <is>
          <t>GRAVAMEN LEY 25413 S/CRED</t>
        </is>
      </c>
      <c r="G538" s="8" t="inlineStr">
        <is>
          <t>Anticipo Ganancias Ley 25.413 créditos</t>
        </is>
      </c>
      <c r="H538" s="8" t="inlineStr">
        <is>
          <t>Anticipo Impuesto a las Ganancias</t>
        </is>
      </c>
      <c r="I538" s="9" t="n">
        <v>1853.53</v>
      </c>
      <c r="J538" s="9" t="inlineStr"/>
      <c r="K538" s="8" t="inlineStr">
        <is>
          <t>Copiar en Flexxus: Tipo=MB-EXT | Movimiento=GRAVAMEN LEY 25.413 S/CRED | Monto=1.853,53 | Fecha: 29/04/2026</t>
        </is>
      </c>
    </row>
    <row r="539">
      <c r="A539" s="8" t="inlineStr">
        <is>
          <t>PEND-E901D2C4AEC9-A001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29/04/2026</t>
        </is>
      </c>
      <c r="E539" s="8" t="inlineStr">
        <is>
          <t>29841705</t>
        </is>
      </c>
      <c r="F539" s="8" t="inlineStr">
        <is>
          <t>INGRESOS BRUTOS MENDOZA</t>
        </is>
      </c>
      <c r="G539" s="8" t="inlineStr">
        <is>
          <t>Retención Ingresos Brutos Mendoza</t>
        </is>
      </c>
      <c r="H539" s="8" t="inlineStr">
        <is>
          <t>Retención de Ingresos Brutos</t>
        </is>
      </c>
      <c r="I539" s="9" t="n">
        <v>484.07</v>
      </c>
      <c r="J539" s="9" t="inlineStr"/>
      <c r="K539" s="8" t="inlineStr">
        <is>
          <t>Copiar en Flexxus: Tipo=MB-EXT | Movimiento=INGRESOS BRUTOS MENDOZA | Monto=484,07 | Fecha: 29/04/2026</t>
        </is>
      </c>
    </row>
    <row r="540">
      <c r="A540" s="8" t="inlineStr">
        <is>
          <t>PEND-E58961A73481-A001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29/04/2026</t>
        </is>
      </c>
      <c r="E540" s="8" t="inlineStr">
        <is>
          <t>29841705</t>
        </is>
      </c>
      <c r="F540" s="8" t="inlineStr">
        <is>
          <t>GRAVAMEN LEY 25413 S/CRED</t>
        </is>
      </c>
      <c r="G540" s="8" t="inlineStr">
        <is>
          <t>Anticipo Ganancias Ley 25.413 créditos</t>
        </is>
      </c>
      <c r="H540" s="8" t="inlineStr">
        <is>
          <t>Anticipo Impuesto a las Ganancias</t>
        </is>
      </c>
      <c r="I540" s="9" t="n">
        <v>290.44</v>
      </c>
      <c r="J540" s="9" t="inlineStr"/>
      <c r="K540" s="8" t="inlineStr">
        <is>
          <t>Copiar en Flexxus: Tipo=MB-EXT | Movimiento=GRAVAMEN LEY 25.413 S/CRED | Monto=290,44 | Fecha: 29/04/2026</t>
        </is>
      </c>
    </row>
    <row r="541">
      <c r="A541" s="8" t="inlineStr">
        <is>
          <t>PEND-2FEB111F44E3-A001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29/04/2026</t>
        </is>
      </c>
      <c r="E541" s="8" t="inlineStr">
        <is>
          <t>29841683</t>
        </is>
      </c>
      <c r="F541" s="8" t="inlineStr">
        <is>
          <t>INGRESOS BRUTOS MENDOZA</t>
        </is>
      </c>
      <c r="G541" s="8" t="inlineStr">
        <is>
          <t>Retención Ingresos Brutos Mendoza</t>
        </is>
      </c>
      <c r="H541" s="8" t="inlineStr">
        <is>
          <t>Retención de Ingresos Brutos</t>
        </is>
      </c>
      <c r="I541" s="9" t="n">
        <v>223.27</v>
      </c>
      <c r="J541" s="9" t="inlineStr"/>
      <c r="K541" s="8" t="inlineStr">
        <is>
          <t>Copiar en Flexxus: Tipo=MB-EXT | Movimiento=INGRESOS BRUTOS MENDOZA | Monto=223,27 | Fecha: 29/04/2026</t>
        </is>
      </c>
    </row>
    <row r="542">
      <c r="A542" s="8" t="inlineStr">
        <is>
          <t>PEND-6D1AB2EE642D-A001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29/04/2026</t>
        </is>
      </c>
      <c r="E542" s="8" t="inlineStr">
        <is>
          <t>29841683</t>
        </is>
      </c>
      <c r="F542" s="8" t="inlineStr">
        <is>
          <t>GRAVAMEN LEY 25413 S/CRED</t>
        </is>
      </c>
      <c r="G542" s="8" t="inlineStr">
        <is>
          <t>Anticipo Ganancias Ley 25.413 créditos</t>
        </is>
      </c>
      <c r="H542" s="8" t="inlineStr">
        <is>
          <t>Anticipo Impuesto a las Ganancias</t>
        </is>
      </c>
      <c r="I542" s="9" t="n">
        <v>133.96</v>
      </c>
      <c r="J542" s="9" t="inlineStr"/>
      <c r="K542" s="8" t="inlineStr">
        <is>
          <t>Copiar en Flexxus: Tipo=MB-EXT | Movimiento=GRAVAMEN LEY 25.413 S/CRED | Monto=133,96 | Fecha: 29/04/2026</t>
        </is>
      </c>
    </row>
    <row r="543">
      <c r="A543" s="8" t="inlineStr">
        <is>
          <t>PEND-E8B7ADFDBC32-A001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29/04/2026</t>
        </is>
      </c>
      <c r="E543" s="8" t="inlineStr">
        <is>
          <t>29841627</t>
        </is>
      </c>
      <c r="F543" s="8" t="inlineStr">
        <is>
          <t>INGRESOS BRUTOS MENDOZA</t>
        </is>
      </c>
      <c r="G543" s="8" t="inlineStr">
        <is>
          <t>Retención Ingresos Brutos Mendoza</t>
        </is>
      </c>
      <c r="H543" s="8" t="inlineStr">
        <is>
          <t>Retención de Ingresos Brutos</t>
        </is>
      </c>
      <c r="I543" s="9" t="n">
        <v>385.28</v>
      </c>
      <c r="J543" s="9" t="inlineStr"/>
      <c r="K543" s="8" t="inlineStr">
        <is>
          <t>Copiar en Flexxus: Tipo=MB-EXT | Movimiento=INGRESOS BRUTOS MENDOZA | Monto=385,28 | Fecha: 29/04/2026</t>
        </is>
      </c>
    </row>
    <row r="544">
      <c r="A544" s="8" t="inlineStr">
        <is>
          <t>PEND-4C04E6DD14A1-A001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29/04/2026</t>
        </is>
      </c>
      <c r="E544" s="8" t="inlineStr">
        <is>
          <t>29841627</t>
        </is>
      </c>
      <c r="F544" s="8" t="inlineStr">
        <is>
          <t>GRAVAMEN LEY 25413 S/CRED</t>
        </is>
      </c>
      <c r="G544" s="8" t="inlineStr">
        <is>
          <t>Anticipo Ganancias Ley 25.413 créditos</t>
        </is>
      </c>
      <c r="H544" s="8" t="inlineStr">
        <is>
          <t>Anticipo Impuesto a las Ganancias</t>
        </is>
      </c>
      <c r="I544" s="9" t="n">
        <v>231.17</v>
      </c>
      <c r="J544" s="9" t="inlineStr"/>
      <c r="K544" s="8" t="inlineStr">
        <is>
          <t>Copiar en Flexxus: Tipo=MB-EXT | Movimiento=GRAVAMEN LEY 25.413 S/CRED | Monto=231,17 | Fecha: 29/04/2026</t>
        </is>
      </c>
    </row>
    <row r="545">
      <c r="A545" s="8" t="inlineStr">
        <is>
          <t>PEND-3264B2DE7059-A001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29/04/2026</t>
        </is>
      </c>
      <c r="E545" s="8" t="inlineStr">
        <is>
          <t>29841683</t>
        </is>
      </c>
      <c r="F545" s="8" t="inlineStr">
        <is>
          <t>INGRESOS BRUTOS MENDOZA</t>
        </is>
      </c>
      <c r="G545" s="8" t="inlineStr">
        <is>
          <t>Retención Ingresos Brutos Mendoza</t>
        </is>
      </c>
      <c r="H545" s="8" t="inlineStr">
        <is>
          <t>Retención de Ingresos Brutos</t>
        </is>
      </c>
      <c r="I545" s="9" t="n">
        <v>123.49</v>
      </c>
      <c r="J545" s="9" t="inlineStr"/>
      <c r="K545" s="8" t="inlineStr">
        <is>
          <t>Copiar en Flexxus: Tipo=MB-EXT | Movimiento=INGRESOS BRUTOS MENDOZA | Monto=123,49 | Fecha: 29/04/2026</t>
        </is>
      </c>
    </row>
    <row r="546">
      <c r="A546" s="8" t="inlineStr">
        <is>
          <t>PEND-93F50B407A9C-A001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29/04/2026</t>
        </is>
      </c>
      <c r="E546" s="8" t="inlineStr">
        <is>
          <t>29841683</t>
        </is>
      </c>
      <c r="F546" s="8" t="inlineStr">
        <is>
          <t>GRAVAMEN LEY 25413 S/CRED</t>
        </is>
      </c>
      <c r="G546" s="8" t="inlineStr">
        <is>
          <t>Anticipo Ganancias Ley 25.413 créditos</t>
        </is>
      </c>
      <c r="H546" s="8" t="inlineStr">
        <is>
          <t>Anticipo Impuesto a las Ganancias</t>
        </is>
      </c>
      <c r="I546" s="9" t="n">
        <v>74.09</v>
      </c>
      <c r="J546" s="9" t="inlineStr"/>
      <c r="K546" s="8" t="inlineStr">
        <is>
          <t>Copiar en Flexxus: Tipo=MB-EXT | Movimiento=GRAVAMEN LEY 25.413 S/CRED | Monto=74,09 | Fecha: 29/04/2026</t>
        </is>
      </c>
    </row>
    <row r="547">
      <c r="A547" s="8" t="inlineStr">
        <is>
          <t>PEND-5D77C8CEF5AD-A001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29/04/2026</t>
        </is>
      </c>
      <c r="E547" s="8" t="inlineStr">
        <is>
          <t>29841670</t>
        </is>
      </c>
      <c r="F547" s="8" t="inlineStr">
        <is>
          <t>GRAVAMEN LEY 25413 S/CRED</t>
        </is>
      </c>
      <c r="G547" s="8" t="inlineStr">
        <is>
          <t>Anticipo Ganancias Ley 25.413 créditos</t>
        </is>
      </c>
      <c r="H547" s="8" t="inlineStr">
        <is>
          <t>Anticipo Impuesto a las Ganancias</t>
        </is>
      </c>
      <c r="I547" s="9" t="n">
        <v>280.96</v>
      </c>
      <c r="J547" s="9" t="inlineStr"/>
      <c r="K547" s="8" t="inlineStr">
        <is>
          <t>Copiar en Flexxus: Tipo=MB-EXT | Movimiento=GRAVAMEN LEY 25.413 S/CRED | Monto=280,96 | Fecha: 29/04/2026</t>
        </is>
      </c>
    </row>
    <row r="548">
      <c r="A548" s="8" t="inlineStr">
        <is>
          <t>PEND-D8440836C1FE-A001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29/04/2026</t>
        </is>
      </c>
      <c r="E548" s="8" t="inlineStr">
        <is>
          <t>32032899</t>
        </is>
      </c>
      <c r="F548" s="8" t="inlineStr">
        <is>
          <t>INGRESOS BRUTOS MENDOZA</t>
        </is>
      </c>
      <c r="G548" s="8" t="inlineStr">
        <is>
          <t>Retención Ingresos Brutos Mendoza</t>
        </is>
      </c>
      <c r="H548" s="8" t="inlineStr">
        <is>
          <t>Retención de Ingresos Brutos</t>
        </is>
      </c>
      <c r="I548" s="9" t="n">
        <v>1293.47</v>
      </c>
      <c r="J548" s="9" t="inlineStr"/>
      <c r="K548" s="8" t="inlineStr">
        <is>
          <t>Copiar en Flexxus: Tipo=MB-EXT | Movimiento=INGRESOS BRUTOS MENDOZA | Monto=1.293,47 | Fecha: 29/04/2026</t>
        </is>
      </c>
    </row>
    <row r="549">
      <c r="A549" s="8" t="inlineStr">
        <is>
          <t>PEND-63310FB4ED15-A001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29/04/2026</t>
        </is>
      </c>
      <c r="E549" s="8" t="inlineStr">
        <is>
          <t>32032899</t>
        </is>
      </c>
      <c r="F549" s="8" t="inlineStr">
        <is>
          <t>GRAVAMEN LEY 25413 S/CRED</t>
        </is>
      </c>
      <c r="G549" s="8" t="inlineStr">
        <is>
          <t>Anticipo Ganancias Ley 25.413 créditos</t>
        </is>
      </c>
      <c r="H549" s="8" t="inlineStr">
        <is>
          <t>Anticipo Impuesto a las Ganancias</t>
        </is>
      </c>
      <c r="I549" s="9" t="n">
        <v>776.08</v>
      </c>
      <c r="J549" s="9" t="inlineStr"/>
      <c r="K549" s="8" t="inlineStr">
        <is>
          <t>Copiar en Flexxus: Tipo=MB-EXT | Movimiento=GRAVAMEN LEY 25.413 S/CRED | Monto=776,08 | Fecha: 29/04/2026</t>
        </is>
      </c>
    </row>
    <row r="550">
      <c r="A550" s="8" t="inlineStr">
        <is>
          <t>PEND-EE8070B6BEC1-A001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29/04/2026</t>
        </is>
      </c>
      <c r="E550" s="8" t="inlineStr">
        <is>
          <t>31995644</t>
        </is>
      </c>
      <c r="F550" s="8" t="inlineStr">
        <is>
          <t>INGRESOS BRUTOS MENDOZA</t>
        </is>
      </c>
      <c r="G550" s="8" t="inlineStr">
        <is>
          <t>Retención Ingresos Brutos Mendoza</t>
        </is>
      </c>
      <c r="H550" s="8" t="inlineStr">
        <is>
          <t>Retención de Ingresos Brutos</t>
        </is>
      </c>
      <c r="I550" s="9" t="n">
        <v>714.1</v>
      </c>
      <c r="J550" s="9" t="inlineStr"/>
      <c r="K550" s="8" t="inlineStr">
        <is>
          <t>Copiar en Flexxus: Tipo=MB-EXT | Movimiento=INGRESOS BRUTOS MENDOZA | Monto=714,10 | Fecha: 29/04/2026</t>
        </is>
      </c>
    </row>
    <row r="551">
      <c r="A551" s="8" t="inlineStr">
        <is>
          <t>PEND-A030CBFFB799-A001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29/04/2026</t>
        </is>
      </c>
      <c r="E551" s="8" t="inlineStr">
        <is>
          <t>31995644</t>
        </is>
      </c>
      <c r="F551" s="8" t="inlineStr">
        <is>
          <t>GRAVAMEN LEY 25413 S/CRED</t>
        </is>
      </c>
      <c r="G551" s="8" t="inlineStr">
        <is>
          <t>Anticipo Ganancias Ley 25.413 créditos</t>
        </is>
      </c>
      <c r="H551" s="8" t="inlineStr">
        <is>
          <t>Anticipo Impuesto a las Ganancias</t>
        </is>
      </c>
      <c r="I551" s="9" t="n">
        <v>428.46</v>
      </c>
      <c r="J551" s="9" t="inlineStr"/>
      <c r="K551" s="8" t="inlineStr">
        <is>
          <t>Copiar en Flexxus: Tipo=MB-EXT | Movimiento=GRAVAMEN LEY 25.413 S/CRED | Monto=428,46 | Fecha: 29/04/2026</t>
        </is>
      </c>
    </row>
    <row r="552">
      <c r="A552" s="8" t="inlineStr">
        <is>
          <t>PEND-71DFDCC13DA5-A001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29/04/2026</t>
        </is>
      </c>
      <c r="E552" s="8" t="inlineStr">
        <is>
          <t>32032899</t>
        </is>
      </c>
      <c r="F552" s="8" t="inlineStr">
        <is>
          <t>INGRESOS BRUTOS MENDOZA</t>
        </is>
      </c>
      <c r="G552" s="8" t="inlineStr">
        <is>
          <t>Retención Ingresos Brutos Mendoza</t>
        </is>
      </c>
      <c r="H552" s="8" t="inlineStr">
        <is>
          <t>Retención de Ingresos Brutos</t>
        </is>
      </c>
      <c r="I552" s="9" t="n">
        <v>540.96</v>
      </c>
      <c r="J552" s="9" t="inlineStr"/>
      <c r="K552" s="8" t="inlineStr">
        <is>
          <t>Copiar en Flexxus: Tipo=MB-EXT | Movimiento=INGRESOS BRUTOS MENDOZA | Monto=540,96 | Fecha: 29/04/2026</t>
        </is>
      </c>
    </row>
    <row r="553">
      <c r="A553" s="8" t="inlineStr">
        <is>
          <t>PEND-123ECD6B3750-A001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29/04/2026</t>
        </is>
      </c>
      <c r="E553" s="8" t="inlineStr">
        <is>
          <t>32032899</t>
        </is>
      </c>
      <c r="F553" s="8" t="inlineStr">
        <is>
          <t>GRAVAMEN LEY 25413 S/CRED</t>
        </is>
      </c>
      <c r="G553" s="8" t="inlineStr">
        <is>
          <t>Anticipo Ganancias Ley 25.413 créditos</t>
        </is>
      </c>
      <c r="H553" s="8" t="inlineStr">
        <is>
          <t>Anticipo Impuesto a las Ganancias</t>
        </is>
      </c>
      <c r="I553" s="9" t="n">
        <v>324.57</v>
      </c>
      <c r="J553" s="9" t="inlineStr"/>
      <c r="K553" s="8" t="inlineStr">
        <is>
          <t>Copiar en Flexxus: Tipo=MB-EXT | Movimiento=GRAVAMEN LEY 25.413 S/CRED | Monto=324,57 | Fecha: 29/04/2026</t>
        </is>
      </c>
    </row>
    <row r="554">
      <c r="A554" s="8" t="inlineStr">
        <is>
          <t>PEND-FD3FEC473D36-A001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29/04/2026</t>
        </is>
      </c>
      <c r="E554" s="8" t="inlineStr">
        <is>
          <t>31995644</t>
        </is>
      </c>
      <c r="F554" s="8" t="inlineStr">
        <is>
          <t>INGRESOS BRUTOS MENDOZA</t>
        </is>
      </c>
      <c r="G554" s="8" t="inlineStr">
        <is>
          <t>Retención Ingresos Brutos Mendoza</t>
        </is>
      </c>
      <c r="H554" s="8" t="inlineStr">
        <is>
          <t>Retención de Ingresos Brutos</t>
        </is>
      </c>
      <c r="I554" s="9" t="n">
        <v>2269.52</v>
      </c>
      <c r="J554" s="9" t="inlineStr"/>
      <c r="K554" s="8" t="inlineStr">
        <is>
          <t>Copiar en Flexxus: Tipo=MB-EXT | Movimiento=INGRESOS BRUTOS MENDOZA | Monto=2.269,52 | Fecha: 29/04/2026</t>
        </is>
      </c>
    </row>
    <row r="555">
      <c r="A555" s="8" t="inlineStr">
        <is>
          <t>PEND-8F22C5CFC286-A001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29/04/2026</t>
        </is>
      </c>
      <c r="E555" s="8" t="inlineStr">
        <is>
          <t>31995644</t>
        </is>
      </c>
      <c r="F555" s="8" t="inlineStr">
        <is>
          <t>GRAVAMEN LEY 25413 S/CRED</t>
        </is>
      </c>
      <c r="G555" s="8" t="inlineStr">
        <is>
          <t>Anticipo Ganancias Ley 25.413 créditos</t>
        </is>
      </c>
      <c r="H555" s="8" t="inlineStr">
        <is>
          <t>Anticipo Impuesto a las Ganancias</t>
        </is>
      </c>
      <c r="I555" s="9" t="n">
        <v>1361.71</v>
      </c>
      <c r="J555" s="9" t="inlineStr"/>
      <c r="K555" s="8" t="inlineStr">
        <is>
          <t>Copiar en Flexxus: Tipo=MB-EXT | Movimiento=GRAVAMEN LEY 25.413 S/CRED | Monto=1.361,71 | Fecha: 29/04/2026</t>
        </is>
      </c>
    </row>
    <row r="556">
      <c r="A556" s="8" t="inlineStr">
        <is>
          <t>PEND-6B289E6E2303-A001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29/04/2026</t>
        </is>
      </c>
      <c r="E556" s="8" t="inlineStr">
        <is>
          <t>109454</t>
        </is>
      </c>
      <c r="F556" s="8" t="inlineStr">
        <is>
          <t>INGRESOS BRUTOS MENDOZA</t>
        </is>
      </c>
      <c r="G556" s="8" t="inlineStr">
        <is>
          <t>Retención Ingresos Brutos Mendoza</t>
        </is>
      </c>
      <c r="H556" s="8" t="inlineStr">
        <is>
          <t>Retención de Ingresos Brutos</t>
        </is>
      </c>
      <c r="I556" s="9" t="n">
        <v>548.64</v>
      </c>
      <c r="J556" s="9" t="inlineStr"/>
      <c r="K556" s="8" t="inlineStr">
        <is>
          <t>Copiar en Flexxus: Tipo=MB-EXT | Movimiento=INGRESOS BRUTOS MENDOZA | Monto=548,64 | Fecha: 29/04/2026</t>
        </is>
      </c>
    </row>
    <row r="557">
      <c r="A557" s="8" t="inlineStr">
        <is>
          <t>PEND-F4AE862DE033-A001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29/04/2026</t>
        </is>
      </c>
      <c r="E557" s="8" t="inlineStr">
        <is>
          <t>109454</t>
        </is>
      </c>
      <c r="F557" s="8" t="inlineStr">
        <is>
          <t>GRAVAMEN LEY 25413 S/CRED</t>
        </is>
      </c>
      <c r="G557" s="8" t="inlineStr">
        <is>
          <t>Anticipo Ganancias Ley 25.413 créditos</t>
        </is>
      </c>
      <c r="H557" s="8" t="inlineStr">
        <is>
          <t>Anticipo Impuesto a las Ganancias</t>
        </is>
      </c>
      <c r="I557" s="9" t="n">
        <v>329.18</v>
      </c>
      <c r="J557" s="9" t="inlineStr"/>
      <c r="K557" s="8" t="inlineStr">
        <is>
          <t>Copiar en Flexxus: Tipo=MB-EXT | Movimiento=GRAVAMEN LEY 25.413 S/CRED | Monto=329,18 | Fecha: 29/04/2026</t>
        </is>
      </c>
    </row>
    <row r="558">
      <c r="A558" s="8" t="inlineStr">
        <is>
          <t>PEND-DDF00899E7DC-A001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29/04/2026</t>
        </is>
      </c>
      <c r="E558" s="8" t="inlineStr">
        <is>
          <t>29841683</t>
        </is>
      </c>
      <c r="F558" s="8" t="inlineStr">
        <is>
          <t>INGRESOS BRUTOS MENDOZA</t>
        </is>
      </c>
      <c r="G558" s="8" t="inlineStr">
        <is>
          <t>Retención Ingresos Brutos Mendoza</t>
        </is>
      </c>
      <c r="H558" s="8" t="inlineStr">
        <is>
          <t>Retención de Ingresos Brutos</t>
        </is>
      </c>
      <c r="I558" s="9" t="n">
        <v>907.79</v>
      </c>
      <c r="J558" s="9" t="inlineStr"/>
      <c r="K558" s="8" t="inlineStr">
        <is>
          <t>Copiar en Flexxus: Tipo=MB-EXT | Movimiento=INGRESOS BRUTOS MENDOZA | Monto=907,79 | Fecha: 29/04/2026</t>
        </is>
      </c>
    </row>
    <row r="559">
      <c r="A559" s="8" t="inlineStr">
        <is>
          <t>PEND-A8812174A5BB-A001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29/04/2026</t>
        </is>
      </c>
      <c r="E559" s="8" t="inlineStr">
        <is>
          <t>29841683</t>
        </is>
      </c>
      <c r="F559" s="8" t="inlineStr">
        <is>
          <t>GRAVAMEN LEY 25413 S/CRED</t>
        </is>
      </c>
      <c r="G559" s="8" t="inlineStr">
        <is>
          <t>Anticipo Ganancias Ley 25.413 créditos</t>
        </is>
      </c>
      <c r="H559" s="8" t="inlineStr">
        <is>
          <t>Anticipo Impuesto a las Ganancias</t>
        </is>
      </c>
      <c r="I559" s="9" t="n">
        <v>544.67</v>
      </c>
      <c r="J559" s="9" t="inlineStr"/>
      <c r="K559" s="8" t="inlineStr">
        <is>
          <t>Copiar en Flexxus: Tipo=MB-EXT | Movimiento=GRAVAMEN LEY 25.413 S/CRED | Monto=544,67 | Fecha: 29/04/2026</t>
        </is>
      </c>
    </row>
    <row r="560">
      <c r="A560" s="8" t="inlineStr">
        <is>
          <t>PEND-FE4C9EA82DBD-A001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29/04/2026</t>
        </is>
      </c>
      <c r="E560" s="8" t="inlineStr">
        <is>
          <t>31995644</t>
        </is>
      </c>
      <c r="F560" s="8" t="inlineStr">
        <is>
          <t>INGRESOS BRUTOS MENDOZA</t>
        </is>
      </c>
      <c r="G560" s="8" t="inlineStr">
        <is>
          <t>Retención Ingresos Brutos Mendoza</t>
        </is>
      </c>
      <c r="H560" s="8" t="inlineStr">
        <is>
          <t>Retención de Ingresos Brutos</t>
        </is>
      </c>
      <c r="I560" s="9" t="n">
        <v>805.24</v>
      </c>
      <c r="J560" s="9" t="inlineStr"/>
      <c r="K560" s="8" t="inlineStr">
        <is>
          <t>Copiar en Flexxus: Tipo=MB-EXT | Movimiento=INGRESOS BRUTOS MENDOZA | Monto=805,24 | Fecha: 29/04/2026</t>
        </is>
      </c>
    </row>
    <row r="561">
      <c r="A561" s="8" t="inlineStr">
        <is>
          <t>PEND-0B65D3BB7071-A001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29/04/2026</t>
        </is>
      </c>
      <c r="E561" s="8" t="inlineStr">
        <is>
          <t>31995644</t>
        </is>
      </c>
      <c r="F561" s="8" t="inlineStr">
        <is>
          <t>GRAVAMEN LEY 25413 S/CRED</t>
        </is>
      </c>
      <c r="G561" s="8" t="inlineStr">
        <is>
          <t>Anticipo Ganancias Ley 25.413 créditos</t>
        </is>
      </c>
      <c r="H561" s="8" t="inlineStr">
        <is>
          <t>Anticipo Impuesto a las Ganancias</t>
        </is>
      </c>
      <c r="I561" s="9" t="n">
        <v>483.14</v>
      </c>
      <c r="J561" s="9" t="inlineStr"/>
      <c r="K561" s="8" t="inlineStr">
        <is>
          <t>Copiar en Flexxus: Tipo=MB-EXT | Movimiento=GRAVAMEN LEY 25.413 S/CRED | Monto=483,14 | Fecha: 29/04/2026</t>
        </is>
      </c>
    </row>
    <row r="562">
      <c r="A562" s="8" t="inlineStr">
        <is>
          <t>PEND-EA5D2887FFC5-A001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29/04/2026</t>
        </is>
      </c>
      <c r="E562" s="8" t="inlineStr">
        <is>
          <t>29841683</t>
        </is>
      </c>
      <c r="F562" s="8" t="inlineStr">
        <is>
          <t>INGRESOS BRUTOS MENDOZA</t>
        </is>
      </c>
      <c r="G562" s="8" t="inlineStr">
        <is>
          <t>Retención Ingresos Brutos Mendoza</t>
        </is>
      </c>
      <c r="H562" s="8" t="inlineStr">
        <is>
          <t>Retención de Ingresos Brutos</t>
        </is>
      </c>
      <c r="I562" s="9" t="n">
        <v>215.28</v>
      </c>
      <c r="J562" s="9" t="inlineStr"/>
      <c r="K562" s="8" t="inlineStr">
        <is>
          <t>Copiar en Flexxus: Tipo=MB-EXT | Movimiento=INGRESOS BRUTOS MENDOZA | Monto=215,28 | Fecha: 29/04/2026</t>
        </is>
      </c>
    </row>
    <row r="563">
      <c r="A563" s="8" t="inlineStr">
        <is>
          <t>PEND-F672F580B70B-A001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29/04/2026</t>
        </is>
      </c>
      <c r="E563" s="8" t="inlineStr">
        <is>
          <t>29841683</t>
        </is>
      </c>
      <c r="F563" s="8" t="inlineStr">
        <is>
          <t>GRAVAMEN LEY 25413 S/CRED</t>
        </is>
      </c>
      <c r="G563" s="8" t="inlineStr">
        <is>
          <t>Anticipo Ganancias Ley 25.413 créditos</t>
        </is>
      </c>
      <c r="H563" s="8" t="inlineStr">
        <is>
          <t>Anticipo Impuesto a las Ganancias</t>
        </is>
      </c>
      <c r="I563" s="9" t="n">
        <v>129.17</v>
      </c>
      <c r="J563" s="9" t="inlineStr"/>
      <c r="K563" s="8" t="inlineStr">
        <is>
          <t>Copiar en Flexxus: Tipo=MB-EXT | Movimiento=GRAVAMEN LEY 25.413 S/CRED | Monto=129,17 | Fecha: 29/04/2026</t>
        </is>
      </c>
    </row>
    <row r="564">
      <c r="A564" s="8" t="inlineStr">
        <is>
          <t>PEND-A588E89F7852-A001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29/04/2026</t>
        </is>
      </c>
      <c r="E564" s="8" t="inlineStr">
        <is>
          <t>32032899</t>
        </is>
      </c>
      <c r="F564" s="8" t="inlineStr">
        <is>
          <t>INGRESOS BRUTOS MENDOZA</t>
        </is>
      </c>
      <c r="G564" s="8" t="inlineStr">
        <is>
          <t>Retención Ingresos Brutos Mendoza</t>
        </is>
      </c>
      <c r="H564" s="8" t="inlineStr">
        <is>
          <t>Retención de Ingresos Brutos</t>
        </is>
      </c>
      <c r="I564" s="9" t="n">
        <v>2221.29</v>
      </c>
      <c r="J564" s="9" t="inlineStr"/>
      <c r="K564" s="8" t="inlineStr">
        <is>
          <t>Copiar en Flexxus: Tipo=MB-EXT | Movimiento=INGRESOS BRUTOS MENDOZA | Monto=2.221,29 | Fecha: 29/04/2026</t>
        </is>
      </c>
    </row>
    <row r="565">
      <c r="A565" s="8" t="inlineStr">
        <is>
          <t>PEND-253349DD2C54-A001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29/04/2026</t>
        </is>
      </c>
      <c r="E565" s="8" t="inlineStr">
        <is>
          <t>32032899</t>
        </is>
      </c>
      <c r="F565" s="8" t="inlineStr">
        <is>
          <t>GRAVAMEN LEY 25413 S/CRED</t>
        </is>
      </c>
      <c r="G565" s="8" t="inlineStr">
        <is>
          <t>Anticipo Ganancias Ley 25.413 créditos</t>
        </is>
      </c>
      <c r="H565" s="8" t="inlineStr">
        <is>
          <t>Anticipo Impuesto a las Ganancias</t>
        </is>
      </c>
      <c r="I565" s="9" t="n">
        <v>1332.77</v>
      </c>
      <c r="J565" s="9" t="inlineStr"/>
      <c r="K565" s="8" t="inlineStr">
        <is>
          <t>Copiar en Flexxus: Tipo=MB-EXT | Movimiento=GRAVAMEN LEY 25.413 S/CRED | Monto=1.332,77 | Fecha: 29/04/2026</t>
        </is>
      </c>
    </row>
    <row r="566">
      <c r="A566" s="8" t="inlineStr">
        <is>
          <t>PEND-EEBD711B6FCA-A001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29/04/2026</t>
        </is>
      </c>
      <c r="E566" s="8" t="inlineStr">
        <is>
          <t>31995644</t>
        </is>
      </c>
      <c r="F566" s="8" t="inlineStr">
        <is>
          <t>INGRESOS BRUTOS MENDOZA</t>
        </is>
      </c>
      <c r="G566" s="8" t="inlineStr">
        <is>
          <t>Retención Ingresos Brutos Mendoza</t>
        </is>
      </c>
      <c r="H566" s="8" t="inlineStr">
        <is>
          <t>Retención de Ingresos Brutos</t>
        </is>
      </c>
      <c r="I566" s="9" t="n">
        <v>8826.5</v>
      </c>
      <c r="J566" s="9" t="inlineStr"/>
      <c r="K566" s="8" t="inlineStr">
        <is>
          <t>Copiar en Flexxus: Tipo=MB-EXT | Movimiento=INGRESOS BRUTOS MENDOZA | Monto=8.826,50 | Fecha: 29/04/2026</t>
        </is>
      </c>
    </row>
    <row r="567">
      <c r="A567" s="8" t="inlineStr">
        <is>
          <t>PEND-96EC551FBC0A-A001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29/04/2026</t>
        </is>
      </c>
      <c r="E567" s="8" t="inlineStr">
        <is>
          <t>31995644</t>
        </is>
      </c>
      <c r="F567" s="8" t="inlineStr">
        <is>
          <t>GRAVAMEN LEY 25413 S/CRED</t>
        </is>
      </c>
      <c r="G567" s="8" t="inlineStr">
        <is>
          <t>Anticipo Ganancias Ley 25.413 créditos</t>
        </is>
      </c>
      <c r="H567" s="8" t="inlineStr">
        <is>
          <t>Anticipo Impuesto a las Ganancias</t>
        </is>
      </c>
      <c r="I567" s="9" t="n">
        <v>5295.9</v>
      </c>
      <c r="J567" s="9" t="inlineStr"/>
      <c r="K567" s="8" t="inlineStr">
        <is>
          <t>Copiar en Flexxus: Tipo=MB-EXT | Movimiento=GRAVAMEN LEY 25.413 S/CRED | Monto=5.295,90 | Fecha: 29/04/2026</t>
        </is>
      </c>
    </row>
    <row r="568">
      <c r="A568" s="8" t="inlineStr">
        <is>
          <t>PEND-514556172764-A001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29/04/2026</t>
        </is>
      </c>
      <c r="E568" s="8" t="inlineStr">
        <is>
          <t>31995644</t>
        </is>
      </c>
      <c r="F568" s="8" t="inlineStr">
        <is>
          <t>INGRESOS BRUTOS MENDOZA</t>
        </is>
      </c>
      <c r="G568" s="8" t="inlineStr">
        <is>
          <t>Retención Ingresos Brutos Mendoza</t>
        </is>
      </c>
      <c r="H568" s="8" t="inlineStr">
        <is>
          <t>Retención de Ingresos Brutos</t>
        </is>
      </c>
      <c r="I568" s="9" t="n">
        <v>2507.75</v>
      </c>
      <c r="J568" s="9" t="inlineStr"/>
      <c r="K568" s="8" t="inlineStr">
        <is>
          <t>Copiar en Flexxus: Tipo=MB-EXT | Movimiento=INGRESOS BRUTOS MENDOZA | Monto=2.507,75 | Fecha: 29/04/2026</t>
        </is>
      </c>
    </row>
    <row r="569">
      <c r="A569" s="8" t="inlineStr">
        <is>
          <t>PEND-28EB7C44F30F-A001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29/04/2026</t>
        </is>
      </c>
      <c r="E569" s="8" t="inlineStr">
        <is>
          <t>31995644</t>
        </is>
      </c>
      <c r="F569" s="8" t="inlineStr">
        <is>
          <t>GRAVAMEN LEY 25413 S/CRED</t>
        </is>
      </c>
      <c r="G569" s="8" t="inlineStr">
        <is>
          <t>Anticipo Ganancias Ley 25.413 créditos</t>
        </is>
      </c>
      <c r="H569" s="8" t="inlineStr">
        <is>
          <t>Anticipo Impuesto a las Ganancias</t>
        </is>
      </c>
      <c r="I569" s="9" t="n">
        <v>1504.65</v>
      </c>
      <c r="J569" s="9" t="inlineStr"/>
      <c r="K569" s="8" t="inlineStr">
        <is>
          <t>Copiar en Flexxus: Tipo=MB-EXT | Movimiento=GRAVAMEN LEY 25.413 S/CRED | Monto=1.504,65 | Fecha: 29/04/2026</t>
        </is>
      </c>
    </row>
    <row r="570">
      <c r="A570" s="8" t="inlineStr">
        <is>
          <t>PEND-13B65EBA8BCF-A001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29/04/2026</t>
        </is>
      </c>
      <c r="E570" s="8" t="inlineStr">
        <is>
          <t>29841705</t>
        </is>
      </c>
      <c r="F570" s="8" t="inlineStr">
        <is>
          <t>INGRESOS BRUTOS MENDOZA</t>
        </is>
      </c>
      <c r="G570" s="8" t="inlineStr">
        <is>
          <t>Retención Ingresos Brutos Mendoza</t>
        </is>
      </c>
      <c r="H570" s="8" t="inlineStr">
        <is>
          <t>Retención de Ingresos Brutos</t>
        </is>
      </c>
      <c r="I570" s="9" t="n">
        <v>1012.46</v>
      </c>
      <c r="J570" s="9" t="inlineStr"/>
      <c r="K570" s="8" t="inlineStr">
        <is>
          <t>Copiar en Flexxus: Tipo=MB-EXT | Movimiento=INGRESOS BRUTOS MENDOZA | Monto=1.012,46 | Fecha: 29/04/2026</t>
        </is>
      </c>
    </row>
    <row r="571">
      <c r="A571" s="8" t="inlineStr">
        <is>
          <t>PEND-B53E94B212D8-A001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29/04/2026</t>
        </is>
      </c>
      <c r="E571" s="8" t="inlineStr">
        <is>
          <t>29841705</t>
        </is>
      </c>
      <c r="F571" s="8" t="inlineStr">
        <is>
          <t>GRAVAMEN LEY 25413 S/CRED</t>
        </is>
      </c>
      <c r="G571" s="8" t="inlineStr">
        <is>
          <t>Anticipo Ganancias Ley 25.413 créditos</t>
        </is>
      </c>
      <c r="H571" s="8" t="inlineStr">
        <is>
          <t>Anticipo Impuesto a las Ganancias</t>
        </is>
      </c>
      <c r="I571" s="9" t="n">
        <v>607.47</v>
      </c>
      <c r="J571" s="9" t="inlineStr"/>
      <c r="K571" s="8" t="inlineStr">
        <is>
          <t>Copiar en Flexxus: Tipo=MB-EXT | Movimiento=GRAVAMEN LEY 25.413 S/CRED | Monto=607,47 | Fecha: 29/04/2026</t>
        </is>
      </c>
    </row>
    <row r="572">
      <c r="A572" s="8" t="inlineStr">
        <is>
          <t>PEND-C1977864249A-A001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29/04/2026</t>
        </is>
      </c>
      <c r="E572" s="8" t="inlineStr">
        <is>
          <t>29841683</t>
        </is>
      </c>
      <c r="F572" s="8" t="inlineStr">
        <is>
          <t>INGRESOS BRUTOS MENDOZA</t>
        </is>
      </c>
      <c r="G572" s="8" t="inlineStr">
        <is>
          <t>Retención Ingresos Brutos Mendoza</t>
        </is>
      </c>
      <c r="H572" s="8" t="inlineStr">
        <is>
          <t>Retención de Ingresos Brutos</t>
        </is>
      </c>
      <c r="I572" s="9" t="n">
        <v>59.57</v>
      </c>
      <c r="J572" s="9" t="inlineStr"/>
      <c r="K572" s="8" t="inlineStr">
        <is>
          <t>Copiar en Flexxus: Tipo=MB-EXT | Movimiento=INGRESOS BRUTOS MENDOZA | Monto=59,57 | Fecha: 29/04/2026</t>
        </is>
      </c>
    </row>
    <row r="573">
      <c r="A573" s="8" t="inlineStr">
        <is>
          <t>PEND-433F3CF196DE-A001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29/04/2026</t>
        </is>
      </c>
      <c r="E573" s="8" t="inlineStr">
        <is>
          <t>29841683</t>
        </is>
      </c>
      <c r="F573" s="8" t="inlineStr">
        <is>
          <t>GRAVAMEN LEY 25413 S/CRED</t>
        </is>
      </c>
      <c r="G573" s="8" t="inlineStr">
        <is>
          <t>Anticipo Ganancias Ley 25.413 créditos</t>
        </is>
      </c>
      <c r="H573" s="8" t="inlineStr">
        <is>
          <t>Anticipo Impuesto a las Ganancias</t>
        </is>
      </c>
      <c r="I573" s="9" t="n">
        <v>35.74</v>
      </c>
      <c r="J573" s="9" t="inlineStr"/>
      <c r="K573" s="8" t="inlineStr">
        <is>
          <t>Copiar en Flexxus: Tipo=MB-EXT | Movimiento=GRAVAMEN LEY 25.413 S/CRED | Monto=35,74 | Fecha: 29/04/2026</t>
        </is>
      </c>
    </row>
    <row r="574">
      <c r="A574" s="8" t="inlineStr">
        <is>
          <t>PEND-9C8BA108219F-A001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29/04/2026</t>
        </is>
      </c>
      <c r="E574" s="8" t="inlineStr">
        <is>
          <t>29841627</t>
        </is>
      </c>
      <c r="F574" s="8" t="inlineStr">
        <is>
          <t>INGRESOS BRUTOS MENDOZA</t>
        </is>
      </c>
      <c r="G574" s="8" t="inlineStr">
        <is>
          <t>Retención Ingresos Brutos Mendoza</t>
        </is>
      </c>
      <c r="H574" s="8" t="inlineStr">
        <is>
          <t>Retención de Ingresos Brutos</t>
        </is>
      </c>
      <c r="I574" s="9" t="n">
        <v>1025.17</v>
      </c>
      <c r="J574" s="9" t="inlineStr"/>
      <c r="K574" s="8" t="inlineStr">
        <is>
          <t>Copiar en Flexxus: Tipo=MB-EXT | Movimiento=INGRESOS BRUTOS MENDOZA | Monto=1.025,17 | Fecha: 29/04/2026</t>
        </is>
      </c>
    </row>
    <row r="575">
      <c r="A575" s="8" t="inlineStr">
        <is>
          <t>PEND-7D26AB542D53-A001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29/04/2026</t>
        </is>
      </c>
      <c r="E575" s="8" t="inlineStr">
        <is>
          <t>29841627</t>
        </is>
      </c>
      <c r="F575" s="8" t="inlineStr">
        <is>
          <t>GRAVAMEN LEY 25413 S/CRED</t>
        </is>
      </c>
      <c r="G575" s="8" t="inlineStr">
        <is>
          <t>Anticipo Ganancias Ley 25.413 créditos</t>
        </is>
      </c>
      <c r="H575" s="8" t="inlineStr">
        <is>
          <t>Anticipo Impuesto a las Ganancias</t>
        </is>
      </c>
      <c r="I575" s="9" t="n">
        <v>615.1</v>
      </c>
      <c r="J575" s="9" t="inlineStr"/>
      <c r="K575" s="8" t="inlineStr">
        <is>
          <t>Copiar en Flexxus: Tipo=MB-EXT | Movimiento=GRAVAMEN LEY 25.413 S/CRED | Monto=615,10 | Fecha: 29/04/2026</t>
        </is>
      </c>
    </row>
    <row r="576">
      <c r="A576" s="8" t="inlineStr">
        <is>
          <t>PEND-C53746338360-A001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29/04/2026</t>
        </is>
      </c>
      <c r="E576" s="8" t="inlineStr">
        <is>
          <t>32032899</t>
        </is>
      </c>
      <c r="F576" s="8" t="inlineStr">
        <is>
          <t>INGRESOS BRUTOS MENDOZA</t>
        </is>
      </c>
      <c r="G576" s="8" t="inlineStr">
        <is>
          <t>Retención Ingresos Brutos Mendoza</t>
        </is>
      </c>
      <c r="H576" s="8" t="inlineStr">
        <is>
          <t>Retención de Ingresos Brutos</t>
        </is>
      </c>
      <c r="I576" s="9" t="n">
        <v>1025.17</v>
      </c>
      <c r="J576" s="9" t="inlineStr"/>
      <c r="K576" s="8" t="inlineStr">
        <is>
          <t>Copiar en Flexxus: Tipo=MB-EXT | Movimiento=INGRESOS BRUTOS MENDOZA | Monto=1.025,17 | Fecha: 29/04/2026</t>
        </is>
      </c>
    </row>
    <row r="577">
      <c r="A577" s="8" t="inlineStr">
        <is>
          <t>PEND-5FB9DBBB26DD-A001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29/04/2026</t>
        </is>
      </c>
      <c r="E577" s="8" t="inlineStr">
        <is>
          <t>32032899</t>
        </is>
      </c>
      <c r="F577" s="8" t="inlineStr">
        <is>
          <t>GRAVAMEN LEY 25413 S/CRED</t>
        </is>
      </c>
      <c r="G577" s="8" t="inlineStr">
        <is>
          <t>Anticipo Ganancias Ley 25.413 créditos</t>
        </is>
      </c>
      <c r="H577" s="8" t="inlineStr">
        <is>
          <t>Anticipo Impuesto a las Ganancias</t>
        </is>
      </c>
      <c r="I577" s="9" t="n">
        <v>615.1</v>
      </c>
      <c r="J577" s="9" t="inlineStr"/>
      <c r="K577" s="8" t="inlineStr">
        <is>
          <t>Copiar en Flexxus: Tipo=MB-EXT | Movimiento=GRAVAMEN LEY 25.413 S/CRED | Monto=615,10 | Fecha: 29/04/2026</t>
        </is>
      </c>
    </row>
    <row r="578">
      <c r="A578" s="8" t="inlineStr">
        <is>
          <t>PEND-04DD778CFB70-A001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29/04/2026</t>
        </is>
      </c>
      <c r="E578" s="8" t="inlineStr">
        <is>
          <t>31995644</t>
        </is>
      </c>
      <c r="F578" s="8" t="inlineStr">
        <is>
          <t>INGRESOS BRUTOS MENDOZA</t>
        </is>
      </c>
      <c r="G578" s="8" t="inlineStr">
        <is>
          <t>Retención Ingresos Brutos Mendoza</t>
        </is>
      </c>
      <c r="H578" s="8" t="inlineStr">
        <is>
          <t>Retención de Ingresos Brutos</t>
        </is>
      </c>
      <c r="I578" s="9" t="n">
        <v>582.24</v>
      </c>
      <c r="J578" s="9" t="inlineStr"/>
      <c r="K578" s="8" t="inlineStr">
        <is>
          <t>Copiar en Flexxus: Tipo=MB-EXT | Movimiento=INGRESOS BRUTOS MENDOZA | Monto=582,24 | Fecha: 29/04/2026</t>
        </is>
      </c>
    </row>
    <row r="579">
      <c r="A579" s="8" t="inlineStr">
        <is>
          <t>PEND-C9E8E51D34A7-A001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29/04/2026</t>
        </is>
      </c>
      <c r="E579" s="8" t="inlineStr">
        <is>
          <t>31995644</t>
        </is>
      </c>
      <c r="F579" s="8" t="inlineStr">
        <is>
          <t>GRAVAMEN LEY 25413 S/CRED</t>
        </is>
      </c>
      <c r="G579" s="8" t="inlineStr">
        <is>
          <t>Anticipo Ganancias Ley 25.413 créditos</t>
        </is>
      </c>
      <c r="H579" s="8" t="inlineStr">
        <is>
          <t>Anticipo Impuesto a las Ganancias</t>
        </is>
      </c>
      <c r="I579" s="9" t="n">
        <v>349.34</v>
      </c>
      <c r="J579" s="9" t="inlineStr"/>
      <c r="K579" s="8" t="inlineStr">
        <is>
          <t>Copiar en Flexxus: Tipo=MB-EXT | Movimiento=GRAVAMEN LEY 25.413 S/CRED | Monto=349,34 | Fecha: 29/04/2026</t>
        </is>
      </c>
    </row>
    <row r="580">
      <c r="A580" s="8" t="inlineStr">
        <is>
          <t>PEND-8F900B50DD73-A001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29/04/2026</t>
        </is>
      </c>
      <c r="E580" s="8" t="inlineStr">
        <is>
          <t>31995644</t>
        </is>
      </c>
      <c r="F580" s="8" t="inlineStr">
        <is>
          <t>INGRESOS BRUTOS MENDOZA</t>
        </is>
      </c>
      <c r="G580" s="8" t="inlineStr">
        <is>
          <t>Retención Ingresos Brutos Mendoza</t>
        </is>
      </c>
      <c r="H580" s="8" t="inlineStr">
        <is>
          <t>Retención de Ingresos Brutos</t>
        </is>
      </c>
      <c r="I580" s="9" t="n">
        <v>371.72</v>
      </c>
      <c r="J580" s="9" t="inlineStr"/>
      <c r="K580" s="8" t="inlineStr">
        <is>
          <t>Copiar en Flexxus: Tipo=MB-EXT | Movimiento=INGRESOS BRUTOS MENDOZA | Monto=371,72 | Fecha: 29/04/2026</t>
        </is>
      </c>
    </row>
    <row r="581">
      <c r="A581" s="8" t="inlineStr">
        <is>
          <t>PEND-4D0223E4BD63-A001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29/04/2026</t>
        </is>
      </c>
      <c r="E581" s="8" t="inlineStr">
        <is>
          <t>31995644</t>
        </is>
      </c>
      <c r="F581" s="8" t="inlineStr">
        <is>
          <t>GRAVAMEN LEY 25413 S/CRED</t>
        </is>
      </c>
      <c r="G581" s="8" t="inlineStr">
        <is>
          <t>Anticipo Ganancias Ley 25.413 créditos</t>
        </is>
      </c>
      <c r="H581" s="8" t="inlineStr">
        <is>
          <t>Anticipo Impuesto a las Ganancias</t>
        </is>
      </c>
      <c r="I581" s="9" t="n">
        <v>223.03</v>
      </c>
      <c r="J581" s="9" t="inlineStr"/>
      <c r="K581" s="8" t="inlineStr">
        <is>
          <t>Copiar en Flexxus: Tipo=MB-EXT | Movimiento=GRAVAMEN LEY 25.413 S/CRED | Monto=223,03 | Fecha: 29/04/2026</t>
        </is>
      </c>
    </row>
    <row r="582">
      <c r="A582" s="8" t="inlineStr">
        <is>
          <t>PEND-355828C57B49-A001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29/04/2026</t>
        </is>
      </c>
      <c r="E582" s="8" t="inlineStr">
        <is>
          <t>29841705</t>
        </is>
      </c>
      <c r="F582" s="8" t="inlineStr">
        <is>
          <t>INGRESOS BRUTOS MENDOZA</t>
        </is>
      </c>
      <c r="G582" s="8" t="inlineStr">
        <is>
          <t>Retención Ingresos Brutos Mendoza</t>
        </is>
      </c>
      <c r="H582" s="8" t="inlineStr">
        <is>
          <t>Retención de Ingresos Brutos</t>
        </is>
      </c>
      <c r="I582" s="9" t="n">
        <v>254.34</v>
      </c>
      <c r="J582" s="9" t="inlineStr"/>
      <c r="K582" s="8" t="inlineStr">
        <is>
          <t>Copiar en Flexxus: Tipo=MB-EXT | Movimiento=INGRESOS BRUTOS MENDOZA | Monto=254,34 | Fecha: 29/04/2026</t>
        </is>
      </c>
    </row>
    <row r="583">
      <c r="A583" s="8" t="inlineStr">
        <is>
          <t>PEND-79BF5E6C084C-A001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29/04/2026</t>
        </is>
      </c>
      <c r="E583" s="8" t="inlineStr">
        <is>
          <t>29841705</t>
        </is>
      </c>
      <c r="F583" s="8" t="inlineStr">
        <is>
          <t>GRAVAMEN LEY 25413 S/CRED</t>
        </is>
      </c>
      <c r="G583" s="8" t="inlineStr">
        <is>
          <t>Anticipo Ganancias Ley 25.413 créditos</t>
        </is>
      </c>
      <c r="H583" s="8" t="inlineStr">
        <is>
          <t>Anticipo Impuesto a las Ganancias</t>
        </is>
      </c>
      <c r="I583" s="9" t="n">
        <v>152.6</v>
      </c>
      <c r="J583" s="9" t="inlineStr"/>
      <c r="K583" s="8" t="inlineStr">
        <is>
          <t>Copiar en Flexxus: Tipo=MB-EXT | Movimiento=GRAVAMEN LEY 25.413 S/CRED | Monto=152,60 | Fecha: 29/04/2026</t>
        </is>
      </c>
    </row>
    <row r="584">
      <c r="A584" s="8" t="inlineStr">
        <is>
          <t>PEND-C1A1E2CD8E74-A001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29/04/2026</t>
        </is>
      </c>
      <c r="E584" s="8" t="inlineStr">
        <is>
          <t>29841670</t>
        </is>
      </c>
      <c r="F584" s="8" t="inlineStr">
        <is>
          <t>INGRESOS BRUTOS MENDOZA</t>
        </is>
      </c>
      <c r="G584" s="8" t="inlineStr">
        <is>
          <t>Retención Ingresos Brutos Mendoza</t>
        </is>
      </c>
      <c r="H584" s="8" t="inlineStr">
        <is>
          <t>Retención de Ingresos Brutos</t>
        </is>
      </c>
      <c r="I584" s="9" t="n">
        <v>379.55</v>
      </c>
      <c r="J584" s="9" t="inlineStr"/>
      <c r="K584" s="8" t="inlineStr">
        <is>
          <t>Copiar en Flexxus: Tipo=MB-EXT | Movimiento=INGRESOS BRUTOS MENDOZA | Monto=379,55 | Fecha: 29/04/2026</t>
        </is>
      </c>
    </row>
    <row r="585">
      <c r="A585" s="8" t="inlineStr">
        <is>
          <t>PEND-F67D773BD9CE-A001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29/04/2026</t>
        </is>
      </c>
      <c r="E585" s="8" t="inlineStr">
        <is>
          <t>109435</t>
        </is>
      </c>
      <c r="F585" s="8" t="inlineStr">
        <is>
          <t>INGRESOS BRUTOS MENDOZA</t>
        </is>
      </c>
      <c r="G585" s="8" t="inlineStr">
        <is>
          <t>Retención Ingresos Brutos Mendoza</t>
        </is>
      </c>
      <c r="H585" s="8" t="inlineStr">
        <is>
          <t>Retención de Ingresos Brutos</t>
        </is>
      </c>
      <c r="I585" s="9" t="n">
        <v>129.73</v>
      </c>
      <c r="J585" s="9" t="inlineStr"/>
      <c r="K585" s="8" t="inlineStr">
        <is>
          <t>Copiar en Flexxus: Tipo=MB-EXT | Movimiento=INGRESOS BRUTOS MENDOZA | Monto=129,73 | Fecha: 29/04/2026</t>
        </is>
      </c>
    </row>
    <row r="586">
      <c r="A586" s="8" t="inlineStr">
        <is>
          <t>PEND-B9A015E12A6E-A001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29/04/2026</t>
        </is>
      </c>
      <c r="E586" s="8" t="inlineStr">
        <is>
          <t>109435</t>
        </is>
      </c>
      <c r="F586" s="8" t="inlineStr">
        <is>
          <t>GRAVAMEN LEY 25413 S/CRED</t>
        </is>
      </c>
      <c r="G586" s="8" t="inlineStr">
        <is>
          <t>Anticipo Ganancias Ley 25.413 créditos</t>
        </is>
      </c>
      <c r="H586" s="8" t="inlineStr">
        <is>
          <t>Anticipo Impuesto a las Ganancias</t>
        </is>
      </c>
      <c r="I586" s="9" t="n">
        <v>77.84</v>
      </c>
      <c r="J586" s="9" t="inlineStr"/>
      <c r="K586" s="8" t="inlineStr">
        <is>
          <t>Copiar en Flexxus: Tipo=MB-EXT | Movimiento=GRAVAMEN LEY 25.413 S/CRED | Monto=77,84 | Fecha: 29/04/2026</t>
        </is>
      </c>
    </row>
    <row r="587">
      <c r="A587" s="8" t="inlineStr">
        <is>
          <t>PEND-4E972D95E198-A001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29/04/2026</t>
        </is>
      </c>
      <c r="E587" s="8" t="inlineStr">
        <is>
          <t>109432</t>
        </is>
      </c>
      <c r="F587" s="8" t="inlineStr">
        <is>
          <t>INGRESOS BRUTOS MENDOZA</t>
        </is>
      </c>
      <c r="G587" s="8" t="inlineStr">
        <is>
          <t>Retención Ingresos Brutos Mendoza</t>
        </is>
      </c>
      <c r="H587" s="8" t="inlineStr">
        <is>
          <t>Retención de Ingresos Brutos</t>
        </is>
      </c>
      <c r="I587" s="9" t="n">
        <v>101.01</v>
      </c>
      <c r="J587" s="9" t="inlineStr"/>
      <c r="K587" s="8" t="inlineStr">
        <is>
          <t>Copiar en Flexxus: Tipo=MB-EXT | Movimiento=INGRESOS BRUTOS MENDOZA | Monto=101,01 | Fecha: 29/04/2026</t>
        </is>
      </c>
    </row>
    <row r="588">
      <c r="A588" s="8" t="inlineStr">
        <is>
          <t>PEND-275CD38FB532-A001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29/04/2026</t>
        </is>
      </c>
      <c r="E588" s="8" t="inlineStr">
        <is>
          <t>109432</t>
        </is>
      </c>
      <c r="F588" s="8" t="inlineStr">
        <is>
          <t>GRAVAMEN LEY 25413 S/CRED</t>
        </is>
      </c>
      <c r="G588" s="8" t="inlineStr">
        <is>
          <t>Anticipo Ganancias Ley 25.413 créditos</t>
        </is>
      </c>
      <c r="H588" s="8" t="inlineStr">
        <is>
          <t>Anticipo Impuesto a las Ganancias</t>
        </is>
      </c>
      <c r="I588" s="9" t="n">
        <v>60.61</v>
      </c>
      <c r="J588" s="9" t="inlineStr"/>
      <c r="K588" s="8" t="inlineStr">
        <is>
          <t>Copiar en Flexxus: Tipo=MB-EXT | Movimiento=GRAVAMEN LEY 25.413 S/CRED | Monto=60,61 | Fecha: 29/04/2026</t>
        </is>
      </c>
    </row>
    <row r="589">
      <c r="A589" s="8" t="inlineStr">
        <is>
          <t>PEND-A4518570065F-A001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29/04/2026</t>
        </is>
      </c>
      <c r="E589" s="8" t="inlineStr">
        <is>
          <t>109431</t>
        </is>
      </c>
      <c r="F589" s="8" t="inlineStr">
        <is>
          <t>INGRESOS BRUTOS MENDOZA</t>
        </is>
      </c>
      <c r="G589" s="8" t="inlineStr">
        <is>
          <t>Retención Ingresos Brutos Mendoza</t>
        </is>
      </c>
      <c r="H589" s="8" t="inlineStr">
        <is>
          <t>Retención de Ingresos Brutos</t>
        </is>
      </c>
      <c r="I589" s="9" t="n">
        <v>346.61</v>
      </c>
      <c r="J589" s="9" t="inlineStr"/>
      <c r="K589" s="8" t="inlineStr">
        <is>
          <t>Copiar en Flexxus: Tipo=MB-EXT | Movimiento=INGRESOS BRUTOS MENDOZA | Monto=346,61 | Fecha: 29/04/2026</t>
        </is>
      </c>
    </row>
    <row r="590">
      <c r="A590" s="8" t="inlineStr">
        <is>
          <t>PEND-627B8FBF2888-A001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29/04/2026</t>
        </is>
      </c>
      <c r="E590" s="8" t="inlineStr">
        <is>
          <t>109431</t>
        </is>
      </c>
      <c r="F590" s="8" t="inlineStr">
        <is>
          <t>GRAVAMEN LEY 25413 S/CRED</t>
        </is>
      </c>
      <c r="G590" s="8" t="inlineStr">
        <is>
          <t>Anticipo Ganancias Ley 25.413 créditos</t>
        </is>
      </c>
      <c r="H590" s="8" t="inlineStr">
        <is>
          <t>Anticipo Impuesto a las Ganancias</t>
        </is>
      </c>
      <c r="I590" s="9" t="n">
        <v>207.97</v>
      </c>
      <c r="J590" s="9" t="inlineStr"/>
      <c r="K590" s="8" t="inlineStr">
        <is>
          <t>Copiar en Flexxus: Tipo=MB-EXT | Movimiento=GRAVAMEN LEY 25.413 S/CRED | Monto=207,97 | Fecha: 29/04/2026</t>
        </is>
      </c>
    </row>
    <row r="591">
      <c r="A591" s="8" t="inlineStr">
        <is>
          <t>PEND-68EF36BF658B-A001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29/04/2026</t>
        </is>
      </c>
      <c r="E591" s="8" t="inlineStr">
        <is>
          <t>109430</t>
        </is>
      </c>
      <c r="F591" s="8" t="inlineStr">
        <is>
          <t>INGRESOS BRUTOS MENDOZA</t>
        </is>
      </c>
      <c r="G591" s="8" t="inlineStr">
        <is>
          <t>Retención Ingresos Brutos Mendoza</t>
        </is>
      </c>
      <c r="H591" s="8" t="inlineStr">
        <is>
          <t>Retención de Ingresos Brutos</t>
        </is>
      </c>
      <c r="I591" s="9" t="n">
        <v>349.58</v>
      </c>
      <c r="J591" s="9" t="inlineStr"/>
      <c r="K591" s="8" t="inlineStr">
        <is>
          <t>Copiar en Flexxus: Tipo=MB-EXT | Movimiento=INGRESOS BRUTOS MENDOZA | Monto=349,58 | Fecha: 29/04/2026</t>
        </is>
      </c>
    </row>
    <row r="592">
      <c r="A592" s="8" t="inlineStr">
        <is>
          <t>PEND-EE2B07B2D6D5-A001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29/04/2026</t>
        </is>
      </c>
      <c r="E592" s="8" t="inlineStr">
        <is>
          <t>109430</t>
        </is>
      </c>
      <c r="F592" s="8" t="inlineStr">
        <is>
          <t>GRAVAMEN LEY 25413 S/CRED</t>
        </is>
      </c>
      <c r="G592" s="8" t="inlineStr">
        <is>
          <t>Anticipo Ganancias Ley 25.413 créditos</t>
        </is>
      </c>
      <c r="H592" s="8" t="inlineStr">
        <is>
          <t>Anticipo Impuesto a las Ganancias</t>
        </is>
      </c>
      <c r="I592" s="9" t="n">
        <v>209.75</v>
      </c>
      <c r="J592" s="9" t="inlineStr"/>
      <c r="K592" s="8" t="inlineStr">
        <is>
          <t>Copiar en Flexxus: Tipo=MB-EXT | Movimiento=GRAVAMEN LEY 25.413 S/CRED | Monto=209,75 | Fecha: 29/04/2026</t>
        </is>
      </c>
    </row>
    <row r="593">
      <c r="A593" s="8" t="inlineStr">
        <is>
          <t>PEND-CFB7E7B024C4-A001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29/04/2026</t>
        </is>
      </c>
      <c r="E593" s="8" t="inlineStr">
        <is>
          <t>109427</t>
        </is>
      </c>
      <c r="F593" s="8" t="inlineStr">
        <is>
          <t>INGRESOS BRUTOS MENDOZA</t>
        </is>
      </c>
      <c r="G593" s="8" t="inlineStr">
        <is>
          <t>Retención Ingresos Brutos Mendoza</t>
        </is>
      </c>
      <c r="H593" s="8" t="inlineStr">
        <is>
          <t>Retención de Ingresos Brutos</t>
        </is>
      </c>
      <c r="I593" s="9" t="n">
        <v>460.5</v>
      </c>
      <c r="J593" s="9" t="inlineStr"/>
      <c r="K593" s="8" t="inlineStr">
        <is>
          <t>Copiar en Flexxus: Tipo=MB-EXT | Movimiento=INGRESOS BRUTOS MENDOZA | Monto=460,50 | Fecha: 29/04/2026</t>
        </is>
      </c>
    </row>
    <row r="594">
      <c r="A594" s="8" t="inlineStr">
        <is>
          <t>PEND-A09052EA0E0A-A001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29/04/2026</t>
        </is>
      </c>
      <c r="E594" s="8" t="inlineStr">
        <is>
          <t>109426</t>
        </is>
      </c>
      <c r="F594" s="8" t="inlineStr">
        <is>
          <t>INGRESOS BRUTOS MENDOZA</t>
        </is>
      </c>
      <c r="G594" s="8" t="inlineStr">
        <is>
          <t>Retención Ingresos Brutos Mendoza</t>
        </is>
      </c>
      <c r="H594" s="8" t="inlineStr">
        <is>
          <t>Retención de Ingresos Brutos</t>
        </is>
      </c>
      <c r="I594" s="9" t="n">
        <v>950.71</v>
      </c>
      <c r="J594" s="9" t="inlineStr"/>
      <c r="K594" s="8" t="inlineStr">
        <is>
          <t>Copiar en Flexxus: Tipo=MB-EXT | Movimiento=INGRESOS BRUTOS MENDOZA | Monto=950,71 | Fecha: 29/04/2026</t>
        </is>
      </c>
    </row>
    <row r="595">
      <c r="A595" s="8" t="inlineStr">
        <is>
          <t>PEND-4C2B380D97AF-A001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29/04/2026</t>
        </is>
      </c>
      <c r="E595" s="8" t="inlineStr">
        <is>
          <t>109426</t>
        </is>
      </c>
      <c r="F595" s="8" t="inlineStr">
        <is>
          <t>GRAVAMEN LEY 25413 S/CRED</t>
        </is>
      </c>
      <c r="G595" s="8" t="inlineStr">
        <is>
          <t>Anticipo Ganancias Ley 25.413 créditos</t>
        </is>
      </c>
      <c r="H595" s="8" t="inlineStr">
        <is>
          <t>Anticipo Impuesto a las Ganancias</t>
        </is>
      </c>
      <c r="I595" s="9" t="n">
        <v>570.42</v>
      </c>
      <c r="J595" s="9" t="inlineStr"/>
      <c r="K595" s="8" t="inlineStr">
        <is>
          <t>Copiar en Flexxus: Tipo=MB-EXT | Movimiento=GRAVAMEN LEY 25.413 S/CRED | Monto=570,42 | Fecha: 29/04/2026</t>
        </is>
      </c>
    </row>
    <row r="596">
      <c r="A596" s="8" t="inlineStr">
        <is>
          <t>PEND-FA0B5CC1AEB6-A001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29/04/2026</t>
        </is>
      </c>
      <c r="E596" s="8" t="inlineStr">
        <is>
          <t>109425</t>
        </is>
      </c>
      <c r="F596" s="8" t="inlineStr">
        <is>
          <t>GRAVAMEN LEY 25413 S/DEB</t>
        </is>
      </c>
      <c r="G596" s="8" t="inlineStr">
        <is>
          <t>Anticipo Ganancias Ley 25.413 débitos</t>
        </is>
      </c>
      <c r="H596" s="8" t="inlineStr">
        <is>
          <t>Anticipo Impuesto a las Ganancias</t>
        </is>
      </c>
      <c r="I596" s="9" t="n">
        <v>6000</v>
      </c>
      <c r="J596" s="9" t="inlineStr"/>
      <c r="K596" s="8" t="inlineStr">
        <is>
          <t>Copiar en Flexxus: Tipo=MB-EXT | Movimiento=GRAVAMEN LEY 25.413 S/DEB | Monto=6.000,00 | Fecha: 29/04/2026</t>
        </is>
      </c>
    </row>
    <row r="597">
      <c r="A597" s="8" t="inlineStr">
        <is>
          <t>PEND-67123F08B178-A001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29/04/2026</t>
        </is>
      </c>
      <c r="E597" s="8" t="inlineStr">
        <is>
          <t>109424</t>
        </is>
      </c>
      <c r="F597" s="8" t="inlineStr">
        <is>
          <t>INGRESOS BRUTOS MENDOZA</t>
        </is>
      </c>
      <c r="G597" s="8" t="inlineStr">
        <is>
          <t>Retención Ingresos Brutos Mendoza</t>
        </is>
      </c>
      <c r="H597" s="8" t="inlineStr">
        <is>
          <t>Retención de Ingresos Brutos</t>
        </is>
      </c>
      <c r="I597" s="9" t="n">
        <v>1040.83</v>
      </c>
      <c r="J597" s="9" t="inlineStr"/>
      <c r="K597" s="8" t="inlineStr">
        <is>
          <t>Copiar en Flexxus: Tipo=MB-EXT | Movimiento=INGRESOS BRUTOS MENDOZA | Monto=1.040,83 | Fecha: 29/04/2026</t>
        </is>
      </c>
    </row>
    <row r="598">
      <c r="A598" s="8" t="inlineStr">
        <is>
          <t>PEND-34E77C129A0E-A001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29/04/2026</t>
        </is>
      </c>
      <c r="E598" s="8" t="inlineStr">
        <is>
          <t>109424</t>
        </is>
      </c>
      <c r="F598" s="8" t="inlineStr">
        <is>
          <t>GRAVAMEN LEY 25413 S/CRED</t>
        </is>
      </c>
      <c r="G598" s="8" t="inlineStr">
        <is>
          <t>Anticipo Ganancias Ley 25.413 créditos</t>
        </is>
      </c>
      <c r="H598" s="8" t="inlineStr">
        <is>
          <t>Anticipo Impuesto a las Ganancias</t>
        </is>
      </c>
      <c r="I598" s="9" t="n">
        <v>624.5</v>
      </c>
      <c r="J598" s="9" t="inlineStr"/>
      <c r="K598" s="8" t="inlineStr">
        <is>
          <t>Copiar en Flexxus: Tipo=MB-EXT | Movimiento=GRAVAMEN LEY 25.413 S/CRED | Monto=624,50 | Fecha: 29/04/2026</t>
        </is>
      </c>
    </row>
    <row r="599">
      <c r="A599" s="8" t="inlineStr">
        <is>
          <t>PEND-B6815D30E9F6-A001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29/04/2026</t>
        </is>
      </c>
      <c r="E599" s="8" t="inlineStr">
        <is>
          <t>32032899</t>
        </is>
      </c>
      <c r="F599" s="8" t="inlineStr">
        <is>
          <t>DEB LIQ MASTERCARD 24H</t>
        </is>
      </c>
      <c r="G599" s="8" t="inlineStr">
        <is>
          <t>Débito liquidación tarjeta</t>
        </is>
      </c>
      <c r="H599" s="8" t="inlineStr">
        <is>
          <t>Revisar según concepto</t>
        </is>
      </c>
      <c r="I599" s="9" t="n">
        <v>690.62</v>
      </c>
      <c r="J599" s="9" t="inlineStr"/>
      <c r="K599" s="8" t="inlineStr">
        <is>
          <t>Copiar en Flexxus: Tipo=MB-EXT | Movimiento=DEB LIQ MASTERCARD 24H | Monto=690,62 | Fecha: 29/04/2026</t>
        </is>
      </c>
    </row>
    <row r="600">
      <c r="A600" s="8" t="inlineStr">
        <is>
          <t>PEND-E0BE65C8EAB3-A001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29/04/2026</t>
        </is>
      </c>
      <c r="E600" s="8" t="inlineStr">
        <is>
          <t>29841705</t>
        </is>
      </c>
      <c r="F600" s="8" t="inlineStr">
        <is>
          <t>DEB LIQ MASTERCARD 24H</t>
        </is>
      </c>
      <c r="G600" s="8" t="inlineStr">
        <is>
          <t>Débito liquidación tarjeta</t>
        </is>
      </c>
      <c r="H600" s="8" t="inlineStr">
        <is>
          <t>Revisar según concepto</t>
        </is>
      </c>
      <c r="I600" s="9" t="n">
        <v>172.61</v>
      </c>
      <c r="J600" s="9" t="inlineStr"/>
      <c r="K600" s="8" t="inlineStr">
        <is>
          <t>Copiar en Flexxus: Tipo=MB-EXT | Movimiento=DEB LIQ MASTERCARD 24H | Monto=172,61 | Fecha: 29/04/2026</t>
        </is>
      </c>
    </row>
    <row r="601">
      <c r="A601" s="8" t="inlineStr">
        <is>
          <t>PEND-7DADA5ECB02D-A001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29/04/2026</t>
        </is>
      </c>
      <c r="E601" s="8" t="inlineStr">
        <is>
          <t>29841670</t>
        </is>
      </c>
      <c r="F601" s="8" t="inlineStr">
        <is>
          <t>DEB LIQ MASTERCARD 24H</t>
        </is>
      </c>
      <c r="G601" s="8" t="inlineStr">
        <is>
          <t>Débito liquidación tarjeta</t>
        </is>
      </c>
      <c r="H601" s="8" t="inlineStr">
        <is>
          <t>Revisar según concepto</t>
        </is>
      </c>
      <c r="I601" s="9" t="n">
        <v>64.8</v>
      </c>
      <c r="J601" s="9" t="inlineStr"/>
      <c r="K601" s="8" t="inlineStr">
        <is>
          <t>Copiar en Flexxus: Tipo=MB-EXT | Movimiento=DEB LIQ MASTERCARD 24H | Monto=64,80 | Fecha: 29/04/2026</t>
        </is>
      </c>
    </row>
    <row r="602">
      <c r="A602" s="8" t="inlineStr">
        <is>
          <t>PEND-6565BA4510EE-A001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29/04/2026</t>
        </is>
      </c>
      <c r="E602" s="8" t="inlineStr">
        <is>
          <t>109479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4.23</v>
      </c>
      <c r="J602" s="9" t="inlineStr"/>
      <c r="K602" s="8" t="inlineStr">
        <is>
          <t>Copiar en Flexxus: Tipo=MB-EXT | Movimiento=GRAVAMEN LEY 25.413 S/DEB | Monto=4,23 | Fecha: 29/04/2026</t>
        </is>
      </c>
    </row>
    <row r="603">
      <c r="A603" s="8" t="inlineStr">
        <is>
          <t>PEND-D09A3296D48A-A001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29/04/2026</t>
        </is>
      </c>
      <c r="E603" s="8" t="inlineStr">
        <is>
          <t>109478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0.89</v>
      </c>
      <c r="J603" s="9" t="inlineStr"/>
      <c r="K603" s="8" t="inlineStr">
        <is>
          <t>Copiar en Flexxus: Tipo=MB-EXT | Movimiento=GRAVAMEN LEY 25.413 S/DEB | Monto=0,89 | Fecha: 29/04/2026</t>
        </is>
      </c>
    </row>
    <row r="604">
      <c r="A604" s="8" t="inlineStr">
        <is>
          <t>PEND-439A21676C40-A001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29/04/2026</t>
        </is>
      </c>
      <c r="E604" s="8" t="inlineStr">
        <is>
          <t>109477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2.97</v>
      </c>
      <c r="J604" s="9" t="inlineStr"/>
      <c r="K604" s="8" t="inlineStr">
        <is>
          <t>Copiar en Flexxus: Tipo=MB-EXT | Movimiento=GRAVAMEN LEY 25.413 S/DEB | Monto=2,97 | Fecha: 29/04/2026</t>
        </is>
      </c>
    </row>
    <row r="605">
      <c r="A605" s="8" t="inlineStr">
        <is>
          <t>PEND-C6B7E3E57725-A001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29/04/2026</t>
        </is>
      </c>
      <c r="E605" s="8" t="inlineStr">
        <is>
          <t>109476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0.34</v>
      </c>
      <c r="J605" s="9" t="inlineStr"/>
      <c r="K605" s="8" t="inlineStr">
        <is>
          <t>Copiar en Flexxus: Tipo=MB-EXT | Movimiento=GRAVAMEN LEY 25.413 S/DEB | Monto=0,34 | Fecha: 29/04/2026</t>
        </is>
      </c>
    </row>
    <row r="606">
      <c r="A606" s="8" t="inlineStr">
        <is>
          <t>PEND-367040326100-A001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29/04/2026</t>
        </is>
      </c>
      <c r="E606" s="8" t="inlineStr">
        <is>
          <t>109475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1.34</v>
      </c>
      <c r="J606" s="9" t="inlineStr"/>
      <c r="K606" s="8" t="inlineStr">
        <is>
          <t>Copiar en Flexxus: Tipo=MB-EXT | Movimiento=GRAVAMEN LEY 25.413 S/DEB | Monto=1,34 | Fecha: 29/04/2026</t>
        </is>
      </c>
    </row>
    <row r="607">
      <c r="A607" s="8" t="inlineStr">
        <is>
          <t>PEND-B6A6BE902676-A001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29/04/2026</t>
        </is>
      </c>
      <c r="E607" s="8" t="inlineStr">
        <is>
          <t>109473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1.4</v>
      </c>
      <c r="J607" s="9" t="inlineStr"/>
      <c r="K607" s="8" t="inlineStr">
        <is>
          <t>Copiar en Flexxus: Tipo=MB-EXT | Movimiento=GRAVAMEN LEY 25.413 S/DEB | Monto=1,40 | Fecha: 29/04/2026</t>
        </is>
      </c>
    </row>
    <row r="608">
      <c r="A608" s="8" t="inlineStr">
        <is>
          <t>PEND-501DC3C1809D-A001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29/04/2026</t>
        </is>
      </c>
      <c r="E608" s="8" t="inlineStr">
        <is>
          <t>109472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3.07</v>
      </c>
      <c r="J608" s="9" t="inlineStr"/>
      <c r="K608" s="8" t="inlineStr">
        <is>
          <t>Copiar en Flexxus: Tipo=MB-EXT | Movimiento=GRAVAMEN LEY 25.413 S/DEB | Monto=3,07 | Fecha: 29/04/2026</t>
        </is>
      </c>
    </row>
    <row r="609">
      <c r="A609" s="8" t="inlineStr">
        <is>
          <t>PEND-6FE1D3A82E2A-A001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29/04/2026</t>
        </is>
      </c>
      <c r="E609" s="8" t="inlineStr">
        <is>
          <t>109471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0.45</v>
      </c>
      <c r="J609" s="9" t="inlineStr"/>
      <c r="K609" s="8" t="inlineStr">
        <is>
          <t>Copiar en Flexxus: Tipo=MB-EXT | Movimiento=GRAVAMEN LEY 25.413 S/DEB | Monto=0,45 | Fecha: 29/04/2026</t>
        </is>
      </c>
    </row>
    <row r="610">
      <c r="A610" s="8" t="inlineStr">
        <is>
          <t>PEND-D8814D018CD2-A001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29/04/2026</t>
        </is>
      </c>
      <c r="E610" s="8" t="inlineStr">
        <is>
          <t>109470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1.34</v>
      </c>
      <c r="J610" s="9" t="inlineStr"/>
      <c r="K610" s="8" t="inlineStr">
        <is>
          <t>Copiar en Flexxus: Tipo=MB-EXT | Movimiento=GRAVAMEN LEY 25.413 S/DEB | Monto=1,34 | Fecha: 29/04/2026</t>
        </is>
      </c>
    </row>
    <row r="611">
      <c r="A611" s="8" t="inlineStr">
        <is>
          <t>PEND-7BB0AE9886B5-A001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29/04/2026</t>
        </is>
      </c>
      <c r="E611" s="8" t="inlineStr">
        <is>
          <t>109469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2.67</v>
      </c>
      <c r="J611" s="9" t="inlineStr"/>
      <c r="K611" s="8" t="inlineStr">
        <is>
          <t>Copiar en Flexxus: Tipo=MB-EXT | Movimiento=GRAVAMEN LEY 25.413 S/DEB | Monto=2,67 | Fecha: 29/04/2026</t>
        </is>
      </c>
    </row>
    <row r="612">
      <c r="A612" s="8" t="inlineStr">
        <is>
          <t>PEND-A63A95224D86-A001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29/04/2026</t>
        </is>
      </c>
      <c r="E612" s="8" t="inlineStr">
        <is>
          <t>109468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0.45</v>
      </c>
      <c r="J612" s="9" t="inlineStr"/>
      <c r="K612" s="8" t="inlineStr">
        <is>
          <t>Copiar en Flexxus: Tipo=MB-EXT | Movimiento=GRAVAMEN LEY 25.413 S/DEB | Monto=0,45 | Fecha: 29/04/2026</t>
        </is>
      </c>
    </row>
    <row r="613">
      <c r="A613" s="8" t="inlineStr">
        <is>
          <t>PEND-21D2AF51CA26-A001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29/04/2026</t>
        </is>
      </c>
      <c r="E613" s="8" t="inlineStr">
        <is>
          <t>29841705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2.9</v>
      </c>
      <c r="J613" s="9" t="inlineStr"/>
      <c r="K613" s="8" t="inlineStr">
        <is>
          <t>Copiar en Flexxus: Tipo=MB-EXT | Movimiento=GRAVAMEN LEY 25.413 S/DEB | Monto=2,90 | Fecha: 29/04/2026</t>
        </is>
      </c>
    </row>
    <row r="614">
      <c r="A614" s="8" t="inlineStr">
        <is>
          <t>PEND-5BCE8CBF3355-A001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29/04/2026</t>
        </is>
      </c>
      <c r="E614" s="8" t="inlineStr">
        <is>
          <t>29841683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1.34</v>
      </c>
      <c r="J614" s="9" t="inlineStr"/>
      <c r="K614" s="8" t="inlineStr">
        <is>
          <t>Copiar en Flexxus: Tipo=MB-EXT | Movimiento=GRAVAMEN LEY 25.413 S/DEB | Monto=1,34 | Fecha: 29/04/2026</t>
        </is>
      </c>
    </row>
    <row r="615">
      <c r="A615" s="8" t="inlineStr">
        <is>
          <t>PEND-0B6BEE6EDDEE-A001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29/04/2026</t>
        </is>
      </c>
      <c r="E615" s="8" t="inlineStr">
        <is>
          <t>29841627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2.31</v>
      </c>
      <c r="J615" s="9" t="inlineStr"/>
      <c r="K615" s="8" t="inlineStr">
        <is>
          <t>Copiar en Flexxus: Tipo=MB-EXT | Movimiento=GRAVAMEN LEY 25.413 S/DEB | Monto=2,31 | Fecha: 29/04/2026</t>
        </is>
      </c>
    </row>
    <row r="616">
      <c r="A616" s="8" t="inlineStr">
        <is>
          <t>PEND-314FF61891AA-A001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29/04/2026</t>
        </is>
      </c>
      <c r="E616" s="8" t="inlineStr">
        <is>
          <t>29841705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0.8</v>
      </c>
      <c r="J616" s="9" t="inlineStr"/>
      <c r="K616" s="8" t="inlineStr">
        <is>
          <t>Copiar en Flexxus: Tipo=MB-EXT | Movimiento=GRAVAMEN LEY 25.413 S/DEB | Monto=0,80 | Fecha: 29/04/2026</t>
        </is>
      </c>
    </row>
    <row r="617">
      <c r="A617" s="8" t="inlineStr">
        <is>
          <t>PEND-C15A28FFE2BC-A001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29/04/2026</t>
        </is>
      </c>
      <c r="E617" s="8" t="inlineStr">
        <is>
          <t>29841683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0.74</v>
      </c>
      <c r="J617" s="9" t="inlineStr"/>
      <c r="K617" s="8" t="inlineStr">
        <is>
          <t>Copiar en Flexxus: Tipo=MB-EXT | Movimiento=GRAVAMEN LEY 25.413 S/DEB | Monto=0,74 | Fecha: 29/04/2026</t>
        </is>
      </c>
    </row>
    <row r="618">
      <c r="A618" s="8" t="inlineStr">
        <is>
          <t>PEND-3F5EF8F9027C-A001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29/04/2026</t>
        </is>
      </c>
      <c r="E618" s="8" t="inlineStr">
        <is>
          <t>29841670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2.81</v>
      </c>
      <c r="J618" s="9" t="inlineStr"/>
      <c r="K618" s="8" t="inlineStr">
        <is>
          <t>Copiar en Flexxus: Tipo=MB-EXT | Movimiento=GRAVAMEN LEY 25.413 S/DEB | Monto=2,81 | Fecha: 29/04/2026</t>
        </is>
      </c>
    </row>
    <row r="619">
      <c r="A619" s="8" t="inlineStr">
        <is>
          <t>PEND-1A1A701BA01D-A001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29/04/2026</t>
        </is>
      </c>
      <c r="E619" s="8" t="inlineStr">
        <is>
          <t>32032899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3.25</v>
      </c>
      <c r="J619" s="9" t="inlineStr"/>
      <c r="K619" s="8" t="inlineStr">
        <is>
          <t>Copiar en Flexxus: Tipo=MB-EXT | Movimiento=GRAVAMEN LEY 25.413 S/DEB | Monto=3,25 | Fecha: 29/04/2026</t>
        </is>
      </c>
    </row>
    <row r="620">
      <c r="A620" s="8" t="inlineStr">
        <is>
          <t>PEND-7D3A42D1D74C-A001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29/04/2026</t>
        </is>
      </c>
      <c r="E620" s="8" t="inlineStr">
        <is>
          <t>109454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3.29</v>
      </c>
      <c r="J620" s="9" t="inlineStr"/>
      <c r="K620" s="8" t="inlineStr">
        <is>
          <t>Copiar en Flexxus: Tipo=MB-EXT | Movimiento=GRAVAMEN LEY 25.413 S/DEB | Monto=3,29 | Fecha: 29/04/2026</t>
        </is>
      </c>
    </row>
    <row r="621">
      <c r="A621" s="8" t="inlineStr">
        <is>
          <t>PEND-D70CCE18CE66-A001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29/04/2026</t>
        </is>
      </c>
      <c r="E621" s="8" t="inlineStr">
        <is>
          <t>31995644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4.83</v>
      </c>
      <c r="J621" s="9" t="inlineStr"/>
      <c r="K621" s="8" t="inlineStr">
        <is>
          <t>Copiar en Flexxus: Tipo=MB-EXT | Movimiento=GRAVAMEN LEY 25.413 S/DEB | Monto=4,83 | Fecha: 29/04/2026</t>
        </is>
      </c>
    </row>
    <row r="622">
      <c r="A622" s="8" t="inlineStr">
        <is>
          <t>PEND-CBC9A03B83C8-A001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29/04/2026</t>
        </is>
      </c>
      <c r="E622" s="8" t="inlineStr">
        <is>
          <t>29841683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1.29</v>
      </c>
      <c r="J622" s="9" t="inlineStr"/>
      <c r="K622" s="8" t="inlineStr">
        <is>
          <t>Copiar en Flexxus: Tipo=MB-EXT | Movimiento=GRAVAMEN LEY 25.413 S/DEB | Monto=1,29 | Fecha: 29/04/2026</t>
        </is>
      </c>
    </row>
    <row r="623">
      <c r="A623" s="8" t="inlineStr">
        <is>
          <t>PEND-B649560604F9-A001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29/04/2026</t>
        </is>
      </c>
      <c r="E623" s="8" t="inlineStr">
        <is>
          <t>29841705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6.07</v>
      </c>
      <c r="J623" s="9" t="inlineStr"/>
      <c r="K623" s="8" t="inlineStr">
        <is>
          <t>Copiar en Flexxus: Tipo=MB-EXT | Movimiento=GRAVAMEN LEY 25.413 S/DEB | Monto=6,07 | Fecha: 29/04/2026</t>
        </is>
      </c>
    </row>
    <row r="624">
      <c r="A624" s="8" t="inlineStr">
        <is>
          <t>PEND-0E3C035036E7-A001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29/04/2026</t>
        </is>
      </c>
      <c r="E624" s="8" t="inlineStr">
        <is>
          <t>29841683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0.36</v>
      </c>
      <c r="J624" s="9" t="inlineStr"/>
      <c r="K624" s="8" t="inlineStr">
        <is>
          <t>Copiar en Flexxus: Tipo=MB-EXT | Movimiento=GRAVAMEN LEY 25.413 S/DEB | Monto=0,36 | Fecha: 29/04/2026</t>
        </is>
      </c>
    </row>
    <row r="625">
      <c r="A625" s="8" t="inlineStr">
        <is>
          <t>PEND-F9090534DEEB-A001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29/04/2026</t>
        </is>
      </c>
      <c r="E625" s="8" t="inlineStr">
        <is>
          <t>31995644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3.49</v>
      </c>
      <c r="J625" s="9" t="inlineStr"/>
      <c r="K625" s="8" t="inlineStr">
        <is>
          <t>Copiar en Flexxus: Tipo=MB-EXT | Movimiento=GRAVAMEN LEY 25.413 S/DEB | Monto=3,49 | Fecha: 29/04/2026</t>
        </is>
      </c>
    </row>
    <row r="626">
      <c r="A626" s="8" t="inlineStr">
        <is>
          <t>PEND-27ACA1778D46-A001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29/04/2026</t>
        </is>
      </c>
      <c r="E626" s="8" t="inlineStr">
        <is>
          <t>29841705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1.53</v>
      </c>
      <c r="J626" s="9" t="inlineStr"/>
      <c r="K626" s="8" t="inlineStr">
        <is>
          <t>Copiar en Flexxus: Tipo=MB-EXT | Movimiento=GRAVAMEN LEY 25.413 S/DEB | Monto=1,53 | Fecha: 29/04/2026</t>
        </is>
      </c>
    </row>
    <row r="627">
      <c r="A627" s="8" t="inlineStr">
        <is>
          <t>PEND-6FDE68603691-A001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29/04/2026</t>
        </is>
      </c>
      <c r="E627" s="8" t="inlineStr">
        <is>
          <t>29841683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0.26</v>
      </c>
      <c r="J627" s="9" t="inlineStr"/>
      <c r="K627" s="8" t="inlineStr">
        <is>
          <t>Copiar en Flexxus: Tipo=MB-EXT | Movimiento=GRAVAMEN LEY 25.413 S/DEB | Monto=0,26 | Fecha: 29/04/2026</t>
        </is>
      </c>
    </row>
    <row r="628">
      <c r="A628" s="8" t="inlineStr">
        <is>
          <t>PEND-E9EE46490B86-A001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29/04/2026</t>
        </is>
      </c>
      <c r="E628" s="8" t="inlineStr">
        <is>
          <t>29841670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2.28</v>
      </c>
      <c r="J628" s="9" t="inlineStr"/>
      <c r="K628" s="8" t="inlineStr">
        <is>
          <t>Copiar en Flexxus: Tipo=MB-EXT | Movimiento=GRAVAMEN LEY 25.413 S/DEB | Monto=2,28 | Fecha: 29/04/2026</t>
        </is>
      </c>
    </row>
    <row r="629">
      <c r="A629" s="8" t="inlineStr">
        <is>
          <t>PEND-F71568DED1E7-A001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29/04/2026</t>
        </is>
      </c>
      <c r="E629" s="8" t="inlineStr">
        <is>
          <t>109435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0.78</v>
      </c>
      <c r="J629" s="9" t="inlineStr"/>
      <c r="K629" s="8" t="inlineStr">
        <is>
          <t>Copiar en Flexxus: Tipo=MB-EXT | Movimiento=GRAVAMEN LEY 25.413 S/DEB | Monto=0,78 | Fecha: 29/04/2026</t>
        </is>
      </c>
    </row>
    <row r="630">
      <c r="A630" s="8" t="inlineStr">
        <is>
          <t>PEND-1EC43641FF83-A001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29/04/2026</t>
        </is>
      </c>
      <c r="E630" s="8" t="inlineStr">
        <is>
          <t>109434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1.43</v>
      </c>
      <c r="J630" s="9" t="inlineStr"/>
      <c r="K630" s="8" t="inlineStr">
        <is>
          <t>Copiar en Flexxus: Tipo=MB-EXT | Movimiento=GRAVAMEN LEY 25.413 S/DEB | Monto=1,43 | Fecha: 29/04/2026</t>
        </is>
      </c>
    </row>
    <row r="631">
      <c r="A631" s="8" t="inlineStr">
        <is>
          <t>PEND-5ACCA50FCB33-A001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29/04/2026</t>
        </is>
      </c>
      <c r="E631" s="8" t="inlineStr">
        <is>
          <t>109433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1.53</v>
      </c>
      <c r="J631" s="9" t="inlineStr"/>
      <c r="K631" s="8" t="inlineStr">
        <is>
          <t>Copiar en Flexxus: Tipo=MB-EXT | Movimiento=GRAVAMEN LEY 25.413 S/DEB | Monto=1,53 | Fecha: 29/04/2026</t>
        </is>
      </c>
    </row>
    <row r="632">
      <c r="A632" s="8" t="inlineStr">
        <is>
          <t>PEND-3B5C4915A976-A001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29/04/2026</t>
        </is>
      </c>
      <c r="E632" s="8" t="inlineStr">
        <is>
          <t>109432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0.61</v>
      </c>
      <c r="J632" s="9" t="inlineStr"/>
      <c r="K632" s="8" t="inlineStr">
        <is>
          <t>Copiar en Flexxus: Tipo=MB-EXT | Movimiento=GRAVAMEN LEY 25.413 S/DEB | Monto=0,61 | Fecha: 29/04/2026</t>
        </is>
      </c>
    </row>
    <row r="633">
      <c r="A633" s="8" t="inlineStr">
        <is>
          <t>PEND-C69532A94937-A001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29/04/2026</t>
        </is>
      </c>
      <c r="E633" s="8" t="inlineStr">
        <is>
          <t>109431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2.08</v>
      </c>
      <c r="J633" s="9" t="inlineStr"/>
      <c r="K633" s="8" t="inlineStr">
        <is>
          <t>Copiar en Flexxus: Tipo=MB-EXT | Movimiento=GRAVAMEN LEY 25.413 S/DEB | Monto=2,08 | Fecha: 29/04/2026</t>
        </is>
      </c>
    </row>
    <row r="634">
      <c r="A634" s="8" t="inlineStr">
        <is>
          <t>PEND-AA52B5133BDB-A001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29/04/2026</t>
        </is>
      </c>
      <c r="E634" s="8" t="inlineStr">
        <is>
          <t>109430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2.1</v>
      </c>
      <c r="J634" s="9" t="inlineStr"/>
      <c r="K634" s="8" t="inlineStr">
        <is>
          <t>Copiar en Flexxus: Tipo=MB-EXT | Movimiento=GRAVAMEN LEY 25.413 S/DEB | Monto=2,10 | Fecha: 29/04/2026</t>
        </is>
      </c>
    </row>
    <row r="635">
      <c r="A635" s="8" t="inlineStr">
        <is>
          <t>PEND-6424953E6C34-A001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29/04/2026</t>
        </is>
      </c>
      <c r="E635" s="8" t="inlineStr">
        <is>
          <t>109428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1.43</v>
      </c>
      <c r="J635" s="9" t="inlineStr"/>
      <c r="K635" s="8" t="inlineStr">
        <is>
          <t>Copiar en Flexxus: Tipo=MB-EXT | Movimiento=GRAVAMEN LEY 25.413 S/DEB | Monto=1,43 | Fecha: 29/04/2026</t>
        </is>
      </c>
    </row>
    <row r="636">
      <c r="A636" s="8" t="inlineStr">
        <is>
          <t>PEND-13C6EA741A04-A001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29/04/2026</t>
        </is>
      </c>
      <c r="E636" s="8" t="inlineStr">
        <is>
          <t>109427</t>
        </is>
      </c>
      <c r="F636" s="8" t="inlineStr">
        <is>
          <t>GRAVAMEN LEY 25413 S/DEB</t>
        </is>
      </c>
      <c r="G636" s="8" t="inlineStr">
        <is>
          <t>Anticipo Ganancias Ley 25.413 débitos</t>
        </is>
      </c>
      <c r="H636" s="8" t="inlineStr">
        <is>
          <t>Anticipo Impuesto a las Ganancias</t>
        </is>
      </c>
      <c r="I636" s="9" t="n">
        <v>2.76</v>
      </c>
      <c r="J636" s="9" t="inlineStr"/>
      <c r="K636" s="8" t="inlineStr">
        <is>
          <t>Copiar en Flexxus: Tipo=MB-EXT | Movimiento=GRAVAMEN LEY 25.413 S/DEB | Monto=2,76 | Fecha: 29/04/2026</t>
        </is>
      </c>
    </row>
    <row r="637">
      <c r="A637" s="8" t="inlineStr">
        <is>
          <t>PEND-9335218EF4F5-A001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29/04/2026</t>
        </is>
      </c>
      <c r="E637" s="8" t="inlineStr">
        <is>
          <t>109426</t>
        </is>
      </c>
      <c r="F637" s="8" t="inlineStr">
        <is>
          <t>GRAVAMEN LEY 25413 S/DEB</t>
        </is>
      </c>
      <c r="G637" s="8" t="inlineStr">
        <is>
          <t>Anticipo Ganancias Ley 25.413 débitos</t>
        </is>
      </c>
      <c r="H637" s="8" t="inlineStr">
        <is>
          <t>Anticipo Impuesto a las Ganancias</t>
        </is>
      </c>
      <c r="I637" s="9" t="n">
        <v>5.7</v>
      </c>
      <c r="J637" s="9" t="inlineStr"/>
      <c r="K637" s="8" t="inlineStr">
        <is>
          <t>Copiar en Flexxus: Tipo=MB-EXT | Movimiento=GRAVAMEN LEY 25.413 S/DEB | Monto=5,70 | Fecha: 29/04/2026</t>
        </is>
      </c>
    </row>
    <row r="638">
      <c r="A638" s="8" t="inlineStr">
        <is>
          <t>PEND-07FBB56007D6-A001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29/04/2026</t>
        </is>
      </c>
      <c r="E638" s="8" t="inlineStr">
        <is>
          <t>109478</t>
        </is>
      </c>
      <c r="F638" s="8" t="inlineStr">
        <is>
          <t>INGRESOS BRUTOS MENDOZA</t>
        </is>
      </c>
      <c r="G638" s="8" t="inlineStr">
        <is>
          <t>Retención Ingresos Brutos Mendoza</t>
        </is>
      </c>
      <c r="H638" s="8" t="inlineStr">
        <is>
          <t>Retención de Ingresos Brutos</t>
        </is>
      </c>
      <c r="I638" s="9" t="n">
        <v>148.55</v>
      </c>
      <c r="J638" s="9" t="inlineStr"/>
      <c r="K638" s="8" t="inlineStr">
        <is>
          <t>Copiar en Flexxus: Tipo=MB-EXT | Movimiento=INGRESOS BRUTOS MENDOZA | Monto=148,55 | Fecha: 29/04/2026</t>
        </is>
      </c>
    </row>
    <row r="639">
      <c r="A639" s="8" t="inlineStr">
        <is>
          <t>PEND-176B522C536B-A001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29/04/2026</t>
        </is>
      </c>
      <c r="E639" s="8" t="inlineStr">
        <is>
          <t>109478</t>
        </is>
      </c>
      <c r="F639" s="8" t="inlineStr">
        <is>
          <t>GRAVAMEN LEY 25413 S/CRED</t>
        </is>
      </c>
      <c r="G639" s="8" t="inlineStr">
        <is>
          <t>Anticipo Ganancias Ley 25.413 créditos</t>
        </is>
      </c>
      <c r="H639" s="8" t="inlineStr">
        <is>
          <t>Anticipo Impuesto a las Ganancias</t>
        </is>
      </c>
      <c r="I639" s="9" t="n">
        <v>89.13</v>
      </c>
      <c r="J639" s="9" t="inlineStr"/>
      <c r="K639" s="8" t="inlineStr">
        <is>
          <t>Copiar en Flexxus: Tipo=MB-EXT | Movimiento=GRAVAMEN LEY 25.413 S/CRED | Monto=89,13 | Fecha: 29/04/2026</t>
        </is>
      </c>
    </row>
    <row r="640">
      <c r="A640" s="8" t="inlineStr">
        <is>
          <t>PEND-AE77B0D38F1D-A001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29/04/2026</t>
        </is>
      </c>
      <c r="E640" s="8" t="inlineStr">
        <is>
          <t>109477</t>
        </is>
      </c>
      <c r="F640" s="8" t="inlineStr">
        <is>
          <t>INGRESOS BRUTOS MENDOZA</t>
        </is>
      </c>
      <c r="G640" s="8" t="inlineStr">
        <is>
          <t>Retención Ingresos Brutos Mendoza</t>
        </is>
      </c>
      <c r="H640" s="8" t="inlineStr">
        <is>
          <t>Retención de Ingresos Brutos</t>
        </is>
      </c>
      <c r="I640" s="9" t="n">
        <v>495.16</v>
      </c>
      <c r="J640" s="9" t="inlineStr"/>
      <c r="K640" s="8" t="inlineStr">
        <is>
          <t>Copiar en Flexxus: Tipo=MB-EXT | Movimiento=INGRESOS BRUTOS MENDOZA | Monto=495,16 | Fecha: 29/04/2026</t>
        </is>
      </c>
    </row>
    <row r="641">
      <c r="A641" s="8" t="inlineStr">
        <is>
          <t>PEND-5EC8A9C10685-A001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29/04/2026</t>
        </is>
      </c>
      <c r="E641" s="8" t="inlineStr">
        <is>
          <t>109477</t>
        </is>
      </c>
      <c r="F641" s="8" t="inlineStr">
        <is>
          <t>GRAVAMEN LEY 25413 S/CRED</t>
        </is>
      </c>
      <c r="G641" s="8" t="inlineStr">
        <is>
          <t>Anticipo Ganancias Ley 25.413 créditos</t>
        </is>
      </c>
      <c r="H641" s="8" t="inlineStr">
        <is>
          <t>Anticipo Impuesto a las Ganancias</t>
        </is>
      </c>
      <c r="I641" s="9" t="n">
        <v>297.1</v>
      </c>
      <c r="J641" s="9" t="inlineStr"/>
      <c r="K641" s="8" t="inlineStr">
        <is>
          <t>Copiar en Flexxus: Tipo=MB-EXT | Movimiento=GRAVAMEN LEY 25.413 S/CRED | Monto=297,10 | Fecha: 29/04/2026</t>
        </is>
      </c>
    </row>
    <row r="642">
      <c r="A642" s="8" t="inlineStr">
        <is>
          <t>PEND-33DA4000C581-A001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29/04/2026</t>
        </is>
      </c>
      <c r="E642" s="8" t="inlineStr">
        <is>
          <t>109476</t>
        </is>
      </c>
      <c r="F642" s="8" t="inlineStr">
        <is>
          <t>INGRESOS BRUTOS MENDOZA</t>
        </is>
      </c>
      <c r="G642" s="8" t="inlineStr">
        <is>
          <t>Retención Ingresos Brutos Mendoza</t>
        </is>
      </c>
      <c r="H642" s="8" t="inlineStr">
        <is>
          <t>Retención de Ingresos Brutos</t>
        </is>
      </c>
      <c r="I642" s="9" t="n">
        <v>56.45</v>
      </c>
      <c r="J642" s="9" t="inlineStr"/>
      <c r="K642" s="8" t="inlineStr">
        <is>
          <t>Copiar en Flexxus: Tipo=MB-EXT | Movimiento=INGRESOS BRUTOS MENDOZA | Monto=56,45 | Fecha: 29/04/2026</t>
        </is>
      </c>
    </row>
    <row r="643">
      <c r="A643" s="8" t="inlineStr">
        <is>
          <t>PEND-54C3473A3F7B-A001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29/04/2026</t>
        </is>
      </c>
      <c r="E643" s="8" t="inlineStr">
        <is>
          <t>109475</t>
        </is>
      </c>
      <c r="F643" s="8" t="inlineStr">
        <is>
          <t>GRAVAMEN LEY 25413 S/CRED</t>
        </is>
      </c>
      <c r="G643" s="8" t="inlineStr">
        <is>
          <t>Anticipo Ganancias Ley 25.413 créditos</t>
        </is>
      </c>
      <c r="H643" s="8" t="inlineStr">
        <is>
          <t>Anticipo Impuesto a las Ganancias</t>
        </is>
      </c>
      <c r="I643" s="9" t="n">
        <v>133.69</v>
      </c>
      <c r="J643" s="9" t="inlineStr"/>
      <c r="K643" s="8" t="inlineStr">
        <is>
          <t>Copiar en Flexxus: Tipo=MB-EXT | Movimiento=GRAVAMEN LEY 25.413 S/CRED | Monto=133,69 | Fecha: 29/04/2026</t>
        </is>
      </c>
    </row>
    <row r="644">
      <c r="A644" s="8" t="inlineStr">
        <is>
          <t>PEND-118F8F66D09D-A001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29/04/2026</t>
        </is>
      </c>
      <c r="E644" s="8" t="inlineStr">
        <is>
          <t>109471</t>
        </is>
      </c>
      <c r="F644" s="8" t="inlineStr">
        <is>
          <t>GRAVAMEN LEY 25413 S/CRED</t>
        </is>
      </c>
      <c r="G644" s="8" t="inlineStr">
        <is>
          <t>Anticipo Ganancias Ley 25.413 créditos</t>
        </is>
      </c>
      <c r="H644" s="8" t="inlineStr">
        <is>
          <t>Anticipo Impuesto a las Ganancias</t>
        </is>
      </c>
      <c r="I644" s="9" t="n">
        <v>44.56</v>
      </c>
      <c r="J644" s="9" t="inlineStr"/>
      <c r="K644" s="8" t="inlineStr">
        <is>
          <t>Copiar en Flexxus: Tipo=MB-EXT | Movimiento=GRAVAMEN LEY 25.413 S/CRED | Monto=44,56 | Fecha: 29/04/2026</t>
        </is>
      </c>
    </row>
    <row r="645">
      <c r="A645" s="8" t="inlineStr">
        <is>
          <t>PEND-60B4DA674D7F-A001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29/04/2026</t>
        </is>
      </c>
      <c r="E645" s="8" t="inlineStr">
        <is>
          <t>109470</t>
        </is>
      </c>
      <c r="F645" s="8" t="inlineStr">
        <is>
          <t>GRAVAMEN LEY 25413 S/CRED</t>
        </is>
      </c>
      <c r="G645" s="8" t="inlineStr">
        <is>
          <t>Anticipo Ganancias Ley 25.413 créditos</t>
        </is>
      </c>
      <c r="H645" s="8" t="inlineStr">
        <is>
          <t>Anticipo Impuesto a las Ganancias</t>
        </is>
      </c>
      <c r="I645" s="9" t="n">
        <v>133.69</v>
      </c>
      <c r="J645" s="9" t="inlineStr"/>
      <c r="K645" s="8" t="inlineStr">
        <is>
          <t>Copiar en Flexxus: Tipo=MB-EXT | Movimiento=GRAVAMEN LEY 25.413 S/CRED | Monto=133,69 | Fecha: 29/04/2026</t>
        </is>
      </c>
    </row>
    <row r="646">
      <c r="A646" s="8" t="inlineStr">
        <is>
          <t>PEND-62AC52FCE91D-A001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29/04/2026</t>
        </is>
      </c>
      <c r="E646" s="8" t="inlineStr">
        <is>
          <t>109469</t>
        </is>
      </c>
      <c r="F646" s="8" t="inlineStr">
        <is>
          <t>GRAVAMEN LEY 25413 S/CRED</t>
        </is>
      </c>
      <c r="G646" s="8" t="inlineStr">
        <is>
          <t>Anticipo Ganancias Ley 25.413 créditos</t>
        </is>
      </c>
      <c r="H646" s="8" t="inlineStr">
        <is>
          <t>Anticipo Impuesto a las Ganancias</t>
        </is>
      </c>
      <c r="I646" s="9" t="n">
        <v>267.39</v>
      </c>
      <c r="J646" s="9" t="inlineStr"/>
      <c r="K646" s="8" t="inlineStr">
        <is>
          <t>Copiar en Flexxus: Tipo=MB-EXT | Movimiento=GRAVAMEN LEY 25.413 S/CRED | Monto=267,39 | Fecha: 29/04/2026</t>
        </is>
      </c>
    </row>
    <row r="647">
      <c r="A647" s="8" t="inlineStr">
        <is>
          <t>PEND-0B000E556FEB-A001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29/04/2026</t>
        </is>
      </c>
      <c r="E647" s="8" t="inlineStr">
        <is>
          <t>109468</t>
        </is>
      </c>
      <c r="F647" s="8" t="inlineStr">
        <is>
          <t>GRAVAMEN LEY 25413 S/CRED</t>
        </is>
      </c>
      <c r="G647" s="8" t="inlineStr">
        <is>
          <t>Anticipo Ganancias Ley 25.413 créditos</t>
        </is>
      </c>
      <c r="H647" s="8" t="inlineStr">
        <is>
          <t>Anticipo Impuesto a las Ganancias</t>
        </is>
      </c>
      <c r="I647" s="9" t="n">
        <v>44.56</v>
      </c>
      <c r="J647" s="9" t="inlineStr"/>
      <c r="K647" s="8" t="inlineStr">
        <is>
          <t>Copiar en Flexxus: Tipo=MB-EXT | Movimiento=GRAVAMEN LEY 25.413 S/CRED | Monto=44,56 | Fecha: 29/04/2026</t>
        </is>
      </c>
    </row>
    <row r="648">
      <c r="A648" s="8" t="inlineStr">
        <is>
          <t>PEND-A1FDC44C8D32-A001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29/04/2026</t>
        </is>
      </c>
      <c r="E648" s="8" t="inlineStr">
        <is>
          <t>29841705</t>
        </is>
      </c>
      <c r="F648" s="8" t="inlineStr">
        <is>
          <t>INGRESOS BRUTOS MENDOZA</t>
        </is>
      </c>
      <c r="G648" s="8" t="inlineStr">
        <is>
          <t>Retención Ingresos Brutos Mendoza</t>
        </is>
      </c>
      <c r="H648" s="8" t="inlineStr">
        <is>
          <t>Retención de Ingresos Brutos</t>
        </is>
      </c>
      <c r="I648" s="9" t="n">
        <v>133.37</v>
      </c>
      <c r="J648" s="9" t="inlineStr"/>
      <c r="K648" s="8" t="inlineStr">
        <is>
          <t>Copiar en Flexxus: Tipo=MB-EXT | Movimiento=INGRESOS BRUTOS MENDOZA | Monto=133,37 | Fecha: 29/04/2026</t>
        </is>
      </c>
    </row>
    <row r="649">
      <c r="A649" s="8" t="inlineStr">
        <is>
          <t>PEND-0BDA3DD05E4C-A001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29/04/2026</t>
        </is>
      </c>
      <c r="E649" s="8" t="inlineStr">
        <is>
          <t>29841705</t>
        </is>
      </c>
      <c r="F649" s="8" t="inlineStr">
        <is>
          <t>GRAVAMEN LEY 25413 S/CRED</t>
        </is>
      </c>
      <c r="G649" s="8" t="inlineStr">
        <is>
          <t>Anticipo Ganancias Ley 25.413 créditos</t>
        </is>
      </c>
      <c r="H649" s="8" t="inlineStr">
        <is>
          <t>Anticipo Impuesto a las Ganancias</t>
        </is>
      </c>
      <c r="I649" s="9" t="n">
        <v>80.02</v>
      </c>
      <c r="J649" s="9" t="inlineStr"/>
      <c r="K649" s="8" t="inlineStr">
        <is>
          <t>Copiar en Flexxus: Tipo=MB-EXT | Movimiento=GRAVAMEN LEY 25.413 S/CRED | Monto=80,02 | Fecha: 29/04/2026</t>
        </is>
      </c>
    </row>
    <row r="650">
      <c r="A650" s="8" t="inlineStr">
        <is>
          <t>PEND-E70C975DF869-A001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29/04/2026</t>
        </is>
      </c>
      <c r="E650" s="8" t="inlineStr">
        <is>
          <t>29841670</t>
        </is>
      </c>
      <c r="F650" s="8" t="inlineStr">
        <is>
          <t>INGRESOS BRUTOS MENDOZA</t>
        </is>
      </c>
      <c r="G650" s="8" t="inlineStr">
        <is>
          <t>Retención Ingresos Brutos Mendoza</t>
        </is>
      </c>
      <c r="H650" s="8" t="inlineStr">
        <is>
          <t>Retención de Ingresos Brutos</t>
        </is>
      </c>
      <c r="I650" s="9" t="n">
        <v>468.26</v>
      </c>
      <c r="J650" s="9" t="inlineStr"/>
      <c r="K650" s="8" t="inlineStr">
        <is>
          <t>Copiar en Flexxus: Tipo=MB-EXT | Movimiento=INGRESOS BRUTOS MENDOZA | Monto=468,26 | Fecha: 29/04/2026</t>
        </is>
      </c>
    </row>
    <row r="651">
      <c r="A651" s="8" t="inlineStr">
        <is>
          <t>PEND-0746310ABA49-A001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29/04/2026</t>
        </is>
      </c>
      <c r="E651" s="8" t="inlineStr">
        <is>
          <t>29841683</t>
        </is>
      </c>
      <c r="F651" s="8" t="inlineStr">
        <is>
          <t>INGRESOS BRUTOS MENDOZA</t>
        </is>
      </c>
      <c r="G651" s="8" t="inlineStr">
        <is>
          <t>Retención Ingresos Brutos Mendoza</t>
        </is>
      </c>
      <c r="H651" s="8" t="inlineStr">
        <is>
          <t>Retención de Ingresos Brutos</t>
        </is>
      </c>
      <c r="I651" s="9" t="n">
        <v>44.02</v>
      </c>
      <c r="J651" s="9" t="inlineStr"/>
      <c r="K651" s="8" t="inlineStr">
        <is>
          <t>Copiar en Flexxus: Tipo=MB-EXT | Movimiento=INGRESOS BRUTOS MENDOZA | Monto=44,02 | Fecha: 29/04/2026</t>
        </is>
      </c>
    </row>
    <row r="652">
      <c r="A652" s="8" t="inlineStr">
        <is>
          <t>PEND-669D644AF4DC-A001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29/04/2026</t>
        </is>
      </c>
      <c r="E652" s="8" t="inlineStr">
        <is>
          <t>29841683</t>
        </is>
      </c>
      <c r="F652" s="8" t="inlineStr">
        <is>
          <t>GRAVAMEN LEY 25413 S/CRED</t>
        </is>
      </c>
      <c r="G652" s="8" t="inlineStr">
        <is>
          <t>Anticipo Ganancias Ley 25.413 créditos</t>
        </is>
      </c>
      <c r="H652" s="8" t="inlineStr">
        <is>
          <t>Anticipo Impuesto a las Ganancias</t>
        </is>
      </c>
      <c r="I652" s="9" t="n">
        <v>26.41</v>
      </c>
      <c r="J652" s="9" t="inlineStr"/>
      <c r="K652" s="8" t="inlineStr">
        <is>
          <t>Copiar en Flexxus: Tipo=MB-EXT | Movimiento=GRAVAMEN LEY 25.413 S/CRED | Monto=26,41 | Fecha: 29/04/2026</t>
        </is>
      </c>
    </row>
    <row r="653">
      <c r="A653" s="8" t="inlineStr">
        <is>
          <t>PEND-AF51F7A5CBC0-A001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29/04/2026</t>
        </is>
      </c>
      <c r="E653" s="8" t="inlineStr">
        <is>
          <t>29841670</t>
        </is>
      </c>
      <c r="F653" s="8" t="inlineStr">
        <is>
          <t>GRAVAMEN LEY 25413 S/CRED</t>
        </is>
      </c>
      <c r="G653" s="8" t="inlineStr">
        <is>
          <t>Anticipo Ganancias Ley 25.413 créditos</t>
        </is>
      </c>
      <c r="H653" s="8" t="inlineStr">
        <is>
          <t>Anticipo Impuesto a las Ganancias</t>
        </is>
      </c>
      <c r="I653" s="9" t="n">
        <v>227.73</v>
      </c>
      <c r="J653" s="9" t="inlineStr"/>
      <c r="K653" s="8" t="inlineStr">
        <is>
          <t>Copiar en Flexxus: Tipo=MB-EXT | Movimiento=GRAVAMEN LEY 25.413 S/CRED | Monto=227,73 | Fecha: 29/04/2026</t>
        </is>
      </c>
    </row>
    <row r="654">
      <c r="A654" s="8" t="inlineStr">
        <is>
          <t>PEND-A69818D50DA1-A001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29/04/2026</t>
        </is>
      </c>
      <c r="E654" s="8" t="inlineStr">
        <is>
          <t>109434</t>
        </is>
      </c>
      <c r="F654" s="8" t="inlineStr">
        <is>
          <t>INGRESOS BRUTOS MENDOZA</t>
        </is>
      </c>
      <c r="G654" s="8" t="inlineStr">
        <is>
          <t>Retención Ingresos Brutos Mendoza</t>
        </is>
      </c>
      <c r="H654" s="8" t="inlineStr">
        <is>
          <t>Retención de Ingresos Brutos</t>
        </is>
      </c>
      <c r="I654" s="9" t="n">
        <v>237.68</v>
      </c>
      <c r="J654" s="9" t="inlineStr"/>
      <c r="K654" s="8" t="inlineStr">
        <is>
          <t>Copiar en Flexxus: Tipo=MB-EXT | Movimiento=INGRESOS BRUTOS MENDOZA | Monto=237,68 | Fecha: 29/04/2026</t>
        </is>
      </c>
    </row>
    <row r="655">
      <c r="A655" s="8" t="inlineStr">
        <is>
          <t>PEND-0104C79E7C1B-A001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29/04/2026</t>
        </is>
      </c>
      <c r="E655" s="8" t="inlineStr">
        <is>
          <t>109434</t>
        </is>
      </c>
      <c r="F655" s="8" t="inlineStr">
        <is>
          <t>GRAVAMEN LEY 25413 S/CRED</t>
        </is>
      </c>
      <c r="G655" s="8" t="inlineStr">
        <is>
          <t>Anticipo Ganancias Ley 25.413 créditos</t>
        </is>
      </c>
      <c r="H655" s="8" t="inlineStr">
        <is>
          <t>Anticipo Impuesto a las Ganancias</t>
        </is>
      </c>
      <c r="I655" s="9" t="n">
        <v>142.61</v>
      </c>
      <c r="J655" s="9" t="inlineStr"/>
      <c r="K655" s="8" t="inlineStr">
        <is>
          <t>Copiar en Flexxus: Tipo=MB-EXT | Movimiento=GRAVAMEN LEY 25.413 S/CRED | Monto=142,61 | Fecha: 29/04/2026</t>
        </is>
      </c>
    </row>
    <row r="656">
      <c r="A656" s="8" t="inlineStr">
        <is>
          <t>PEND-29F3A9C4E1CD-A001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29/04/2026</t>
        </is>
      </c>
      <c r="E656" s="8" t="inlineStr">
        <is>
          <t>109433</t>
        </is>
      </c>
      <c r="F656" s="8" t="inlineStr">
        <is>
          <t>INGRESOS BRUTOS MENDOZA</t>
        </is>
      </c>
      <c r="G656" s="8" t="inlineStr">
        <is>
          <t>Retención Ingresos Brutos Mendoza</t>
        </is>
      </c>
      <c r="H656" s="8" t="inlineStr">
        <is>
          <t>Retención de Ingresos Brutos</t>
        </is>
      </c>
      <c r="I656" s="9" t="n">
        <v>255.5</v>
      </c>
      <c r="J656" s="9" t="inlineStr"/>
      <c r="K656" s="8" t="inlineStr">
        <is>
          <t>Copiar en Flexxus: Tipo=MB-EXT | Movimiento=INGRESOS BRUTOS MENDOZA | Monto=255,50 | Fecha: 29/04/2026</t>
        </is>
      </c>
    </row>
    <row r="657">
      <c r="A657" s="8" t="inlineStr">
        <is>
          <t>PEND-BA3E3A5FC07C-A001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29/04/2026</t>
        </is>
      </c>
      <c r="E657" s="8" t="inlineStr">
        <is>
          <t>109433</t>
        </is>
      </c>
      <c r="F657" s="8" t="inlineStr">
        <is>
          <t>GRAVAMEN LEY 25413 S/CRED</t>
        </is>
      </c>
      <c r="G657" s="8" t="inlineStr">
        <is>
          <t>Anticipo Ganancias Ley 25.413 créditos</t>
        </is>
      </c>
      <c r="H657" s="8" t="inlineStr">
        <is>
          <t>Anticipo Impuesto a las Ganancias</t>
        </is>
      </c>
      <c r="I657" s="9" t="n">
        <v>153.3</v>
      </c>
      <c r="J657" s="9" t="inlineStr"/>
      <c r="K657" s="8" t="inlineStr">
        <is>
          <t>Copiar en Flexxus: Tipo=MB-EXT | Movimiento=GRAVAMEN LEY 25.413 S/CRED | Monto=153,30 | Fecha: 29/04/2026</t>
        </is>
      </c>
    </row>
    <row r="658">
      <c r="A658" s="8" t="inlineStr">
        <is>
          <t>PEND-30E8BDB342C6-A001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29/04/2026</t>
        </is>
      </c>
      <c r="E658" s="8" t="inlineStr">
        <is>
          <t>109429</t>
        </is>
      </c>
      <c r="F658" s="8" t="inlineStr">
        <is>
          <t>INGRESOS BRUTOS MENDOZA</t>
        </is>
      </c>
      <c r="G658" s="8" t="inlineStr">
        <is>
          <t>Retención Ingresos Brutos Mendoza</t>
        </is>
      </c>
      <c r="H658" s="8" t="inlineStr">
        <is>
          <t>Retención de Ingresos Brutos</t>
        </is>
      </c>
      <c r="I658" s="9" t="n">
        <v>74.27</v>
      </c>
      <c r="J658" s="9" t="inlineStr"/>
      <c r="K658" s="8" t="inlineStr">
        <is>
          <t>Copiar en Flexxus: Tipo=MB-EXT | Movimiento=INGRESOS BRUTOS MENDOZA | Monto=74,27 | Fecha: 29/04/2026</t>
        </is>
      </c>
    </row>
    <row r="659">
      <c r="A659" s="8" t="inlineStr">
        <is>
          <t>PEND-AD12D0958CAA-A001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29/04/2026</t>
        </is>
      </c>
      <c r="E659" s="8" t="inlineStr">
        <is>
          <t>109429</t>
        </is>
      </c>
      <c r="F659" s="8" t="inlineStr">
        <is>
          <t>GRAVAMEN LEY 25413 S/CRED</t>
        </is>
      </c>
      <c r="G659" s="8" t="inlineStr">
        <is>
          <t>Anticipo Ganancias Ley 25.413 créditos</t>
        </is>
      </c>
      <c r="H659" s="8" t="inlineStr">
        <is>
          <t>Anticipo Impuesto a las Ganancias</t>
        </is>
      </c>
      <c r="I659" s="9" t="n">
        <v>44.56</v>
      </c>
      <c r="J659" s="9" t="inlineStr"/>
      <c r="K659" s="8" t="inlineStr">
        <is>
          <t>Copiar en Flexxus: Tipo=MB-EXT | Movimiento=GRAVAMEN LEY 25.413 S/CRED | Monto=44,56 | Fecha: 29/04/2026</t>
        </is>
      </c>
    </row>
    <row r="660">
      <c r="A660" s="8" t="inlineStr">
        <is>
          <t>PEND-7BC3C0CFE44B-A001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29/04/2026</t>
        </is>
      </c>
      <c r="E660" s="8" t="inlineStr">
        <is>
          <t>109428</t>
        </is>
      </c>
      <c r="F660" s="8" t="inlineStr">
        <is>
          <t>INGRESOS BRUTOS MENDOZA</t>
        </is>
      </c>
      <c r="G660" s="8" t="inlineStr">
        <is>
          <t>Retención Ingresos Brutos Mendoza</t>
        </is>
      </c>
      <c r="H660" s="8" t="inlineStr">
        <is>
          <t>Retención de Ingresos Brutos</t>
        </is>
      </c>
      <c r="I660" s="9" t="n">
        <v>237.68</v>
      </c>
      <c r="J660" s="9" t="inlineStr"/>
      <c r="K660" s="8" t="inlineStr">
        <is>
          <t>Copiar en Flexxus: Tipo=MB-EXT | Movimiento=INGRESOS BRUTOS MENDOZA | Monto=237,68 | Fecha: 29/04/2026</t>
        </is>
      </c>
    </row>
    <row r="661">
      <c r="A661" s="8" t="inlineStr">
        <is>
          <t>PEND-788C8F9F5B6D-A001</t>
        </is>
      </c>
      <c r="B661" s="8" t="inlineStr">
        <is>
          <t>ABIERTO_NUEVO</t>
        </is>
      </c>
      <c r="C661" s="8" t="inlineStr">
        <is>
          <t>Banco egreso no Flexxus</t>
        </is>
      </c>
      <c r="D661" s="8" t="inlineStr">
        <is>
          <t>29/04/2026</t>
        </is>
      </c>
      <c r="E661" s="8" t="inlineStr">
        <is>
          <t>109428</t>
        </is>
      </c>
      <c r="F661" s="8" t="inlineStr">
        <is>
          <t>GRAVAMEN LEY 25413 S/CRED</t>
        </is>
      </c>
      <c r="G661" s="8" t="inlineStr">
        <is>
          <t>Anticipo Ganancias Ley 25.413 créditos</t>
        </is>
      </c>
      <c r="H661" s="8" t="inlineStr">
        <is>
          <t>Anticipo Impuesto a las Ganancias</t>
        </is>
      </c>
      <c r="I661" s="9" t="n">
        <v>142.61</v>
      </c>
      <c r="J661" s="9" t="inlineStr"/>
      <c r="K661" s="8" t="inlineStr">
        <is>
          <t>Copiar en Flexxus: Tipo=MB-EXT | Movimiento=GRAVAMEN LEY 25.413 S/CRED | Monto=142,61 | Fecha: 29/04/2026</t>
        </is>
      </c>
    </row>
    <row r="662">
      <c r="A662" s="8" t="inlineStr">
        <is>
          <t>PEND-86303C35AD44-A001</t>
        </is>
      </c>
      <c r="B662" s="8" t="inlineStr">
        <is>
          <t>ABIERTO_NUEVO</t>
        </is>
      </c>
      <c r="C662" s="8" t="inlineStr">
        <is>
          <t>Banco egreso no Flexxus</t>
        </is>
      </c>
      <c r="D662" s="8" t="inlineStr">
        <is>
          <t>29/04/2026</t>
        </is>
      </c>
      <c r="E662" s="8" t="inlineStr">
        <is>
          <t>109427</t>
        </is>
      </c>
      <c r="F662" s="8" t="inlineStr">
        <is>
          <t>GRAVAMEN LEY 25413 S/CRED</t>
        </is>
      </c>
      <c r="G662" s="8" t="inlineStr">
        <is>
          <t>Anticipo Ganancias Ley 25.413 créditos</t>
        </is>
      </c>
      <c r="H662" s="8" t="inlineStr">
        <is>
          <t>Anticipo Impuesto a las Ganancias</t>
        </is>
      </c>
      <c r="I662" s="9" t="n">
        <v>276.3</v>
      </c>
      <c r="J662" s="9" t="inlineStr"/>
      <c r="K662" s="8" t="inlineStr">
        <is>
          <t>Copiar en Flexxus: Tipo=MB-EXT | Movimiento=GRAVAMEN LEY 25.413 S/CRED | Monto=276,30 | Fecha: 29/04/2026</t>
        </is>
      </c>
    </row>
  </sheetData>
  <autoFilter ref="A1:K6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2" customWidth="1" min="4" max="4"/>
    <col width="16" customWidth="1" min="5" max="5"/>
    <col width="41" customWidth="1" min="6" max="6"/>
    <col width="14" customWidth="1" min="7" max="7"/>
    <col width="13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PEND-8AF779E9706B-A001</t>
        </is>
      </c>
      <c r="B3" s="8" t="inlineStr">
        <is>
          <t>BANCO_INGRESO_NO_FLEXXUS</t>
        </is>
      </c>
      <c r="C3" s="8" t="inlineStr">
        <is>
          <t>29/04/2026</t>
        </is>
      </c>
      <c r="D3" s="8" t="inlineStr">
        <is>
          <t>PAV</t>
        </is>
      </c>
      <c r="E3" s="8" t="inlineStr">
        <is>
          <t>2300014273</t>
        </is>
      </c>
      <c r="F3" s="8" t="inlineStr">
        <is>
          <t>PAGO TARJETA CREDITO</t>
        </is>
      </c>
      <c r="G3" s="8" t="inlineStr"/>
      <c r="H3" s="9" t="n">
        <v>2045023.32</v>
      </c>
      <c r="I3" s="8" t="inlineStr">
        <is>
          <t>Regulariza Banco no Flexxus anterior</t>
        </is>
      </c>
    </row>
    <row r="4">
      <c r="A4" s="8" t="inlineStr">
        <is>
          <t>PEND-E4C732A67E32-A001</t>
        </is>
      </c>
      <c r="B4" s="8" t="inlineStr">
        <is>
          <t>BANCO_EGRESO_NO_FLEXXUS</t>
        </is>
      </c>
      <c r="C4" s="8" t="inlineStr">
        <is>
          <t>28/04/2026</t>
        </is>
      </c>
      <c r="D4" s="8" t="inlineStr">
        <is>
          <t>MB-ENT-EX</t>
        </is>
      </c>
      <c r="E4" s="8" t="inlineStr">
        <is>
          <t>0000-00026921</t>
        </is>
      </c>
      <c r="F4" s="8" t="inlineStr">
        <is>
          <t>TRANSFERENCIA -</t>
        </is>
      </c>
      <c r="G4" s="8" t="inlineStr"/>
      <c r="H4" s="9" t="n">
        <v>2000000</v>
      </c>
      <c r="I4" s="8" t="inlineStr">
        <is>
          <t>Regulariza Banco no Flexxus anterior</t>
        </is>
      </c>
    </row>
    <row r="5">
      <c r="A5" s="8" t="inlineStr">
        <is>
          <t>PEND-5EBE470AC496-A001</t>
        </is>
      </c>
      <c r="B5" s="8" t="inlineStr">
        <is>
          <t>BANCO_INGRESO_NO_FLEXXUS</t>
        </is>
      </c>
      <c r="C5" s="8" t="inlineStr">
        <is>
          <t>29/04/2026</t>
        </is>
      </c>
      <c r="D5" s="8" t="inlineStr">
        <is>
          <t>PAV</t>
        </is>
      </c>
      <c r="E5" s="8" t="inlineStr">
        <is>
          <t>2300014272</t>
        </is>
      </c>
      <c r="F5" s="8" t="inlineStr">
        <is>
          <t>PAGO TARJETA CREDITO</t>
        </is>
      </c>
      <c r="G5" s="8" t="inlineStr"/>
      <c r="H5" s="9" t="n">
        <v>647618.6899999999</v>
      </c>
      <c r="I5" s="8" t="inlineStr">
        <is>
          <t>Regulariza Banco no Flexxus anterior</t>
        </is>
      </c>
    </row>
    <row r="6">
      <c r="A6" s="8" t="inlineStr">
        <is>
          <t>PEND-4ADF5DA7E31A-A001</t>
        </is>
      </c>
      <c r="B6" s="8" t="inlineStr">
        <is>
          <t>BANCO_INGRESO_NO_FLEXXUS</t>
        </is>
      </c>
      <c r="C6" s="8" t="inlineStr">
        <is>
          <t>29/04/2026</t>
        </is>
      </c>
      <c r="D6" s="8" t="inlineStr">
        <is>
          <t>PAV</t>
        </is>
      </c>
      <c r="E6" s="8" t="inlineStr">
        <is>
          <t>2300014270</t>
        </is>
      </c>
      <c r="F6" s="8" t="inlineStr">
        <is>
          <t>PAGO TARJETA CREDITO</t>
        </is>
      </c>
      <c r="G6" s="8" t="inlineStr"/>
      <c r="H6" s="9" t="n">
        <v>471926.13</v>
      </c>
      <c r="I6" s="8" t="inlineStr">
        <is>
          <t>Regulariza Banco no Flexxus anterior</t>
        </is>
      </c>
    </row>
    <row r="7">
      <c r="A7" s="8" t="inlineStr">
        <is>
          <t>PEND-E77E7916999A-A001</t>
        </is>
      </c>
      <c r="B7" s="8" t="inlineStr">
        <is>
          <t>BANCO_INGRESO_NO_FLEXXUS</t>
        </is>
      </c>
      <c r="C7" s="8" t="inlineStr">
        <is>
          <t>29/04/2026</t>
        </is>
      </c>
      <c r="D7" s="8" t="inlineStr">
        <is>
          <t>PAV</t>
        </is>
      </c>
      <c r="E7" s="8" t="inlineStr">
        <is>
          <t>1800042952</t>
        </is>
      </c>
      <c r="F7" s="8" t="inlineStr">
        <is>
          <t>PAGO TARJETA CREDITO</t>
        </is>
      </c>
      <c r="G7" s="8" t="inlineStr"/>
      <c r="H7" s="9" t="n">
        <v>278206.92</v>
      </c>
      <c r="I7" s="8" t="inlineStr">
        <is>
          <t>Regulariza Banco no Flexxus anterior</t>
        </is>
      </c>
    </row>
    <row r="8">
      <c r="A8" s="8" t="inlineStr">
        <is>
          <t>PEND-3557B8EC5E42-A001</t>
        </is>
      </c>
      <c r="B8" s="8" t="inlineStr">
        <is>
          <t>BANCO_INGRESO_NO_FLEXXUS</t>
        </is>
      </c>
      <c r="C8" s="8" t="inlineStr">
        <is>
          <t>29/04/2026</t>
        </is>
      </c>
      <c r="D8" s="8" t="inlineStr">
        <is>
          <t>PAV</t>
        </is>
      </c>
      <c r="E8" s="8" t="inlineStr">
        <is>
          <t>1800042961</t>
        </is>
      </c>
      <c r="F8" s="8" t="inlineStr">
        <is>
          <t>PAGO TARJETA CREDITO</t>
        </is>
      </c>
      <c r="G8" s="8" t="inlineStr"/>
      <c r="H8" s="9" t="n">
        <v>274651.56</v>
      </c>
      <c r="I8" s="8" t="inlineStr">
        <is>
          <t>Regulariza Banco no Flexxus anterior</t>
        </is>
      </c>
    </row>
    <row r="9">
      <c r="A9" s="8" t="inlineStr">
        <is>
          <t>PEND-100E08651A6E-A001</t>
        </is>
      </c>
      <c r="B9" s="8" t="inlineStr">
        <is>
          <t>BANCO_INGRESO_NO_FLEXXUS</t>
        </is>
      </c>
      <c r="C9" s="8" t="inlineStr">
        <is>
          <t>29/04/2026</t>
        </is>
      </c>
      <c r="D9" s="8" t="inlineStr">
        <is>
          <t>PAV</t>
        </is>
      </c>
      <c r="E9" s="8" t="inlineStr">
        <is>
          <t>2300014271</t>
        </is>
      </c>
      <c r="F9" s="8" t="inlineStr">
        <is>
          <t>PAGO TARJETA CREDITO</t>
        </is>
      </c>
      <c r="G9" s="8" t="inlineStr"/>
      <c r="H9" s="9" t="n">
        <v>273975.26</v>
      </c>
      <c r="I9" s="8" t="inlineStr">
        <is>
          <t>Regulariza Banco no Flexxus anterior</t>
        </is>
      </c>
    </row>
    <row r="10">
      <c r="A10" s="8" t="inlineStr">
        <is>
          <t>PEND-A42097C01C2B-A001</t>
        </is>
      </c>
      <c r="B10" s="8" t="inlineStr">
        <is>
          <t>BANCO_INGRESO_NO_FLEXXUS</t>
        </is>
      </c>
      <c r="C10" s="8" t="inlineStr">
        <is>
          <t>29/04/2026</t>
        </is>
      </c>
      <c r="D10" s="8" t="inlineStr">
        <is>
          <t>PAV</t>
        </is>
      </c>
      <c r="E10" s="8" t="inlineStr">
        <is>
          <t>2300014267</t>
        </is>
      </c>
      <c r="F10" s="8" t="inlineStr">
        <is>
          <t>PAGO TARJETA CREDITO</t>
        </is>
      </c>
      <c r="G10" s="8" t="inlineStr"/>
      <c r="H10" s="9" t="n">
        <v>191553.81</v>
      </c>
      <c r="I10" s="8" t="inlineStr">
        <is>
          <t>Regulariza Banco no Flexxus anterior</t>
        </is>
      </c>
    </row>
    <row r="11">
      <c r="A11" s="8" t="inlineStr">
        <is>
          <t>PEND-BFB8519D4B7C-A001</t>
        </is>
      </c>
      <c r="B11" s="8" t="inlineStr">
        <is>
          <t>BANCO_INGRESO_NO_FLEXXUS</t>
        </is>
      </c>
      <c r="C11" s="8" t="inlineStr">
        <is>
          <t>29/04/2026</t>
        </is>
      </c>
      <c r="D11" s="8" t="inlineStr">
        <is>
          <t>PAV</t>
        </is>
      </c>
      <c r="E11" s="8" t="inlineStr">
        <is>
          <t>2300014265</t>
        </is>
      </c>
      <c r="F11" s="8" t="inlineStr">
        <is>
          <t>PAGO TARJETA CREDITO</t>
        </is>
      </c>
      <c r="G11" s="8" t="inlineStr"/>
      <c r="H11" s="9" t="n">
        <v>140199.31</v>
      </c>
      <c r="I11" s="8" t="inlineStr">
        <is>
          <t>Regulariza Banco no Flexxus anterior</t>
        </is>
      </c>
    </row>
    <row r="12">
      <c r="A12" s="8" t="inlineStr">
        <is>
          <t>PEND-0ECA1DEE471E-A001</t>
        </is>
      </c>
      <c r="B12" s="8" t="inlineStr">
        <is>
          <t>BANCO_INGRESO_NO_FLEXXUS</t>
        </is>
      </c>
      <c r="C12" s="8" t="inlineStr">
        <is>
          <t>29/04/2026</t>
        </is>
      </c>
      <c r="D12" s="8" t="inlineStr">
        <is>
          <t>PAV</t>
        </is>
      </c>
      <c r="E12" s="8" t="inlineStr">
        <is>
          <t>2300014269</t>
        </is>
      </c>
      <c r="F12" s="8" t="inlineStr">
        <is>
          <t>PAGO TARJETA CREDITO</t>
        </is>
      </c>
      <c r="G12" s="8" t="inlineStr"/>
      <c r="H12" s="9" t="n">
        <v>125533.95</v>
      </c>
      <c r="I12" s="8" t="inlineStr">
        <is>
          <t>Regulariza Banco no Flexxus anterior</t>
        </is>
      </c>
    </row>
    <row r="13">
      <c r="A13" s="8" t="inlineStr">
        <is>
          <t>PEND-4E643F5DF90A-A001</t>
        </is>
      </c>
      <c r="B13" s="8" t="inlineStr">
        <is>
          <t>BANCO_INGRESO_NO_FLEXXUS</t>
        </is>
      </c>
      <c r="C13" s="8" t="inlineStr">
        <is>
          <t>29/04/2026</t>
        </is>
      </c>
      <c r="D13" s="8" t="inlineStr">
        <is>
          <t>PAV</t>
        </is>
      </c>
      <c r="E13" s="8" t="inlineStr">
        <is>
          <t>2300014266</t>
        </is>
      </c>
      <c r="F13" s="8" t="inlineStr">
        <is>
          <t>PAGO TARJETA CREDITO</t>
        </is>
      </c>
      <c r="G13" s="8" t="inlineStr"/>
      <c r="H13" s="9" t="n">
        <v>113213.34</v>
      </c>
      <c r="I13" s="8" t="inlineStr">
        <is>
          <t>Regulariza Banco no Flexxus anterior</t>
        </is>
      </c>
    </row>
    <row r="14">
      <c r="A14" s="8" t="inlineStr">
        <is>
          <t>PEND-0025CCB46DA6-A001</t>
        </is>
      </c>
      <c r="B14" s="8" t="inlineStr">
        <is>
          <t>FLEXXUS_NO_BANCO</t>
        </is>
      </c>
      <c r="C14" s="8" t="inlineStr">
        <is>
          <t>29/04/2026</t>
        </is>
      </c>
      <c r="D14" s="8" t="inlineStr">
        <is>
          <t>QR</t>
        </is>
      </c>
      <c r="E14" s="8" t="inlineStr">
        <is>
          <t>109424</t>
        </is>
      </c>
      <c r="F14" s="8" t="inlineStr">
        <is>
          <t>CR DEBIN SPOT - CUIT/CUIL: 30711424179</t>
        </is>
      </c>
      <c r="G14" s="8" t="inlineStr"/>
      <c r="H14" s="9" t="n">
        <v>104082.63</v>
      </c>
      <c r="I14" s="8" t="inlineStr">
        <is>
          <t>Regulariza Flexxus no Banco anterior</t>
        </is>
      </c>
    </row>
    <row r="15">
      <c r="A15" s="8" t="inlineStr">
        <is>
          <t>PEND-81636DB1755D-A001</t>
        </is>
      </c>
      <c r="B15" s="8" t="inlineStr">
        <is>
          <t>BANCO_INGRESO_NO_FLEXXUS</t>
        </is>
      </c>
      <c r="C15" s="8" t="inlineStr">
        <is>
          <t>29/04/2026</t>
        </is>
      </c>
      <c r="D15" s="8" t="inlineStr">
        <is>
          <t>PAV</t>
        </is>
      </c>
      <c r="E15" s="8" t="inlineStr">
        <is>
          <t>1800042945</t>
        </is>
      </c>
      <c r="F15" s="8" t="inlineStr">
        <is>
          <t>PAGO TARJETA CREDITO</t>
        </is>
      </c>
      <c r="G15" s="8" t="inlineStr"/>
      <c r="H15" s="9" t="n">
        <v>85354.56</v>
      </c>
      <c r="I15" s="8" t="inlineStr">
        <is>
          <t>Regulariza Banco no Flexxus anterior</t>
        </is>
      </c>
    </row>
    <row r="16">
      <c r="A16" s="8" t="inlineStr">
        <is>
          <t>PEND-C7692AF11918-A001</t>
        </is>
      </c>
      <c r="B16" s="8" t="inlineStr">
        <is>
          <t>BANCO_INGRESO_NO_FLEXXUS</t>
        </is>
      </c>
      <c r="C16" s="8" t="inlineStr">
        <is>
          <t>29/04/2026</t>
        </is>
      </c>
      <c r="D16" s="8" t="inlineStr">
        <is>
          <t>PAV</t>
        </is>
      </c>
      <c r="E16" s="8" t="inlineStr">
        <is>
          <t>2300014268</t>
        </is>
      </c>
      <c r="F16" s="8" t="inlineStr">
        <is>
          <t>PAGO TARJETA CREDITO</t>
        </is>
      </c>
      <c r="G16" s="8" t="inlineStr"/>
      <c r="H16" s="9" t="n">
        <v>72828.22</v>
      </c>
      <c r="I16" s="8" t="inlineStr">
        <is>
          <t>Regulariza Banco no Flexxus anterior</t>
        </is>
      </c>
    </row>
    <row r="17">
      <c r="A17" s="8" t="inlineStr">
        <is>
          <t>PEND-40D821697FCA-A001</t>
        </is>
      </c>
      <c r="B17" s="8" t="inlineStr">
        <is>
          <t>BANCO_INGRESO_NO_FLEXXUS</t>
        </is>
      </c>
      <c r="C17" s="8" t="inlineStr">
        <is>
          <t>29/04/2026</t>
        </is>
      </c>
      <c r="D17" s="8" t="inlineStr">
        <is>
          <t>PAV</t>
        </is>
      </c>
      <c r="E17" s="8" t="inlineStr">
        <is>
          <t>2300014279</t>
        </is>
      </c>
      <c r="F17" s="8" t="inlineStr">
        <is>
          <t>PAGO TARJETA CREDITO</t>
        </is>
      </c>
      <c r="G17" s="8" t="inlineStr"/>
      <c r="H17" s="9" t="n">
        <v>32086.37</v>
      </c>
      <c r="I17" s="8" t="inlineStr">
        <is>
          <t>Regulariza Banco no Flexxus anterior</t>
        </is>
      </c>
    </row>
    <row r="18">
      <c r="A18" s="8" t="inlineStr">
        <is>
          <t>PEND-B853A5B18FC0-A001</t>
        </is>
      </c>
      <c r="B18" s="8" t="inlineStr">
        <is>
          <t>BANCO_INGRESO_NO_FLEXXUS</t>
        </is>
      </c>
      <c r="C18" s="8" t="inlineStr">
        <is>
          <t>29/04/2026</t>
        </is>
      </c>
      <c r="D18" s="8" t="inlineStr">
        <is>
          <t>PAV</t>
        </is>
      </c>
      <c r="E18" s="8" t="inlineStr">
        <is>
          <t>2300014274</t>
        </is>
      </c>
      <c r="F18" s="8" t="inlineStr">
        <is>
          <t>PAGO TARJETA CREDITO</t>
        </is>
      </c>
      <c r="G18" s="8" t="inlineStr"/>
      <c r="H18" s="9" t="n">
        <v>32085.62</v>
      </c>
      <c r="I18" s="8" t="inlineStr">
        <is>
          <t>Regulariza Banco no Flexxus anterior</t>
        </is>
      </c>
    </row>
    <row r="19">
      <c r="A19" s="8" t="inlineStr">
        <is>
          <t>PEND-5A3AB724737B-A001</t>
        </is>
      </c>
      <c r="B19" s="8" t="inlineStr">
        <is>
          <t>BANCO_INGRESO_NO_FLEXXUS</t>
        </is>
      </c>
      <c r="C19" s="8" t="inlineStr">
        <is>
          <t>29/04/2026</t>
        </is>
      </c>
      <c r="D19" s="8" t="inlineStr">
        <is>
          <t>PAV</t>
        </is>
      </c>
      <c r="E19" s="8" t="inlineStr">
        <is>
          <t>1800042955</t>
        </is>
      </c>
      <c r="F19" s="8" t="inlineStr">
        <is>
          <t>PAGO TARJETA CREDITO</t>
        </is>
      </c>
      <c r="G19" s="8" t="inlineStr"/>
      <c r="H19" s="9" t="n">
        <v>31694.33</v>
      </c>
      <c r="I19" s="8" t="inlineStr">
        <is>
          <t>Regulariza Banco no Flexxus anterior</t>
        </is>
      </c>
    </row>
    <row r="20">
      <c r="A20" s="8" t="inlineStr">
        <is>
          <t>PEND-17A00CF61DEB-A001</t>
        </is>
      </c>
      <c r="B20" s="8" t="inlineStr">
        <is>
          <t>BANCO_INGRESO_NO_FLEXXUS</t>
        </is>
      </c>
      <c r="C20" s="8" t="inlineStr">
        <is>
          <t>29/04/2026</t>
        </is>
      </c>
      <c r="D20" s="8" t="inlineStr">
        <is>
          <t>PAV</t>
        </is>
      </c>
      <c r="E20" s="8" t="inlineStr">
        <is>
          <t>1900043035</t>
        </is>
      </c>
      <c r="F20" s="8" t="inlineStr">
        <is>
          <t>PAGO TARJETA CREDITO</t>
        </is>
      </c>
      <c r="G20" s="8" t="inlineStr"/>
      <c r="H20" s="9" t="n">
        <v>23767.68</v>
      </c>
      <c r="I20" s="8" t="inlineStr">
        <is>
          <t>Regulariza Banco no Flexxus anterior</t>
        </is>
      </c>
    </row>
    <row r="21">
      <c r="A21" s="8" t="inlineStr">
        <is>
          <t>PEND-DAAF308B0163-A001</t>
        </is>
      </c>
      <c r="B21" s="8" t="inlineStr">
        <is>
          <t>BANCO_INGRESO_NO_FLEXXUS</t>
        </is>
      </c>
      <c r="C21" s="8" t="inlineStr">
        <is>
          <t>29/04/2026</t>
        </is>
      </c>
      <c r="D21" s="8" t="inlineStr">
        <is>
          <t>PAV</t>
        </is>
      </c>
      <c r="E21" s="8" t="inlineStr">
        <is>
          <t>1800042944</t>
        </is>
      </c>
      <c r="F21" s="8" t="inlineStr">
        <is>
          <t>PAGO TARJETA CREDITO</t>
        </is>
      </c>
      <c r="G21" s="8" t="inlineStr"/>
      <c r="H21" s="9" t="n">
        <v>23477.28</v>
      </c>
      <c r="I21" s="8" t="inlineStr">
        <is>
          <t>Regulariza Banco no Flexxus anterior</t>
        </is>
      </c>
    </row>
    <row r="22">
      <c r="A22" s="8" t="inlineStr">
        <is>
          <t>PEND-A67CD84D8E94-A001</t>
        </is>
      </c>
      <c r="B22" s="8" t="inlineStr">
        <is>
          <t>BANCO_INGRESO_NO_FLEXXUS</t>
        </is>
      </c>
      <c r="C22" s="8" t="inlineStr">
        <is>
          <t>29/04/2026</t>
        </is>
      </c>
      <c r="D22" s="8" t="inlineStr">
        <is>
          <t>PAV</t>
        </is>
      </c>
      <c r="E22" s="8" t="inlineStr">
        <is>
          <t>2300014280</t>
        </is>
      </c>
      <c r="F22" s="8" t="inlineStr">
        <is>
          <t>PAGO TARJETA CREDITO</t>
        </is>
      </c>
      <c r="G22" s="8" t="inlineStr"/>
      <c r="H22" s="9" t="n">
        <v>21093.82</v>
      </c>
      <c r="I22" s="8" t="inlineStr">
        <is>
          <t>Regulariza Banco no Flexxus anterior</t>
        </is>
      </c>
    </row>
    <row r="23">
      <c r="A23" s="8" t="inlineStr">
        <is>
          <t>PEND-638477440813-A001</t>
        </is>
      </c>
      <c r="B23" s="8" t="inlineStr">
        <is>
          <t>BANCO_INGRESO_NO_FLEXXUS</t>
        </is>
      </c>
      <c r="C23" s="8" t="inlineStr">
        <is>
          <t>29/04/2026</t>
        </is>
      </c>
      <c r="D23" s="8" t="inlineStr">
        <is>
          <t>PAV</t>
        </is>
      </c>
      <c r="E23" s="8" t="inlineStr">
        <is>
          <t>3400068739</t>
        </is>
      </c>
      <c r="F23" s="8" t="inlineStr">
        <is>
          <t>PAGO TARJETA CREDITO</t>
        </is>
      </c>
      <c r="G23" s="8" t="inlineStr"/>
      <c r="H23" s="9" t="n">
        <v>14854.8</v>
      </c>
      <c r="I2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44</v>
      </c>
      <c r="C2" s="4" t="n">
        <v>3547887.78</v>
      </c>
    </row>
    <row r="3">
      <c r="A3" s="2" t="inlineStr">
        <is>
          <t>MB-ENT-EX</t>
        </is>
      </c>
      <c r="B3" s="2" t="n">
        <v>3</v>
      </c>
      <c r="C3" s="4" t="n">
        <v>12087000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47</v>
      </c>
      <c r="C5" s="4" t="n">
        <v>15634887.78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29/04/2026</t>
        </is>
      </c>
      <c r="B7" s="8" t="inlineStr">
        <is>
          <t>MB-ENT-EX</t>
        </is>
      </c>
      <c r="C7" s="8" t="inlineStr">
        <is>
          <t>0000-00026922</t>
        </is>
      </c>
      <c r="D7" s="9" t="n">
        <v>1000000</v>
      </c>
      <c r="E7" s="8" t="inlineStr">
        <is>
          <t>29/04/2026</t>
        </is>
      </c>
      <c r="F7" s="8" t="inlineStr">
        <is>
          <t>29/04/2026</t>
        </is>
      </c>
      <c r="G7" s="8" t="inlineStr">
        <is>
          <t>DB CREDIN TRANSFERENCIA</t>
        </is>
      </c>
      <c r="H7" s="8" t="inlineStr">
        <is>
          <t>109425</t>
        </is>
      </c>
      <c r="I7" s="8" t="inlineStr">
        <is>
          <t>No</t>
        </is>
      </c>
    </row>
    <row r="8">
      <c r="A8" s="8" t="inlineStr">
        <is>
          <t>29/04/2026</t>
        </is>
      </c>
      <c r="B8" s="8" t="inlineStr">
        <is>
          <t>MB-ENT-EX</t>
        </is>
      </c>
      <c r="C8" s="8" t="inlineStr">
        <is>
          <t>0000-00026923</t>
        </is>
      </c>
      <c r="D8" s="9" t="n">
        <v>10000000</v>
      </c>
      <c r="E8" s="8" t="inlineStr">
        <is>
          <t>29/04/2026</t>
        </is>
      </c>
      <c r="F8" s="8" t="inlineStr">
        <is>
          <t>29/04/2026</t>
        </is>
      </c>
      <c r="G8" s="8" t="inlineStr">
        <is>
          <t>DEB.TRAN.INTERBMISMO TIT</t>
        </is>
      </c>
      <c r="H8" s="8" t="inlineStr">
        <is>
          <t>109436</t>
        </is>
      </c>
      <c r="I8" s="8" t="inlineStr">
        <is>
          <t>No</t>
        </is>
      </c>
    </row>
    <row r="9">
      <c r="A9" s="8" t="inlineStr">
        <is>
          <t>29/04/2026</t>
        </is>
      </c>
      <c r="B9" s="8" t="inlineStr">
        <is>
          <t>MB-ENT-EX</t>
        </is>
      </c>
      <c r="C9" s="8" t="inlineStr">
        <is>
          <t>0000-00026926</t>
        </is>
      </c>
      <c r="D9" s="9" t="n">
        <v>1087000</v>
      </c>
      <c r="E9" s="8" t="inlineStr">
        <is>
          <t>29/04/2026</t>
        </is>
      </c>
      <c r="F9" s="8" t="inlineStr">
        <is>
          <t>29/04/2026</t>
        </is>
      </c>
      <c r="G9" s="8" t="inlineStr">
        <is>
          <t>DB DEBIN PREAU/PROGRAMADO</t>
        </is>
      </c>
      <c r="H9" s="8" t="inlineStr">
        <is>
          <t>109474</t>
        </is>
      </c>
      <c r="I9" s="8" t="inlineStr">
        <is>
          <t>No</t>
        </is>
      </c>
    </row>
    <row r="10">
      <c r="A10" s="8" t="inlineStr">
        <is>
          <t>29/04/2026</t>
        </is>
      </c>
      <c r="B10" s="8" t="inlineStr">
        <is>
          <t>PAV</t>
        </is>
      </c>
      <c r="C10" s="8" t="inlineStr">
        <is>
          <t>2200022719</t>
        </is>
      </c>
      <c r="D10" s="9" t="n">
        <v>37172.36</v>
      </c>
      <c r="E10" s="8" t="inlineStr">
        <is>
          <t>29/04/2026</t>
        </is>
      </c>
      <c r="F10" s="8" t="inlineStr">
        <is>
          <t>29/04/2026</t>
        </is>
      </c>
      <c r="G10" s="8" t="inlineStr">
        <is>
          <t>CR LIQ MASTERCARD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29/04/2026</t>
        </is>
      </c>
      <c r="B11" s="8" t="inlineStr">
        <is>
          <t>PAV</t>
        </is>
      </c>
      <c r="C11" s="8" t="inlineStr">
        <is>
          <t>2200022720</t>
        </is>
      </c>
      <c r="D11" s="9" t="n">
        <v>58223.65</v>
      </c>
      <c r="E11" s="8" t="inlineStr">
        <is>
          <t>29/04/2026</t>
        </is>
      </c>
      <c r="F11" s="8" t="inlineStr">
        <is>
          <t>29/04/2026</t>
        </is>
      </c>
      <c r="G11" s="8" t="inlineStr">
        <is>
          <t>CR LIQ MASTERCARD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29/04/2026</t>
        </is>
      </c>
      <c r="B12" s="8" t="inlineStr">
        <is>
          <t>PAV</t>
        </is>
      </c>
      <c r="C12" s="8" t="inlineStr">
        <is>
          <t>2200022721</t>
        </is>
      </c>
      <c r="D12" s="9" t="n">
        <v>226952.12</v>
      </c>
      <c r="E12" s="8" t="inlineStr">
        <is>
          <t>29/04/2026</t>
        </is>
      </c>
      <c r="F12" s="8" t="inlineStr">
        <is>
          <t>29/04/2026</t>
        </is>
      </c>
      <c r="G12" s="8" t="inlineStr">
        <is>
          <t>CR LIQ MASTERCARD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29/04/2026</t>
        </is>
      </c>
      <c r="B13" s="8" t="inlineStr">
        <is>
          <t>PAV</t>
        </is>
      </c>
      <c r="C13" s="8" t="inlineStr">
        <is>
          <t>2200022722</t>
        </is>
      </c>
      <c r="D13" s="9" t="n">
        <v>80523.89</v>
      </c>
      <c r="E13" s="8" t="inlineStr">
        <is>
          <t>29/04/2026</t>
        </is>
      </c>
      <c r="F13" s="8" t="inlineStr">
        <is>
          <t>29/04/2026</t>
        </is>
      </c>
      <c r="G13" s="8" t="inlineStr">
        <is>
          <t>CR LIQ AMEX/MADQ FIS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29/04/2026</t>
        </is>
      </c>
      <c r="B14" s="8" t="inlineStr">
        <is>
          <t>PAV</t>
        </is>
      </c>
      <c r="C14" s="8" t="inlineStr">
        <is>
          <t>2200022723</t>
        </is>
      </c>
      <c r="D14" s="9" t="n">
        <v>71410.06</v>
      </c>
      <c r="E14" s="8" t="inlineStr">
        <is>
          <t>29/04/2026</t>
        </is>
      </c>
      <c r="F14" s="8" t="inlineStr">
        <is>
          <t>29/04/2026</t>
        </is>
      </c>
      <c r="G14" s="8" t="inlineStr">
        <is>
          <t>CR LIQ MASTER DEB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29/04/2026</t>
        </is>
      </c>
      <c r="B15" s="8" t="inlineStr">
        <is>
          <t>PAV</t>
        </is>
      </c>
      <c r="C15" s="8" t="inlineStr">
        <is>
          <t>2200022724</t>
        </is>
      </c>
      <c r="D15" s="9" t="n">
        <v>882649.51</v>
      </c>
      <c r="E15" s="8" t="inlineStr">
        <is>
          <t>29/04/2026</t>
        </is>
      </c>
      <c r="F15" s="8" t="inlineStr">
        <is>
          <t>29/04/2026</t>
        </is>
      </c>
      <c r="G15" s="8" t="inlineStr">
        <is>
          <t>CR LIQ MASTER DEB 24H</t>
        </is>
      </c>
      <c r="H15" s="8" t="inlineStr">
        <is>
          <t>31995644</t>
        </is>
      </c>
      <c r="I15" s="8" t="inlineStr">
        <is>
          <t>No</t>
        </is>
      </c>
    </row>
    <row r="16">
      <c r="A16" s="8" t="inlineStr">
        <is>
          <t>29/04/2026</t>
        </is>
      </c>
      <c r="B16" s="8" t="inlineStr">
        <is>
          <t>PAV</t>
        </is>
      </c>
      <c r="C16" s="8" t="inlineStr">
        <is>
          <t>2200022725</t>
        </is>
      </c>
      <c r="D16" s="9" t="n">
        <v>250774.92</v>
      </c>
      <c r="E16" s="8" t="inlineStr">
        <is>
          <t>29/04/2026</t>
        </is>
      </c>
      <c r="F16" s="8" t="inlineStr">
        <is>
          <t>29/04/2026</t>
        </is>
      </c>
      <c r="G16" s="8" t="inlineStr">
        <is>
          <t>CR LIQ MASTER DEB 24H</t>
        </is>
      </c>
      <c r="H16" s="8" t="inlineStr">
        <is>
          <t>31995644</t>
        </is>
      </c>
      <c r="I16" s="8" t="inlineStr">
        <is>
          <t>No</t>
        </is>
      </c>
    </row>
    <row r="17">
      <c r="A17" s="8" t="inlineStr">
        <is>
          <t>29/04/2026</t>
        </is>
      </c>
      <c r="B17" s="8" t="inlineStr">
        <is>
          <t>PAV</t>
        </is>
      </c>
      <c r="C17" s="8" t="inlineStr">
        <is>
          <t>2300014275</t>
        </is>
      </c>
      <c r="D17" s="9" t="n">
        <v>308921.28</v>
      </c>
      <c r="E17" s="8" t="inlineStr">
        <is>
          <t>29/04/2026</t>
        </is>
      </c>
      <c r="F17" s="8" t="inlineStr">
        <is>
          <t>29/04/2026</t>
        </is>
      </c>
      <c r="G17" s="8" t="inlineStr">
        <is>
          <t>CR LIQ MASTER DEB 24H</t>
        </is>
      </c>
      <c r="H17" s="8" t="inlineStr">
        <is>
          <t>32032899</t>
        </is>
      </c>
      <c r="I17" s="8" t="inlineStr">
        <is>
          <t>No</t>
        </is>
      </c>
    </row>
    <row r="18">
      <c r="A18" s="8" t="inlineStr">
        <is>
          <t>29/04/2026</t>
        </is>
      </c>
      <c r="B18" s="8" t="inlineStr">
        <is>
          <t>PAV</t>
        </is>
      </c>
      <c r="C18" s="8" t="inlineStr">
        <is>
          <t>2300014276</t>
        </is>
      </c>
      <c r="D18" s="9" t="n">
        <v>129347.07</v>
      </c>
      <c r="E18" s="8" t="inlineStr">
        <is>
          <t>29/04/2026</t>
        </is>
      </c>
      <c r="F18" s="8" t="inlineStr">
        <is>
          <t>29/04/2026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29/04/2026</t>
        </is>
      </c>
      <c r="B19" s="8" t="inlineStr">
        <is>
          <t>PAV</t>
        </is>
      </c>
      <c r="C19" s="8" t="inlineStr">
        <is>
          <t>2300014277</t>
        </is>
      </c>
      <c r="D19" s="9" t="n">
        <v>222128.9</v>
      </c>
      <c r="E19" s="8" t="inlineStr">
        <is>
          <t>29/04/2026</t>
        </is>
      </c>
      <c r="F19" s="8" t="inlineStr">
        <is>
          <t>29/04/2026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29/04/2026</t>
        </is>
      </c>
      <c r="B20" s="8" t="inlineStr">
        <is>
          <t>PAV</t>
        </is>
      </c>
      <c r="C20" s="8" t="inlineStr">
        <is>
          <t>1900043024</t>
        </is>
      </c>
      <c r="D20" s="9" t="n">
        <v>95070.72</v>
      </c>
      <c r="E20" s="8" t="inlineStr">
        <is>
          <t>29/04/2026</t>
        </is>
      </c>
      <c r="F20" s="8" t="inlineStr">
        <is>
          <t>29/04/2026</t>
        </is>
      </c>
      <c r="G20" s="8" t="inlineStr">
        <is>
          <t>CR DEBIN SPOT - CUIT/CUIL: 30711424179</t>
        </is>
      </c>
      <c r="H20" s="8" t="inlineStr">
        <is>
          <t>109426</t>
        </is>
      </c>
      <c r="I20" s="8" t="inlineStr">
        <is>
          <t>No</t>
        </is>
      </c>
    </row>
    <row r="21">
      <c r="A21" s="8" t="inlineStr">
        <is>
          <t>29/04/2026</t>
        </is>
      </c>
      <c r="B21" s="8" t="inlineStr">
        <is>
          <t>PAV</t>
        </is>
      </c>
      <c r="C21" s="8" t="inlineStr">
        <is>
          <t>2300014278</t>
        </is>
      </c>
      <c r="D21" s="9" t="n">
        <v>54095.57</v>
      </c>
      <c r="E21" s="8" t="inlineStr">
        <is>
          <t>29/04/2026</t>
        </is>
      </c>
      <c r="F21" s="8" t="inlineStr">
        <is>
          <t>29/04/2026</t>
        </is>
      </c>
      <c r="G21" s="8" t="inlineStr">
        <is>
          <t>CR LIQ MASTERCARD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29/04/2026</t>
        </is>
      </c>
      <c r="B22" s="8" t="inlineStr">
        <is>
          <t>PAV</t>
        </is>
      </c>
      <c r="C22" s="8" t="inlineStr">
        <is>
          <t>1800042950</t>
        </is>
      </c>
      <c r="D22" s="9" t="n">
        <v>5957.36</v>
      </c>
      <c r="E22" s="8" t="inlineStr">
        <is>
          <t>29/04/2026</t>
        </is>
      </c>
      <c r="F22" s="8" t="inlineStr">
        <is>
          <t>29/04/2026</t>
        </is>
      </c>
      <c r="G22" s="8" t="inlineStr">
        <is>
          <t>CR LIQ MASTER DEB 24H</t>
        </is>
      </c>
      <c r="H22" s="8" t="inlineStr">
        <is>
          <t>29841683</t>
        </is>
      </c>
      <c r="I22" s="8" t="inlineStr">
        <is>
          <t>No</t>
        </is>
      </c>
    </row>
    <row r="23">
      <c r="A23" s="8" t="inlineStr">
        <is>
          <t>29/04/2026</t>
        </is>
      </c>
      <c r="B23" s="8" t="inlineStr">
        <is>
          <t>PAV</t>
        </is>
      </c>
      <c r="C23" s="8" t="inlineStr">
        <is>
          <t>1800042951</t>
        </is>
      </c>
      <c r="D23" s="9" t="n">
        <v>4401.99</v>
      </c>
      <c r="E23" s="8" t="inlineStr">
        <is>
          <t>29/04/2026</t>
        </is>
      </c>
      <c r="F23" s="8" t="inlineStr">
        <is>
          <t>29/04/2026</t>
        </is>
      </c>
      <c r="G23" s="8" t="inlineStr">
        <is>
          <t>CR LIQ MASTERCARD 24H</t>
        </is>
      </c>
      <c r="H23" s="8" t="inlineStr">
        <is>
          <t>29841683</t>
        </is>
      </c>
      <c r="I23" s="8" t="inlineStr">
        <is>
          <t>No</t>
        </is>
      </c>
    </row>
    <row r="24">
      <c r="A24" s="8" t="inlineStr">
        <is>
          <t>29/04/2026</t>
        </is>
      </c>
      <c r="B24" s="8" t="inlineStr">
        <is>
          <t>PAV</t>
        </is>
      </c>
      <c r="C24" s="8" t="inlineStr">
        <is>
          <t>2100058190</t>
        </is>
      </c>
      <c r="D24" s="9" t="n">
        <v>34661.2</v>
      </c>
      <c r="E24" s="8" t="inlineStr">
        <is>
          <t>29/04/2026</t>
        </is>
      </c>
      <c r="F24" s="8" t="inlineStr">
        <is>
          <t>29/04/2026</t>
        </is>
      </c>
      <c r="G24" s="8" t="inlineStr">
        <is>
          <t>CR DEBIN SPOT - CUIT/CUIL: 30711424179</t>
        </is>
      </c>
      <c r="H24" s="8" t="inlineStr">
        <is>
          <t>109431</t>
        </is>
      </c>
      <c r="I24" s="8" t="inlineStr">
        <is>
          <t>No</t>
        </is>
      </c>
    </row>
    <row r="25">
      <c r="A25" s="8" t="inlineStr">
        <is>
          <t>29/04/2026</t>
        </is>
      </c>
      <c r="B25" s="8" t="inlineStr">
        <is>
          <t>PAV</t>
        </is>
      </c>
      <c r="C25" s="8" t="inlineStr">
        <is>
          <t>2300014294</t>
        </is>
      </c>
      <c r="D25" s="9" t="n">
        <v>89326.86</v>
      </c>
      <c r="E25" s="8" t="inlineStr">
        <is>
          <t>29/04/2026</t>
        </is>
      </c>
      <c r="F25" s="8" t="inlineStr">
        <is>
          <t>29/04/2026</t>
        </is>
      </c>
      <c r="G25" s="8" t="inlineStr">
        <is>
          <t>CR DEBIN SPOT - CUIT/CUIL: 30711424179</t>
        </is>
      </c>
      <c r="H25" s="8" t="inlineStr">
        <is>
          <t>109467</t>
        </is>
      </c>
      <c r="I25" s="8" t="inlineStr">
        <is>
          <t>No</t>
        </is>
      </c>
    </row>
    <row r="26">
      <c r="A26" s="8" t="inlineStr">
        <is>
          <t>29/04/2026</t>
        </is>
      </c>
      <c r="B26" s="8" t="inlineStr">
        <is>
          <t>PAV</t>
        </is>
      </c>
      <c r="C26" s="8" t="inlineStr">
        <is>
          <t>1700037026</t>
        </is>
      </c>
      <c r="D26" s="9" t="n">
        <v>102517.46</v>
      </c>
      <c r="E26" s="8" t="inlineStr">
        <is>
          <t>29/04/2026</t>
        </is>
      </c>
      <c r="F26" s="8" t="inlineStr">
        <is>
          <t>29/04/2026</t>
        </is>
      </c>
      <c r="G26" s="8" t="inlineStr">
        <is>
          <t>CR LIQ MASTER DEB 24H</t>
        </is>
      </c>
      <c r="H26" s="8" t="inlineStr">
        <is>
          <t>29841627</t>
        </is>
      </c>
      <c r="I26" s="8" t="inlineStr">
        <is>
          <t>No</t>
        </is>
      </c>
    </row>
    <row r="27">
      <c r="A27" s="8" t="inlineStr">
        <is>
          <t>29/04/2026</t>
        </is>
      </c>
      <c r="B27" s="8" t="inlineStr">
        <is>
          <t>PAV</t>
        </is>
      </c>
      <c r="C27" s="8" t="inlineStr">
        <is>
          <t>1700037027</t>
        </is>
      </c>
      <c r="D27" s="9" t="n">
        <v>38528.1</v>
      </c>
      <c r="E27" s="8" t="inlineStr">
        <is>
          <t>29/04/2026</t>
        </is>
      </c>
      <c r="F27" s="8" t="inlineStr">
        <is>
          <t>29/04/2026</t>
        </is>
      </c>
      <c r="G27" s="8" t="inlineStr">
        <is>
          <t>CR LIQ MASTER DEB 24H</t>
        </is>
      </c>
      <c r="H27" s="8" t="inlineStr">
        <is>
          <t>29841627</t>
        </is>
      </c>
      <c r="I27" s="8" t="inlineStr">
        <is>
          <t>No</t>
        </is>
      </c>
    </row>
    <row r="28">
      <c r="A28" s="8" t="inlineStr">
        <is>
          <t>29/04/2026</t>
        </is>
      </c>
      <c r="B28" s="8" t="inlineStr">
        <is>
          <t>PAV</t>
        </is>
      </c>
      <c r="C28" s="8" t="inlineStr">
        <is>
          <t>1900043033</t>
        </is>
      </c>
      <c r="D28" s="9" t="n">
        <v>44564.4</v>
      </c>
      <c r="E28" s="8" t="inlineStr">
        <is>
          <t>29/04/2026</t>
        </is>
      </c>
      <c r="F28" s="8" t="inlineStr">
        <is>
          <t>29/04/2026</t>
        </is>
      </c>
      <c r="G28" s="8" t="inlineStr">
        <is>
          <t>CR DEBIN SPOT</t>
        </is>
      </c>
      <c r="H28" s="8" t="inlineStr">
        <is>
          <t>109469</t>
        </is>
      </c>
      <c r="I28" s="8" t="inlineStr">
        <is>
          <t>No</t>
        </is>
      </c>
    </row>
    <row r="29">
      <c r="A29" s="8" t="inlineStr">
        <is>
          <t>29/04/2026</t>
        </is>
      </c>
      <c r="B29" s="8" t="inlineStr">
        <is>
          <t>PAV</t>
        </is>
      </c>
      <c r="C29" s="8" t="inlineStr">
        <is>
          <t>1900043034</t>
        </is>
      </c>
      <c r="D29" s="9" t="n">
        <v>34958.3</v>
      </c>
      <c r="E29" s="8" t="inlineStr">
        <is>
          <t>29/04/2026</t>
        </is>
      </c>
      <c r="F29" s="8" t="inlineStr">
        <is>
          <t>29/04/2026</t>
        </is>
      </c>
      <c r="G29" s="8" t="inlineStr">
        <is>
          <t>CR DEBIN SPOT - CUIT/CUIL: 30711424179</t>
        </is>
      </c>
      <c r="H29" s="8" t="inlineStr">
        <is>
          <t>109430</t>
        </is>
      </c>
      <c r="I29" s="8" t="inlineStr">
        <is>
          <t>No</t>
        </is>
      </c>
    </row>
    <row r="30">
      <c r="A30" s="8" t="inlineStr">
        <is>
          <t>29/04/2026</t>
        </is>
      </c>
      <c r="B30" s="8" t="inlineStr">
        <is>
          <t>PAV</t>
        </is>
      </c>
      <c r="C30" s="8" t="inlineStr">
        <is>
          <t>3400068726</t>
        </is>
      </c>
      <c r="D30" s="9" t="n">
        <v>25433.72</v>
      </c>
      <c r="E30" s="8" t="inlineStr">
        <is>
          <t>29/04/2026</t>
        </is>
      </c>
      <c r="F30" s="8" t="inlineStr">
        <is>
          <t>29/04/2026</t>
        </is>
      </c>
      <c r="G30" s="8" t="inlineStr">
        <is>
          <t>CR LIQ MASTERCARD 24H</t>
        </is>
      </c>
      <c r="H30" s="8" t="inlineStr">
        <is>
          <t>29841705</t>
        </is>
      </c>
      <c r="I30" s="8" t="inlineStr">
        <is>
          <t>No</t>
        </is>
      </c>
    </row>
    <row r="31">
      <c r="A31" s="8" t="inlineStr">
        <is>
          <t>29/04/2026</t>
        </is>
      </c>
      <c r="B31" s="8" t="inlineStr">
        <is>
          <t>PAV</t>
        </is>
      </c>
      <c r="C31" s="8" t="inlineStr">
        <is>
          <t>3400068727</t>
        </is>
      </c>
      <c r="D31" s="9" t="n">
        <v>13336.65</v>
      </c>
      <c r="E31" s="8" t="inlineStr">
        <is>
          <t>29/04/2026</t>
        </is>
      </c>
      <c r="F31" s="8" t="inlineStr">
        <is>
          <t>29/04/2026</t>
        </is>
      </c>
      <c r="G31" s="8" t="inlineStr">
        <is>
          <t>CR LIQ MASTER DEB 24H</t>
        </is>
      </c>
      <c r="H31" s="8" t="inlineStr">
        <is>
          <t>29841705</t>
        </is>
      </c>
      <c r="I31" s="8" t="inlineStr">
        <is>
          <t>No</t>
        </is>
      </c>
    </row>
    <row r="32">
      <c r="A32" s="8" t="inlineStr">
        <is>
          <t>29/04/2026</t>
        </is>
      </c>
      <c r="B32" s="8" t="inlineStr">
        <is>
          <t>PAV</t>
        </is>
      </c>
      <c r="C32" s="8" t="inlineStr">
        <is>
          <t>3400068728</t>
        </is>
      </c>
      <c r="D32" s="9" t="n">
        <v>48407.1</v>
      </c>
      <c r="E32" s="8" t="inlineStr">
        <is>
          <t>29/04/2026</t>
        </is>
      </c>
      <c r="F32" s="8" t="inlineStr">
        <is>
          <t>29/04/2026</t>
        </is>
      </c>
      <c r="G32" s="8" t="inlineStr">
        <is>
          <t>CR LIQ MASTER DEB 24H</t>
        </is>
      </c>
      <c r="H32" s="8" t="inlineStr">
        <is>
          <t>29841705</t>
        </is>
      </c>
      <c r="I32" s="8" t="inlineStr">
        <is>
          <t>No</t>
        </is>
      </c>
    </row>
    <row r="33">
      <c r="A33" s="8" t="inlineStr">
        <is>
          <t>29/04/2026</t>
        </is>
      </c>
      <c r="B33" s="8" t="inlineStr">
        <is>
          <t>PAV</t>
        </is>
      </c>
      <c r="C33" s="8" t="inlineStr">
        <is>
          <t>3400068729</t>
        </is>
      </c>
      <c r="D33" s="9" t="n">
        <v>101245.77</v>
      </c>
      <c r="E33" s="8" t="inlineStr">
        <is>
          <t>29/04/2026</t>
        </is>
      </c>
      <c r="F33" s="8" t="inlineStr">
        <is>
          <t>29/04/2026</t>
        </is>
      </c>
      <c r="G33" s="8" t="inlineStr">
        <is>
          <t>CR LIQ MASTER DEB 24H</t>
        </is>
      </c>
      <c r="H33" s="8" t="inlineStr">
        <is>
          <t>29841705</t>
        </is>
      </c>
      <c r="I33" s="8" t="inlineStr">
        <is>
          <t>No</t>
        </is>
      </c>
    </row>
    <row r="34">
      <c r="A34" s="8" t="inlineStr">
        <is>
          <t>29/04/2026</t>
        </is>
      </c>
      <c r="B34" s="8" t="inlineStr">
        <is>
          <t>PAV</t>
        </is>
      </c>
      <c r="C34" s="8" t="inlineStr">
        <is>
          <t>2100058204</t>
        </is>
      </c>
      <c r="D34" s="9" t="n">
        <v>22282.2</v>
      </c>
      <c r="E34" s="8" t="inlineStr">
        <is>
          <t>29/04/2026</t>
        </is>
      </c>
      <c r="F34" s="8" t="inlineStr">
        <is>
          <t>29/04/2026</t>
        </is>
      </c>
      <c r="G34" s="8" t="inlineStr">
        <is>
          <t>CR DEBIN SPOT</t>
        </is>
      </c>
      <c r="H34" s="8" t="inlineStr">
        <is>
          <t>109475</t>
        </is>
      </c>
      <c r="I34" s="8" t="inlineStr">
        <is>
          <t>No</t>
        </is>
      </c>
    </row>
    <row r="35">
      <c r="A35" s="8" t="inlineStr">
        <is>
          <t>29/04/2026</t>
        </is>
      </c>
      <c r="B35" s="8" t="inlineStr">
        <is>
          <t>PAV</t>
        </is>
      </c>
      <c r="C35" s="8" t="inlineStr">
        <is>
          <t>2100058205</t>
        </is>
      </c>
      <c r="D35" s="9" t="n">
        <v>54863.73</v>
      </c>
      <c r="E35" s="8" t="inlineStr">
        <is>
          <t>29/04/2026</t>
        </is>
      </c>
      <c r="F35" s="8" t="inlineStr">
        <is>
          <t>29/04/2026</t>
        </is>
      </c>
      <c r="G35" s="8" t="inlineStr">
        <is>
          <t>CR DEBIN SPOT - CUIT/CUIL: 30711424179</t>
        </is>
      </c>
      <c r="H35" s="8" t="inlineStr">
        <is>
          <t>109454</t>
        </is>
      </c>
      <c r="I35" s="8" t="inlineStr">
        <is>
          <t>No</t>
        </is>
      </c>
    </row>
    <row r="36">
      <c r="A36" s="8" t="inlineStr">
        <is>
          <t>29/04/2026</t>
        </is>
      </c>
      <c r="B36" s="8" t="inlineStr">
        <is>
          <t>PAV</t>
        </is>
      </c>
      <c r="C36" s="8" t="inlineStr">
        <is>
          <t>2100058206</t>
        </is>
      </c>
      <c r="D36" s="9" t="n">
        <v>12973.19</v>
      </c>
      <c r="E36" s="8" t="inlineStr">
        <is>
          <t>29/04/2026</t>
        </is>
      </c>
      <c r="F36" s="8" t="inlineStr">
        <is>
          <t>29/04/2026</t>
        </is>
      </c>
      <c r="G36" s="8" t="inlineStr">
        <is>
          <t>CR DEBIN SPOT - CUIT/CUIL: 30711424179</t>
        </is>
      </c>
      <c r="H36" s="8" t="inlineStr">
        <is>
          <t>109435</t>
        </is>
      </c>
      <c r="I36" s="8" t="inlineStr">
        <is>
          <t>No</t>
        </is>
      </c>
    </row>
    <row r="37">
      <c r="A37" s="8" t="inlineStr">
        <is>
          <t>29/04/2026</t>
        </is>
      </c>
      <c r="B37" s="8" t="inlineStr">
        <is>
          <t>PAV</t>
        </is>
      </c>
      <c r="C37" s="8" t="inlineStr">
        <is>
          <t>1800042962</t>
        </is>
      </c>
      <c r="D37" s="9" t="n">
        <v>21528.45</v>
      </c>
      <c r="E37" s="8" t="inlineStr">
        <is>
          <t>29/04/2026</t>
        </is>
      </c>
      <c r="F37" s="8" t="inlineStr">
        <is>
          <t>29/04/2026</t>
        </is>
      </c>
      <c r="G37" s="8" t="inlineStr">
        <is>
          <t>CR LIQ AMEX/MADQ FIS 24H</t>
        </is>
      </c>
      <c r="H37" s="8" t="inlineStr">
        <is>
          <t>29841683</t>
        </is>
      </c>
      <c r="I37" s="8" t="inlineStr">
        <is>
          <t>No</t>
        </is>
      </c>
    </row>
    <row r="38">
      <c r="A38" s="8" t="inlineStr">
        <is>
          <t>29/04/2026</t>
        </is>
      </c>
      <c r="B38" s="8" t="inlineStr">
        <is>
          <t>PAV</t>
        </is>
      </c>
      <c r="C38" s="8" t="inlineStr">
        <is>
          <t>1800042963</t>
        </is>
      </c>
      <c r="D38" s="9" t="n">
        <v>12348.75</v>
      </c>
      <c r="E38" s="8" t="inlineStr">
        <is>
          <t>29/04/2026</t>
        </is>
      </c>
      <c r="F38" s="8" t="inlineStr">
        <is>
          <t>29/04/2026</t>
        </is>
      </c>
      <c r="G38" s="8" t="inlineStr">
        <is>
          <t>CR LIQ MASTER DEB 24H</t>
        </is>
      </c>
      <c r="H38" s="8" t="inlineStr">
        <is>
          <t>29841683</t>
        </is>
      </c>
      <c r="I38" s="8" t="inlineStr">
        <is>
          <t>No</t>
        </is>
      </c>
    </row>
    <row r="39">
      <c r="A39" s="8" t="inlineStr">
        <is>
          <t>29/04/2026</t>
        </is>
      </c>
      <c r="B39" s="8" t="inlineStr">
        <is>
          <t>PAV</t>
        </is>
      </c>
      <c r="C39" s="8" t="inlineStr">
        <is>
          <t>1800042964</t>
        </is>
      </c>
      <c r="D39" s="9" t="n">
        <v>90778.82000000001</v>
      </c>
      <c r="E39" s="8" t="inlineStr">
        <is>
          <t>29/04/2026</t>
        </is>
      </c>
      <c r="F39" s="8" t="inlineStr">
        <is>
          <t>29/04/2026</t>
        </is>
      </c>
      <c r="G39" s="8" t="inlineStr">
        <is>
          <t>CR LIQ MASTERCARD 24H</t>
        </is>
      </c>
      <c r="H39" s="8" t="inlineStr">
        <is>
          <t>29841683</t>
        </is>
      </c>
      <c r="I39" s="8" t="inlineStr">
        <is>
          <t>No</t>
        </is>
      </c>
    </row>
    <row r="40">
      <c r="A40" s="8" t="inlineStr">
        <is>
          <t>29/04/2026</t>
        </is>
      </c>
      <c r="B40" s="8" t="inlineStr">
        <is>
          <t>PAV</t>
        </is>
      </c>
      <c r="C40" s="8" t="inlineStr">
        <is>
          <t>1800042965</t>
        </is>
      </c>
      <c r="D40" s="9" t="n">
        <v>22326.54</v>
      </c>
      <c r="E40" s="8" t="inlineStr">
        <is>
          <t>29/04/2026</t>
        </is>
      </c>
      <c r="F40" s="8" t="inlineStr">
        <is>
          <t>29/04/2026</t>
        </is>
      </c>
      <c r="G40" s="8" t="inlineStr">
        <is>
          <t>CR LIQ MASTER DEB 24H</t>
        </is>
      </c>
      <c r="H40" s="8" t="inlineStr">
        <is>
          <t>29841683</t>
        </is>
      </c>
      <c r="I40" s="8" t="inlineStr">
        <is>
          <t>No</t>
        </is>
      </c>
    </row>
    <row r="41">
      <c r="A41" s="8" t="inlineStr">
        <is>
          <t>29/04/2026</t>
        </is>
      </c>
      <c r="B41" s="8" t="inlineStr">
        <is>
          <t>PAV</t>
        </is>
      </c>
      <c r="C41" s="8" t="inlineStr">
        <is>
          <t>2300014309</t>
        </is>
      </c>
      <c r="D41" s="9" t="n">
        <v>51199.54</v>
      </c>
      <c r="E41" s="8" t="inlineStr">
        <is>
          <t>29/04/2026</t>
        </is>
      </c>
      <c r="F41" s="8" t="inlineStr">
        <is>
          <t>29/04/2026</t>
        </is>
      </c>
      <c r="G41" s="8" t="inlineStr">
        <is>
          <t>CR DEBIN SPOT</t>
        </is>
      </c>
      <c r="H41" s="8" t="inlineStr">
        <is>
          <t>109472</t>
        </is>
      </c>
      <c r="I41" s="8" t="inlineStr">
        <is>
          <t>No</t>
        </is>
      </c>
    </row>
    <row r="42">
      <c r="A42" s="8" t="inlineStr">
        <is>
          <t>29/04/2026</t>
        </is>
      </c>
      <c r="B42" s="8" t="inlineStr">
        <is>
          <t>PAV</t>
        </is>
      </c>
      <c r="C42" s="8" t="inlineStr">
        <is>
          <t>2300014310</t>
        </is>
      </c>
      <c r="D42" s="9" t="n">
        <v>5644.82</v>
      </c>
      <c r="E42" s="8" t="inlineStr">
        <is>
          <t>29/04/2026</t>
        </is>
      </c>
      <c r="F42" s="8" t="inlineStr">
        <is>
          <t>29/04/2026</t>
        </is>
      </c>
      <c r="G42" s="8" t="inlineStr">
        <is>
          <t>CR DEBIN SPOT</t>
        </is>
      </c>
      <c r="H42" s="8" t="inlineStr">
        <is>
          <t>109476</t>
        </is>
      </c>
      <c r="I42" s="8" t="inlineStr">
        <is>
          <t>No</t>
        </is>
      </c>
    </row>
    <row r="43">
      <c r="A43" s="8" t="inlineStr">
        <is>
          <t>29/04/2026</t>
        </is>
      </c>
      <c r="B43" s="8" t="inlineStr">
        <is>
          <t>PAV</t>
        </is>
      </c>
      <c r="C43" s="8" t="inlineStr">
        <is>
          <t>3400068736</t>
        </is>
      </c>
      <c r="D43" s="9" t="n">
        <v>10101.26</v>
      </c>
      <c r="E43" s="8" t="inlineStr">
        <is>
          <t>29/04/2026</t>
        </is>
      </c>
      <c r="F43" s="8" t="inlineStr">
        <is>
          <t>29/04/2026</t>
        </is>
      </c>
      <c r="G43" s="8" t="inlineStr">
        <is>
          <t>CR DEBIN SPOT - CUIT/CUIL: 30711424179</t>
        </is>
      </c>
      <c r="H43" s="8" t="inlineStr">
        <is>
          <t>109432</t>
        </is>
      </c>
      <c r="I43" s="8" t="inlineStr">
        <is>
          <t>No</t>
        </is>
      </c>
    </row>
    <row r="44">
      <c r="A44" s="8" t="inlineStr">
        <is>
          <t>29/04/2026</t>
        </is>
      </c>
      <c r="B44" s="8" t="inlineStr">
        <is>
          <t>PAV</t>
        </is>
      </c>
      <c r="C44" s="8" t="inlineStr">
        <is>
          <t>3400068737</t>
        </is>
      </c>
      <c r="D44" s="9" t="n">
        <v>7427.4</v>
      </c>
      <c r="E44" s="8" t="inlineStr">
        <is>
          <t>29/04/2026</t>
        </is>
      </c>
      <c r="F44" s="8" t="inlineStr">
        <is>
          <t>29/04/2026</t>
        </is>
      </c>
      <c r="G44" s="8" t="inlineStr">
        <is>
          <t>CR DEBIN SPOT</t>
        </is>
      </c>
      <c r="H44" s="8" t="inlineStr">
        <is>
          <t>109468</t>
        </is>
      </c>
      <c r="I44" s="8" t="inlineStr">
        <is>
          <t>No</t>
        </is>
      </c>
    </row>
    <row r="45">
      <c r="A45" s="8" t="inlineStr">
        <is>
          <t>29/04/2026</t>
        </is>
      </c>
      <c r="B45" s="8" t="inlineStr">
        <is>
          <t>PAV</t>
        </is>
      </c>
      <c r="C45" s="8" t="inlineStr">
        <is>
          <t>3400068738</t>
        </is>
      </c>
      <c r="D45" s="9" t="n">
        <v>23272.52</v>
      </c>
      <c r="E45" s="8" t="inlineStr">
        <is>
          <t>29/04/2026</t>
        </is>
      </c>
      <c r="F45" s="8" t="inlineStr">
        <is>
          <t>29/04/2026</t>
        </is>
      </c>
      <c r="G45" s="8" t="inlineStr">
        <is>
          <t>CR DEBIN SPOT</t>
        </is>
      </c>
      <c r="H45" s="8" t="inlineStr">
        <is>
          <t>109473</t>
        </is>
      </c>
      <c r="I45" s="8" t="inlineStr">
        <is>
          <t>No</t>
        </is>
      </c>
    </row>
    <row r="46">
      <c r="A46" s="8" t="inlineStr">
        <is>
          <t>29/04/2026</t>
        </is>
      </c>
      <c r="B46" s="8" t="inlineStr">
        <is>
          <t>PAV</t>
        </is>
      </c>
      <c r="C46" s="8" t="inlineStr">
        <is>
          <t>1800042967</t>
        </is>
      </c>
      <c r="D46" s="9" t="n">
        <v>46049.88</v>
      </c>
      <c r="E46" s="8" t="inlineStr">
        <is>
          <t>29/04/2026</t>
        </is>
      </c>
      <c r="F46" s="8" t="inlineStr">
        <is>
          <t>29/04/2026</t>
        </is>
      </c>
      <c r="G46" s="8" t="inlineStr">
        <is>
          <t>CR DEBIN SPOT - CUIT/CUIL: 30711424179</t>
        </is>
      </c>
      <c r="H46" s="8" t="inlineStr">
        <is>
          <t>109427</t>
        </is>
      </c>
      <c r="I46" s="8" t="inlineStr">
        <is>
          <t>No</t>
        </is>
      </c>
    </row>
    <row r="47">
      <c r="A47" s="8" t="inlineStr">
        <is>
          <t>29/04/2026</t>
        </is>
      </c>
      <c r="B47" s="8" t="inlineStr">
        <is>
          <t>PAV</t>
        </is>
      </c>
      <c r="C47" s="8" t="inlineStr">
        <is>
          <t>1800042968</t>
        </is>
      </c>
      <c r="D47" s="9" t="n">
        <v>23767.68</v>
      </c>
      <c r="E47" s="8" t="inlineStr">
        <is>
          <t>29/04/2026</t>
        </is>
      </c>
      <c r="F47" s="8" t="inlineStr">
        <is>
          <t>29/04/2026</t>
        </is>
      </c>
      <c r="G47" s="8" t="inlineStr">
        <is>
          <t>CR DEBIN SPOT - CUIT/CUIL: 30711424179</t>
        </is>
      </c>
      <c r="H47" s="8" t="inlineStr">
        <is>
          <t>109428</t>
        </is>
      </c>
      <c r="I47" s="8" t="inlineStr">
        <is>
          <t>No</t>
        </is>
      </c>
    </row>
    <row r="48">
      <c r="A48" s="8" t="inlineStr">
        <is>
          <t>29/04/2026</t>
        </is>
      </c>
      <c r="B48" s="8" t="inlineStr">
        <is>
          <t>PAV</t>
        </is>
      </c>
      <c r="C48" s="8" t="inlineStr">
        <is>
          <t>1900043043</t>
        </is>
      </c>
      <c r="D48" s="9" t="n">
        <v>7427.4</v>
      </c>
      <c r="E48" s="8" t="inlineStr">
        <is>
          <t>29/04/2026</t>
        </is>
      </c>
      <c r="F48" s="8" t="inlineStr">
        <is>
          <t>29/04/2026</t>
        </is>
      </c>
      <c r="G48" s="8" t="inlineStr">
        <is>
          <t>CR DEBIN SPOT - CUIT/CUIL: 30711424179</t>
        </is>
      </c>
      <c r="H48" s="8" t="inlineStr">
        <is>
          <t>109429</t>
        </is>
      </c>
      <c r="I48" s="8" t="inlineStr">
        <is>
          <t>No</t>
        </is>
      </c>
    </row>
    <row r="49">
      <c r="A49" s="8" t="inlineStr">
        <is>
          <t>29/04/2026</t>
        </is>
      </c>
      <c r="B49" s="8" t="inlineStr">
        <is>
          <t>PAV</t>
        </is>
      </c>
      <c r="C49" s="8" t="inlineStr">
        <is>
          <t>1800042969</t>
        </is>
      </c>
      <c r="D49" s="9" t="n">
        <v>7427.4</v>
      </c>
      <c r="E49" s="8" t="inlineStr">
        <is>
          <t>29/04/2026</t>
        </is>
      </c>
      <c r="F49" s="8" t="inlineStr">
        <is>
          <t>29/04/2026</t>
        </is>
      </c>
      <c r="G49" s="8" t="inlineStr">
        <is>
          <t>CR DEBIN SPOT</t>
        </is>
      </c>
      <c r="H49" s="8" t="inlineStr">
        <is>
          <t>109471</t>
        </is>
      </c>
      <c r="I49" s="8" t="inlineStr">
        <is>
          <t>No</t>
        </is>
      </c>
    </row>
    <row r="50">
      <c r="A50" s="8" t="inlineStr">
        <is>
          <t>29/04/2026</t>
        </is>
      </c>
      <c r="B50" s="8" t="inlineStr">
        <is>
          <t>PAV</t>
        </is>
      </c>
      <c r="C50" s="8" t="inlineStr">
        <is>
          <t>1700037036</t>
        </is>
      </c>
      <c r="D50" s="9" t="n">
        <v>25550.26</v>
      </c>
      <c r="E50" s="8" t="inlineStr">
        <is>
          <t>29/04/2026</t>
        </is>
      </c>
      <c r="F50" s="8" t="inlineStr">
        <is>
          <t>29/04/2026</t>
        </is>
      </c>
      <c r="G50" s="8" t="inlineStr">
        <is>
          <t>CR DEBIN SPOT - CUIT/CUIL: 30711424179</t>
        </is>
      </c>
      <c r="H50" s="8" t="inlineStr">
        <is>
          <t>109433</t>
        </is>
      </c>
      <c r="I50" s="8" t="inlineStr">
        <is>
          <t>No</t>
        </is>
      </c>
    </row>
    <row r="51">
      <c r="A51" s="8" t="inlineStr">
        <is>
          <t>29/04/2026</t>
        </is>
      </c>
      <c r="B51" s="8" t="inlineStr">
        <is>
          <t>PAV</t>
        </is>
      </c>
      <c r="C51" s="8" t="inlineStr">
        <is>
          <t>1800042970</t>
        </is>
      </c>
      <c r="D51" s="9" t="n">
        <v>22282.2</v>
      </c>
      <c r="E51" s="8" t="inlineStr">
        <is>
          <t>29/04/2026</t>
        </is>
      </c>
      <c r="F51" s="8" t="inlineStr">
        <is>
          <t>29/04/2026</t>
        </is>
      </c>
      <c r="G51" s="8" t="inlineStr">
        <is>
          <t>CR DEBIN SPOT</t>
        </is>
      </c>
      <c r="H51" s="8" t="inlineStr">
        <is>
          <t>109470</t>
        </is>
      </c>
      <c r="I51" s="8" t="inlineStr">
        <is>
          <t>No</t>
        </is>
      </c>
    </row>
    <row r="52">
      <c r="A52" s="8" t="inlineStr">
        <is>
          <t>29/04/2026</t>
        </is>
      </c>
      <c r="B52" s="8" t="inlineStr">
        <is>
          <t>PAV</t>
        </is>
      </c>
      <c r="C52" s="8" t="inlineStr">
        <is>
          <t>2300014317</t>
        </is>
      </c>
      <c r="D52" s="9" t="n">
        <v>49516</v>
      </c>
      <c r="E52" s="8" t="inlineStr">
        <is>
          <t>29/04/2026</t>
        </is>
      </c>
      <c r="F52" s="8" t="inlineStr">
        <is>
          <t>29/04/2026</t>
        </is>
      </c>
      <c r="G52" s="8" t="inlineStr">
        <is>
          <t>CR DEBIN SPOT</t>
        </is>
      </c>
      <c r="H52" s="8" t="inlineStr">
        <is>
          <t>109477</t>
        </is>
      </c>
      <c r="I52" s="8" t="inlineStr">
        <is>
          <t>No</t>
        </is>
      </c>
    </row>
    <row r="53">
      <c r="A53" s="8" t="inlineStr">
        <is>
          <t>29/04/2026</t>
        </is>
      </c>
      <c r="B53" s="8" t="inlineStr">
        <is>
          <t>PAV</t>
        </is>
      </c>
      <c r="C53" s="8" t="inlineStr">
        <is>
          <t>2300014318</t>
        </is>
      </c>
      <c r="D53" s="9" t="n">
        <v>70510.78</v>
      </c>
      <c r="E53" s="8" t="inlineStr">
        <is>
          <t>29/04/2026</t>
        </is>
      </c>
      <c r="F53" s="8" t="inlineStr">
        <is>
          <t>29/04/2026</t>
        </is>
      </c>
      <c r="G53" s="8" t="inlineStr">
        <is>
          <t>CR DEBIN SPOT</t>
        </is>
      </c>
      <c r="H53" s="8" t="inlineStr">
        <is>
          <t>109479</t>
        </is>
      </c>
      <c r="I53" s="8" t="inlineStr">
        <is>
          <t>No</t>
        </is>
      </c>
    </row>
  </sheetData>
  <autoFilter ref="A1:I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4" customWidth="1" min="10" max="10"/>
    <col width="20" customWidth="1" min="11" max="11"/>
    <col width="16" customWidth="1" min="12" max="12"/>
    <col width="13" customWidth="1" min="13" max="13"/>
    <col width="16" customWidth="1" min="14" max="14"/>
    <col width="14" customWidth="1" min="15" max="15"/>
    <col width="18" customWidth="1" min="16" max="16"/>
    <col width="15" customWidth="1" min="17" max="17"/>
    <col width="30" customWidth="1" min="18" max="18"/>
    <col width="39" customWidth="1" min="19" max="19"/>
  </cols>
  <sheetData>
    <row r="1">
      <c r="A1" s="7" t="inlineStr">
        <is>
          <t>Fecha QR</t>
        </is>
      </c>
      <c r="B1" s="7" t="inlineStr">
        <is>
          <t>Estado QR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Fecha banco</t>
        </is>
      </c>
      <c r="K1" s="7" t="inlineStr">
        <is>
          <t>Comprobante banco</t>
        </is>
      </c>
      <c r="L1" s="7" t="inlineStr">
        <is>
          <t>Importe banco</t>
        </is>
      </c>
      <c r="M1" s="7" t="inlineStr">
        <is>
          <t>En Flexxus</t>
        </is>
      </c>
      <c r="N1" s="7" t="inlineStr">
        <is>
          <t>Fecha Flexxus</t>
        </is>
      </c>
      <c r="O1" s="7" t="inlineStr">
        <is>
          <t>PAV Flexxus</t>
        </is>
      </c>
      <c r="P1" s="7" t="inlineStr">
        <is>
          <t>Importe Flexxus</t>
        </is>
      </c>
      <c r="Q1" s="7" t="inlineStr">
        <is>
          <t>Estado Match</t>
        </is>
      </c>
      <c r="R1" s="7" t="inlineStr">
        <is>
          <t>Tratamiento contable</t>
        </is>
      </c>
      <c r="S1" s="7" t="inlineStr">
        <is>
          <t>Diagnóstico</t>
        </is>
      </c>
    </row>
    <row r="2">
      <c r="A2" s="8" t="inlineStr">
        <is>
          <t>29/04/2026</t>
        </is>
      </c>
      <c r="B2" s="8" t="inlineStr">
        <is>
          <t>Completa</t>
        </is>
      </c>
      <c r="C2" s="8" t="inlineStr">
        <is>
          <t>32032899</t>
        </is>
      </c>
      <c r="D2" s="8" t="inlineStr">
        <is>
          <t>Local 8</t>
        </is>
      </c>
      <c r="E2" s="8" t="inlineStr">
        <is>
          <t>69443515</t>
        </is>
      </c>
      <c r="F2" s="8" t="inlineStr">
        <is>
          <t>1376</t>
        </is>
      </c>
      <c r="G2" s="9" t="n">
        <v>5700</v>
      </c>
      <c r="H2" s="9" t="n">
        <v>5644.82</v>
      </c>
      <c r="I2" s="8" t="inlineStr">
        <is>
          <t>Sí</t>
        </is>
      </c>
      <c r="J2" s="8" t="inlineStr">
        <is>
          <t>29/04/2026</t>
        </is>
      </c>
      <c r="K2" s="8" t="inlineStr">
        <is>
          <t>109476</t>
        </is>
      </c>
      <c r="L2" s="9" t="n">
        <v>5644.82</v>
      </c>
      <c r="M2" s="8" t="inlineStr">
        <is>
          <t>Sí</t>
        </is>
      </c>
      <c r="N2" s="8" t="inlineStr">
        <is>
          <t>29/04/2026</t>
        </is>
      </c>
      <c r="O2" s="8" t="inlineStr">
        <is>
          <t>2300014310</t>
        </is>
      </c>
      <c r="P2" s="9" t="n">
        <v>5644.82</v>
      </c>
      <c r="Q2" s="8" t="inlineStr">
        <is>
          <t>CERRADO</t>
        </is>
      </c>
      <c r="R2" s="8" t="inlineStr">
        <is>
          <t>Cerrado; no va a pendientes</t>
        </is>
      </c>
      <c r="S2" s="8" t="inlineStr">
        <is>
          <t>QR en Transacciones, Banco y Flexxus</t>
        </is>
      </c>
    </row>
    <row r="3">
      <c r="A3" s="8" t="inlineStr">
        <is>
          <t>29/04/2026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39943954</t>
        </is>
      </c>
      <c r="F3" s="8" t="inlineStr">
        <is>
          <t>6</t>
        </is>
      </c>
      <c r="G3" s="9" t="n">
        <v>7500</v>
      </c>
      <c r="H3" s="9" t="n">
        <v>7427.4</v>
      </c>
      <c r="I3" s="8" t="inlineStr">
        <is>
          <t>Sí</t>
        </is>
      </c>
      <c r="J3" s="8" t="inlineStr">
        <is>
          <t>29/04/2026</t>
        </is>
      </c>
      <c r="K3" s="8" t="inlineStr">
        <is>
          <t>109471</t>
        </is>
      </c>
      <c r="L3" s="9" t="n">
        <v>7427.4</v>
      </c>
      <c r="M3" s="8" t="inlineStr">
        <is>
          <t>Sí</t>
        </is>
      </c>
      <c r="N3" s="8" t="inlineStr">
        <is>
          <t>29/04/2026</t>
        </is>
      </c>
      <c r="O3" s="8" t="inlineStr">
        <is>
          <t>3400068737</t>
        </is>
      </c>
      <c r="P3" s="9" t="n">
        <v>7427.4</v>
      </c>
      <c r="Q3" s="8" t="inlineStr">
        <is>
          <t>CERRADO</t>
        </is>
      </c>
      <c r="R3" s="8" t="inlineStr">
        <is>
          <t>Cerrado; no va a pendientes</t>
        </is>
      </c>
      <c r="S3" s="8" t="inlineStr">
        <is>
          <t>QR en Transacciones, Banco y Flexxus</t>
        </is>
      </c>
    </row>
    <row r="4">
      <c r="A4" s="8" t="inlineStr">
        <is>
          <t>29/04/2026</t>
        </is>
      </c>
      <c r="B4" s="8" t="inlineStr">
        <is>
          <t>Completa</t>
        </is>
      </c>
      <c r="C4" s="8" t="inlineStr">
        <is>
          <t>29841705</t>
        </is>
      </c>
      <c r="D4" s="8" t="inlineStr">
        <is>
          <t>Local 6</t>
        </is>
      </c>
      <c r="E4" s="8" t="inlineStr">
        <is>
          <t>69333384</t>
        </is>
      </c>
      <c r="F4" s="8" t="inlineStr">
        <is>
          <t>3749</t>
        </is>
      </c>
      <c r="G4" s="9" t="n">
        <v>7500</v>
      </c>
      <c r="H4" s="9" t="n">
        <v>7427.4</v>
      </c>
      <c r="I4" s="8" t="inlineStr">
        <is>
          <t>Sí</t>
        </is>
      </c>
      <c r="J4" s="8" t="inlineStr">
        <is>
          <t>29/04/2026</t>
        </is>
      </c>
      <c r="K4" s="8" t="inlineStr">
        <is>
          <t>109468</t>
        </is>
      </c>
      <c r="L4" s="9" t="n">
        <v>7427.4</v>
      </c>
      <c r="M4" s="8" t="inlineStr">
        <is>
          <t>Sí</t>
        </is>
      </c>
      <c r="N4" s="8" t="inlineStr">
        <is>
          <t>29/04/2026</t>
        </is>
      </c>
      <c r="O4" s="8" t="inlineStr">
        <is>
          <t>1900043043</t>
        </is>
      </c>
      <c r="P4" s="9" t="n">
        <v>7427.4</v>
      </c>
      <c r="Q4" s="8" t="inlineStr">
        <is>
          <t>CERRADO</t>
        </is>
      </c>
      <c r="R4" s="8" t="inlineStr">
        <is>
          <t>Cerrado; no va a pendientes</t>
        </is>
      </c>
      <c r="S4" s="8" t="inlineStr">
        <is>
          <t>QR en Transacciones, Banco y Flexxus</t>
        </is>
      </c>
    </row>
    <row r="5">
      <c r="A5" s="8" t="inlineStr">
        <is>
          <t>29/04/2026</t>
        </is>
      </c>
      <c r="B5" s="8" t="inlineStr">
        <is>
          <t>Completa</t>
        </is>
      </c>
      <c r="C5" s="8" t="inlineStr">
        <is>
          <t>29841670</t>
        </is>
      </c>
      <c r="D5" s="8" t="inlineStr">
        <is>
          <t>Local 5</t>
        </is>
      </c>
      <c r="E5" s="8" t="inlineStr">
        <is>
          <t>69343173</t>
        </is>
      </c>
      <c r="F5" s="8" t="inlineStr">
        <is>
          <t>1701</t>
        </is>
      </c>
      <c r="G5" s="9" t="n">
        <v>7500</v>
      </c>
      <c r="H5" s="9" t="n">
        <v>7427.4</v>
      </c>
      <c r="I5" s="8" t="inlineStr">
        <is>
          <t>Sí</t>
        </is>
      </c>
      <c r="J5" s="8" t="inlineStr">
        <is>
          <t>29/04/2026</t>
        </is>
      </c>
      <c r="K5" s="8" t="inlineStr">
        <is>
          <t>109429</t>
        </is>
      </c>
      <c r="L5" s="9" t="n">
        <v>7427.4</v>
      </c>
      <c r="M5" s="8" t="inlineStr">
        <is>
          <t>Sí</t>
        </is>
      </c>
      <c r="N5" s="8" t="inlineStr">
        <is>
          <t>29/04/2026</t>
        </is>
      </c>
      <c r="O5" s="8" t="inlineStr">
        <is>
          <t>1800042969</t>
        </is>
      </c>
      <c r="P5" s="9" t="n">
        <v>7427.4</v>
      </c>
      <c r="Q5" s="8" t="inlineStr">
        <is>
          <t>CERRADO</t>
        </is>
      </c>
      <c r="R5" s="8" t="inlineStr">
        <is>
          <t>Cerrado; no va a pendientes</t>
        </is>
      </c>
      <c r="S5" s="8" t="inlineStr">
        <is>
          <t>QR en Transacciones, Banco y Flexxus</t>
        </is>
      </c>
    </row>
    <row r="6">
      <c r="A6" s="8" t="inlineStr">
        <is>
          <t>29/04/2026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3746</t>
        </is>
      </c>
      <c r="G6" s="9" t="n">
        <v>10200</v>
      </c>
      <c r="H6" s="9" t="n">
        <v>10101.26</v>
      </c>
      <c r="I6" s="8" t="inlineStr">
        <is>
          <t>Sí</t>
        </is>
      </c>
      <c r="J6" s="8" t="inlineStr">
        <is>
          <t>29/04/2026</t>
        </is>
      </c>
      <c r="K6" s="8" t="inlineStr">
        <is>
          <t>109432</t>
        </is>
      </c>
      <c r="L6" s="9" t="n">
        <v>10101.26</v>
      </c>
      <c r="M6" s="8" t="inlineStr">
        <is>
          <t>Sí</t>
        </is>
      </c>
      <c r="N6" s="8" t="inlineStr">
        <is>
          <t>29/04/2026</t>
        </is>
      </c>
      <c r="O6" s="8" t="inlineStr">
        <is>
          <t>3400068736</t>
        </is>
      </c>
      <c r="P6" s="9" t="n">
        <v>10101.26</v>
      </c>
      <c r="Q6" s="8" t="inlineStr">
        <is>
          <t>CERRADO</t>
        </is>
      </c>
      <c r="R6" s="8" t="inlineStr">
        <is>
          <t>Cerrado; no va a pendientes</t>
        </is>
      </c>
      <c r="S6" s="8" t="inlineStr">
        <is>
          <t>QR en Transacciones, Banco y Flexxus</t>
        </is>
      </c>
    </row>
    <row r="7">
      <c r="A7" s="8" t="inlineStr">
        <is>
          <t>29/04/2026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69467539</t>
        </is>
      </c>
      <c r="F7" s="8" t="inlineStr">
        <is>
          <t>404</t>
        </is>
      </c>
      <c r="G7" s="9" t="n">
        <v>13100</v>
      </c>
      <c r="H7" s="9" t="n">
        <v>12973.19</v>
      </c>
      <c r="I7" s="8" t="inlineStr">
        <is>
          <t>Sí</t>
        </is>
      </c>
      <c r="J7" s="8" t="inlineStr">
        <is>
          <t>29/04/2026</t>
        </is>
      </c>
      <c r="K7" s="8" t="inlineStr">
        <is>
          <t>109435</t>
        </is>
      </c>
      <c r="L7" s="9" t="n">
        <v>12973.19</v>
      </c>
      <c r="M7" s="8" t="inlineStr">
        <is>
          <t>Sí</t>
        </is>
      </c>
      <c r="N7" s="8" t="inlineStr">
        <is>
          <t>29/04/2026</t>
        </is>
      </c>
      <c r="O7" s="8" t="inlineStr">
        <is>
          <t>2100058206</t>
        </is>
      </c>
      <c r="P7" s="9" t="n">
        <v>12973.19</v>
      </c>
      <c r="Q7" s="8" t="inlineStr">
        <is>
          <t>CERRADO</t>
        </is>
      </c>
      <c r="R7" s="8" t="inlineStr">
        <is>
          <t>Cerrado; no va a pendientes</t>
        </is>
      </c>
      <c r="S7" s="8" t="inlineStr">
        <is>
          <t>QR en Transacciones, Banco y Flexxus</t>
        </is>
      </c>
    </row>
    <row r="8">
      <c r="A8" s="8" t="inlineStr">
        <is>
          <t>29/04/2026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3751</t>
        </is>
      </c>
      <c r="G8" s="9" t="n">
        <v>15000</v>
      </c>
      <c r="H8" s="9" t="n">
        <v>14854.8</v>
      </c>
      <c r="I8" s="8" t="inlineStr">
        <is>
          <t>Sí</t>
        </is>
      </c>
      <c r="J8" s="8" t="inlineStr">
        <is>
          <t>29/04/2026</t>
        </is>
      </c>
      <c r="K8" s="8" t="inlineStr">
        <is>
          <t>109478</t>
        </is>
      </c>
      <c r="L8" s="9" t="n">
        <v>14854.8</v>
      </c>
      <c r="M8" s="8" t="inlineStr">
        <is>
          <t>Sí</t>
        </is>
      </c>
      <c r="N8" s="8" t="inlineStr">
        <is>
          <t>29/04/2026</t>
        </is>
      </c>
      <c r="O8" s="8" t="inlineStr">
        <is>
          <t>3400068739</t>
        </is>
      </c>
      <c r="P8" s="9" t="n">
        <v>14854.8</v>
      </c>
      <c r="Q8" s="8" t="inlineStr">
        <is>
          <t>CERRADO</t>
        </is>
      </c>
      <c r="R8" s="8" t="inlineStr">
        <is>
          <t>Cerrado; no va a pendientes</t>
        </is>
      </c>
      <c r="S8" s="8" t="inlineStr">
        <is>
          <t>QR en Transacciones, Banco y Flexxus</t>
        </is>
      </c>
    </row>
    <row r="9">
      <c r="A9" s="8" t="inlineStr">
        <is>
          <t>29/04/2026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69467539</t>
        </is>
      </c>
      <c r="F9" s="8" t="inlineStr">
        <is>
          <t>406</t>
        </is>
      </c>
      <c r="G9" s="9" t="n">
        <v>22500</v>
      </c>
      <c r="H9" s="9" t="n">
        <v>22282.2</v>
      </c>
      <c r="I9" s="8" t="inlineStr">
        <is>
          <t>Sí</t>
        </is>
      </c>
      <c r="J9" s="8" t="inlineStr">
        <is>
          <t>29/04/2026</t>
        </is>
      </c>
      <c r="K9" s="8" t="inlineStr">
        <is>
          <t>109475</t>
        </is>
      </c>
      <c r="L9" s="9" t="n">
        <v>22282.2</v>
      </c>
      <c r="M9" s="8" t="inlineStr">
        <is>
          <t>Sí</t>
        </is>
      </c>
      <c r="N9" s="8" t="inlineStr">
        <is>
          <t>29/04/2026</t>
        </is>
      </c>
      <c r="O9" s="8" t="inlineStr">
        <is>
          <t>1800042970</t>
        </is>
      </c>
      <c r="P9" s="9" t="n">
        <v>22282.2</v>
      </c>
      <c r="Q9" s="8" t="inlineStr">
        <is>
          <t>CERRADO</t>
        </is>
      </c>
      <c r="R9" s="8" t="inlineStr">
        <is>
          <t>Cerrado; no va a pendientes</t>
        </is>
      </c>
      <c r="S9" s="8" t="inlineStr">
        <is>
          <t>QR en Transacciones, Banco y Flexxus</t>
        </is>
      </c>
    </row>
    <row r="10">
      <c r="A10" s="8" t="inlineStr">
        <is>
          <t>29/04/2026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1702</t>
        </is>
      </c>
      <c r="G10" s="9" t="n">
        <v>22500</v>
      </c>
      <c r="H10" s="9" t="n">
        <v>22282.2</v>
      </c>
      <c r="I10" s="8" t="inlineStr">
        <is>
          <t>Sí</t>
        </is>
      </c>
      <c r="J10" s="8" t="inlineStr">
        <is>
          <t>29/04/2026</t>
        </is>
      </c>
      <c r="K10" s="8" t="inlineStr">
        <is>
          <t>109470</t>
        </is>
      </c>
      <c r="L10" s="9" t="n">
        <v>22282.2</v>
      </c>
      <c r="M10" s="8" t="inlineStr">
        <is>
          <t>Sí</t>
        </is>
      </c>
      <c r="N10" s="8" t="inlineStr">
        <is>
          <t>29/04/2026</t>
        </is>
      </c>
      <c r="O10" s="8" t="inlineStr">
        <is>
          <t>2100058204</t>
        </is>
      </c>
      <c r="P10" s="9" t="n">
        <v>22282.2</v>
      </c>
      <c r="Q10" s="8" t="inlineStr">
        <is>
          <t>CERRADO</t>
        </is>
      </c>
      <c r="R10" s="8" t="inlineStr">
        <is>
          <t>Cerrado; no va a pendientes</t>
        </is>
      </c>
      <c r="S10" s="8" t="inlineStr">
        <is>
          <t>QR en Transacciones, Banco y Flexxus</t>
        </is>
      </c>
    </row>
    <row r="11">
      <c r="A11" s="8" t="inlineStr">
        <is>
          <t>29/04/2026</t>
        </is>
      </c>
      <c r="B11" s="8" t="inlineStr">
        <is>
          <t>Completa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69333384</t>
        </is>
      </c>
      <c r="F11" s="8" t="inlineStr">
        <is>
          <t>3750</t>
        </is>
      </c>
      <c r="G11" s="9" t="n">
        <v>23500</v>
      </c>
      <c r="H11" s="9" t="n">
        <v>23272.52</v>
      </c>
      <c r="I11" s="8" t="inlineStr">
        <is>
          <t>Sí</t>
        </is>
      </c>
      <c r="J11" s="8" t="inlineStr">
        <is>
          <t>29/04/2026</t>
        </is>
      </c>
      <c r="K11" s="8" t="inlineStr">
        <is>
          <t>109473</t>
        </is>
      </c>
      <c r="L11" s="9" t="n">
        <v>23272.52</v>
      </c>
      <c r="M11" s="8" t="inlineStr">
        <is>
          <t>Sí</t>
        </is>
      </c>
      <c r="N11" s="8" t="inlineStr">
        <is>
          <t>29/04/2026</t>
        </is>
      </c>
      <c r="O11" s="8" t="inlineStr">
        <is>
          <t>3400068738</t>
        </is>
      </c>
      <c r="P11" s="9" t="n">
        <v>23272.52</v>
      </c>
      <c r="Q11" s="8" t="inlineStr">
        <is>
          <t>CERRADO</t>
        </is>
      </c>
      <c r="R11" s="8" t="inlineStr">
        <is>
          <t>Cerrado; no va a pendientes</t>
        </is>
      </c>
      <c r="S11" s="8" t="inlineStr">
        <is>
          <t>QR en Transacciones, Banco y Flexxus</t>
        </is>
      </c>
    </row>
    <row r="12">
      <c r="A12" s="8" t="inlineStr">
        <is>
          <t>29/04/2026</t>
        </is>
      </c>
      <c r="B12" s="8" t="inlineStr">
        <is>
          <t>Completa</t>
        </is>
      </c>
      <c r="C12" s="8" t="inlineStr">
        <is>
          <t>29841670</t>
        </is>
      </c>
      <c r="D12" s="8" t="inlineStr">
        <is>
          <t>Local 5</t>
        </is>
      </c>
      <c r="E12" s="8" t="inlineStr">
        <is>
          <t>39943954</t>
        </is>
      </c>
      <c r="F12" s="8" t="inlineStr">
        <is>
          <t>4</t>
        </is>
      </c>
      <c r="G12" s="9" t="n">
        <v>24000</v>
      </c>
      <c r="H12" s="9" t="n">
        <v>23767.68</v>
      </c>
      <c r="I12" s="8" t="inlineStr">
        <is>
          <t>Sí</t>
        </is>
      </c>
      <c r="J12" s="8" t="inlineStr">
        <is>
          <t>29/04/2026</t>
        </is>
      </c>
      <c r="K12" s="8" t="inlineStr">
        <is>
          <t>109434</t>
        </is>
      </c>
      <c r="L12" s="9" t="n">
        <v>23767.68</v>
      </c>
      <c r="M12" s="8" t="inlineStr">
        <is>
          <t>Sí</t>
        </is>
      </c>
      <c r="N12" s="8" t="inlineStr">
        <is>
          <t>29/04/2026</t>
        </is>
      </c>
      <c r="O12" s="8" t="inlineStr">
        <is>
          <t>1900043035</t>
        </is>
      </c>
      <c r="P12" s="9" t="n">
        <v>23767.68</v>
      </c>
      <c r="Q12" s="8" t="inlineStr">
        <is>
          <t>CERRADO</t>
        </is>
      </c>
      <c r="R12" s="8" t="inlineStr">
        <is>
          <t>Cerrado; no va a pendientes</t>
        </is>
      </c>
      <c r="S12" s="8" t="inlineStr">
        <is>
          <t>QR en Transacciones, Banco y Flexxus</t>
        </is>
      </c>
    </row>
    <row r="13">
      <c r="A13" s="8" t="inlineStr">
        <is>
          <t>29/04/2026</t>
        </is>
      </c>
      <c r="B13" s="8" t="inlineStr">
        <is>
          <t>Completa</t>
        </is>
      </c>
      <c r="C13" s="8" t="inlineStr">
        <is>
          <t>29841670</t>
        </is>
      </c>
      <c r="D13" s="8" t="inlineStr">
        <is>
          <t>Local 5</t>
        </is>
      </c>
      <c r="E13" s="8" t="inlineStr">
        <is>
          <t>69343173</t>
        </is>
      </c>
      <c r="F13" s="8" t="inlineStr">
        <is>
          <t>1700</t>
        </is>
      </c>
      <c r="G13" s="9" t="n">
        <v>24000</v>
      </c>
      <c r="H13" s="9" t="n">
        <v>23767.68</v>
      </c>
      <c r="I13" s="8" t="inlineStr">
        <is>
          <t>Sí</t>
        </is>
      </c>
      <c r="J13" s="8" t="inlineStr">
        <is>
          <t>29/04/2026</t>
        </is>
      </c>
      <c r="K13" s="8" t="inlineStr">
        <is>
          <t>109428</t>
        </is>
      </c>
      <c r="L13" s="9" t="n">
        <v>23767.68</v>
      </c>
      <c r="M13" s="8" t="inlineStr">
        <is>
          <t>Sí</t>
        </is>
      </c>
      <c r="N13" s="8" t="inlineStr">
        <is>
          <t>29/04/2026</t>
        </is>
      </c>
      <c r="O13" s="8" t="inlineStr">
        <is>
          <t>1800042968</t>
        </is>
      </c>
      <c r="P13" s="9" t="n">
        <v>23767.68</v>
      </c>
      <c r="Q13" s="8" t="inlineStr">
        <is>
          <t>CERRADO</t>
        </is>
      </c>
      <c r="R13" s="8" t="inlineStr">
        <is>
          <t>Cerrado; no va a pendientes</t>
        </is>
      </c>
      <c r="S13" s="8" t="inlineStr">
        <is>
          <t>QR en Transacciones, Banco y Flexxus</t>
        </is>
      </c>
    </row>
    <row r="14">
      <c r="A14" s="8" t="inlineStr">
        <is>
          <t>29/04/2026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69205177</t>
        </is>
      </c>
      <c r="F14" s="8" t="inlineStr">
        <is>
          <t>1427</t>
        </is>
      </c>
      <c r="G14" s="9" t="n">
        <v>25800</v>
      </c>
      <c r="H14" s="9" t="n">
        <v>25550.26</v>
      </c>
      <c r="I14" s="8" t="inlineStr">
        <is>
          <t>Sí</t>
        </is>
      </c>
      <c r="J14" s="8" t="inlineStr">
        <is>
          <t>29/04/2026</t>
        </is>
      </c>
      <c r="K14" s="8" t="inlineStr">
        <is>
          <t>109433</t>
        </is>
      </c>
      <c r="L14" s="9" t="n">
        <v>25550.26</v>
      </c>
      <c r="M14" s="8" t="inlineStr">
        <is>
          <t>Sí</t>
        </is>
      </c>
      <c r="N14" s="8" t="inlineStr">
        <is>
          <t>29/04/2026</t>
        </is>
      </c>
      <c r="O14" s="8" t="inlineStr">
        <is>
          <t>1700037036</t>
        </is>
      </c>
      <c r="P14" s="9" t="n">
        <v>25550.26</v>
      </c>
      <c r="Q14" s="8" t="inlineStr">
        <is>
          <t>CERRADO</t>
        </is>
      </c>
      <c r="R14" s="8" t="inlineStr">
        <is>
          <t>Cerrado; no va a pendientes</t>
        </is>
      </c>
      <c r="S14" s="8" t="inlineStr">
        <is>
          <t>QR en Transacciones, Banco y Flexxus</t>
        </is>
      </c>
    </row>
    <row r="15">
      <c r="A15" s="8" t="inlineStr">
        <is>
          <t>29/04/2026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403</t>
        </is>
      </c>
      <c r="G15" s="9" t="n">
        <v>35000</v>
      </c>
      <c r="H15" s="9" t="n">
        <v>34661.2</v>
      </c>
      <c r="I15" s="8" t="inlineStr">
        <is>
          <t>Sí</t>
        </is>
      </c>
      <c r="J15" s="8" t="inlineStr">
        <is>
          <t>29/04/2026</t>
        </is>
      </c>
      <c r="K15" s="8" t="inlineStr">
        <is>
          <t>109431</t>
        </is>
      </c>
      <c r="L15" s="9" t="n">
        <v>34661.2</v>
      </c>
      <c r="M15" s="8" t="inlineStr">
        <is>
          <t>Sí</t>
        </is>
      </c>
      <c r="N15" s="8" t="inlineStr">
        <is>
          <t>29/04/2026</t>
        </is>
      </c>
      <c r="O15" s="8" t="inlineStr">
        <is>
          <t>2100058190</t>
        </is>
      </c>
      <c r="P15" s="9" t="n">
        <v>34661.2</v>
      </c>
      <c r="Q15" s="8" t="inlineStr">
        <is>
          <t>CERRADO</t>
        </is>
      </c>
      <c r="R15" s="8" t="inlineStr">
        <is>
          <t>Cerrado; no va a pendientes</t>
        </is>
      </c>
      <c r="S15" s="8" t="inlineStr">
        <is>
          <t>QR en Transacciones, Banco y Flexxus</t>
        </is>
      </c>
    </row>
    <row r="16">
      <c r="A16" s="8" t="inlineStr">
        <is>
          <t>29/04/2026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39943954</t>
        </is>
      </c>
      <c r="F16" s="8" t="inlineStr">
        <is>
          <t>3</t>
        </is>
      </c>
      <c r="G16" s="9" t="n">
        <v>35300</v>
      </c>
      <c r="H16" s="9" t="n">
        <v>34958.3</v>
      </c>
      <c r="I16" s="8" t="inlineStr">
        <is>
          <t>Sí</t>
        </is>
      </c>
      <c r="J16" s="8" t="inlineStr">
        <is>
          <t>29/04/2026</t>
        </is>
      </c>
      <c r="K16" s="8" t="inlineStr">
        <is>
          <t>109430</t>
        </is>
      </c>
      <c r="L16" s="9" t="n">
        <v>34958.3</v>
      </c>
      <c r="M16" s="8" t="inlineStr">
        <is>
          <t>Sí</t>
        </is>
      </c>
      <c r="N16" s="8" t="inlineStr">
        <is>
          <t>29/04/2026</t>
        </is>
      </c>
      <c r="O16" s="8" t="inlineStr">
        <is>
          <t>1900043034</t>
        </is>
      </c>
      <c r="P16" s="9" t="n">
        <v>34958.3</v>
      </c>
      <c r="Q16" s="8" t="inlineStr">
        <is>
          <t>CERRADO</t>
        </is>
      </c>
      <c r="R16" s="8" t="inlineStr">
        <is>
          <t>Cerrado; no va a pendientes</t>
        </is>
      </c>
      <c r="S16" s="8" t="inlineStr">
        <is>
          <t>QR en Transacciones, Banco y Flexxus</t>
        </is>
      </c>
    </row>
    <row r="17">
      <c r="A17" s="8" t="inlineStr">
        <is>
          <t>29/04/2026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39943954</t>
        </is>
      </c>
      <c r="F17" s="8" t="inlineStr">
        <is>
          <t>5</t>
        </is>
      </c>
      <c r="G17" s="9" t="n">
        <v>45000</v>
      </c>
      <c r="H17" s="9" t="n">
        <v>44564.4</v>
      </c>
      <c r="I17" s="8" t="inlineStr">
        <is>
          <t>Sí</t>
        </is>
      </c>
      <c r="J17" s="8" t="inlineStr">
        <is>
          <t>29/04/2026</t>
        </is>
      </c>
      <c r="K17" s="8" t="inlineStr">
        <is>
          <t>109469</t>
        </is>
      </c>
      <c r="L17" s="9" t="n">
        <v>44564.4</v>
      </c>
      <c r="M17" s="8" t="inlineStr">
        <is>
          <t>Sí</t>
        </is>
      </c>
      <c r="N17" s="8" t="inlineStr">
        <is>
          <t>29/04/2026</t>
        </is>
      </c>
      <c r="O17" s="8" t="inlineStr">
        <is>
          <t>1900043033</t>
        </is>
      </c>
      <c r="P17" s="9" t="n">
        <v>44564.4</v>
      </c>
      <c r="Q17" s="8" t="inlineStr">
        <is>
          <t>CERRADO</t>
        </is>
      </c>
      <c r="R17" s="8" t="inlineStr">
        <is>
          <t>Cerrado; no va a pendientes</t>
        </is>
      </c>
      <c r="S17" s="8" t="inlineStr">
        <is>
          <t>QR en Transacciones, Banco y Flexxus</t>
        </is>
      </c>
    </row>
    <row r="18">
      <c r="A18" s="8" t="inlineStr">
        <is>
          <t>29/04/2026</t>
        </is>
      </c>
      <c r="B18" s="8" t="inlineStr">
        <is>
          <t>Completa</t>
        </is>
      </c>
      <c r="C18" s="8" t="inlineStr">
        <is>
          <t>29841670</t>
        </is>
      </c>
      <c r="D18" s="8" t="inlineStr">
        <is>
          <t>Local 5</t>
        </is>
      </c>
      <c r="E18" s="8" t="inlineStr">
        <is>
          <t>69343173</t>
        </is>
      </c>
      <c r="F18" s="8" t="inlineStr">
        <is>
          <t>1699</t>
        </is>
      </c>
      <c r="G18" s="9" t="n">
        <v>46500</v>
      </c>
      <c r="H18" s="9" t="n">
        <v>46049.88</v>
      </c>
      <c r="I18" s="8" t="inlineStr">
        <is>
          <t>Sí</t>
        </is>
      </c>
      <c r="J18" s="8" t="inlineStr">
        <is>
          <t>29/04/2026</t>
        </is>
      </c>
      <c r="K18" s="8" t="inlineStr">
        <is>
          <t>109427</t>
        </is>
      </c>
      <c r="L18" s="9" t="n">
        <v>46049.88</v>
      </c>
      <c r="M18" s="8" t="inlineStr">
        <is>
          <t>Sí</t>
        </is>
      </c>
      <c r="N18" s="8" t="inlineStr">
        <is>
          <t>29/04/2026</t>
        </is>
      </c>
      <c r="O18" s="8" t="inlineStr">
        <is>
          <t>1800042967</t>
        </is>
      </c>
      <c r="P18" s="9" t="n">
        <v>46049.88</v>
      </c>
      <c r="Q18" s="8" t="inlineStr">
        <is>
          <t>CERRADO</t>
        </is>
      </c>
      <c r="R18" s="8" t="inlineStr">
        <is>
          <t>Cerrado; no va a pendientes</t>
        </is>
      </c>
      <c r="S18" s="8" t="inlineStr">
        <is>
          <t>QR en Transacciones, Banco y Flexxus</t>
        </is>
      </c>
    </row>
    <row r="19">
      <c r="A19" s="8" t="inlineStr">
        <is>
          <t>29/04/2026</t>
        </is>
      </c>
      <c r="B19" s="8" t="inlineStr">
        <is>
          <t>Completa</t>
        </is>
      </c>
      <c r="C19" s="8" t="inlineStr">
        <is>
          <t>32032899</t>
        </is>
      </c>
      <c r="D19" s="8" t="inlineStr">
        <is>
          <t>Local 8</t>
        </is>
      </c>
      <c r="E19" s="8" t="inlineStr">
        <is>
          <t>69443515</t>
        </is>
      </c>
      <c r="F19" s="8" t="inlineStr">
        <is>
          <t>1377</t>
        </is>
      </c>
      <c r="G19" s="9" t="n">
        <v>50000</v>
      </c>
      <c r="H19" s="9" t="n">
        <v>49516</v>
      </c>
      <c r="I19" s="8" t="inlineStr">
        <is>
          <t>Sí</t>
        </is>
      </c>
      <c r="J19" s="8" t="inlineStr">
        <is>
          <t>29/04/2026</t>
        </is>
      </c>
      <c r="K19" s="8" t="inlineStr">
        <is>
          <t>109477</t>
        </is>
      </c>
      <c r="L19" s="9" t="n">
        <v>49516</v>
      </c>
      <c r="M19" s="8" t="inlineStr">
        <is>
          <t>Sí</t>
        </is>
      </c>
      <c r="N19" s="8" t="inlineStr">
        <is>
          <t>29/04/2026</t>
        </is>
      </c>
      <c r="O19" s="8" t="inlineStr">
        <is>
          <t>2300014317</t>
        </is>
      </c>
      <c r="P19" s="9" t="n">
        <v>49516</v>
      </c>
      <c r="Q19" s="8" t="inlineStr">
        <is>
          <t>CERRADO</t>
        </is>
      </c>
      <c r="R19" s="8" t="inlineStr">
        <is>
          <t>Cerrado; no va a pendientes</t>
        </is>
      </c>
      <c r="S19" s="8" t="inlineStr">
        <is>
          <t>QR en Transacciones, Banco y Flexxus</t>
        </is>
      </c>
    </row>
    <row r="20">
      <c r="A20" s="8" t="inlineStr">
        <is>
          <t>29/04/2026</t>
        </is>
      </c>
      <c r="B20" s="8" t="inlineStr">
        <is>
          <t>Completa</t>
        </is>
      </c>
      <c r="C20" s="8" t="inlineStr">
        <is>
          <t>32032899</t>
        </is>
      </c>
      <c r="D20" s="8" t="inlineStr">
        <is>
          <t>Local 8</t>
        </is>
      </c>
      <c r="E20" s="8" t="inlineStr">
        <is>
          <t>69443515</t>
        </is>
      </c>
      <c r="F20" s="8" t="inlineStr">
        <is>
          <t>1373</t>
        </is>
      </c>
      <c r="G20" s="9" t="n">
        <v>51700</v>
      </c>
      <c r="H20" s="9" t="n">
        <v>51199.54</v>
      </c>
      <c r="I20" s="8" t="inlineStr">
        <is>
          <t>Sí</t>
        </is>
      </c>
      <c r="J20" s="8" t="inlineStr">
        <is>
          <t>29/04/2026</t>
        </is>
      </c>
      <c r="K20" s="8" t="inlineStr">
        <is>
          <t>109472</t>
        </is>
      </c>
      <c r="L20" s="9" t="n">
        <v>51199.54</v>
      </c>
      <c r="M20" s="8" t="inlineStr">
        <is>
          <t>Sí</t>
        </is>
      </c>
      <c r="N20" s="8" t="inlineStr">
        <is>
          <t>29/04/2026</t>
        </is>
      </c>
      <c r="O20" s="8" t="inlineStr">
        <is>
          <t>2300014309</t>
        </is>
      </c>
      <c r="P20" s="9" t="n">
        <v>51199.54</v>
      </c>
      <c r="Q20" s="8" t="inlineStr">
        <is>
          <t>CERRADO</t>
        </is>
      </c>
      <c r="R20" s="8" t="inlineStr">
        <is>
          <t>Cerrado; no va a pendientes</t>
        </is>
      </c>
      <c r="S20" s="8" t="inlineStr">
        <is>
          <t>QR en Transacciones, Banco y Flexxus</t>
        </is>
      </c>
    </row>
    <row r="21">
      <c r="A21" s="8" t="inlineStr">
        <is>
          <t>29/04/2026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69467539</t>
        </is>
      </c>
      <c r="F21" s="8" t="inlineStr">
        <is>
          <t>405</t>
        </is>
      </c>
      <c r="G21" s="9" t="n">
        <v>55400</v>
      </c>
      <c r="H21" s="9" t="n">
        <v>54863.73</v>
      </c>
      <c r="I21" s="8" t="inlineStr">
        <is>
          <t>Sí</t>
        </is>
      </c>
      <c r="J21" s="8" t="inlineStr">
        <is>
          <t>29/04/2026</t>
        </is>
      </c>
      <c r="K21" s="8" t="inlineStr">
        <is>
          <t>109454</t>
        </is>
      </c>
      <c r="L21" s="9" t="n">
        <v>54863.73</v>
      </c>
      <c r="M21" s="8" t="inlineStr">
        <is>
          <t>Sí</t>
        </is>
      </c>
      <c r="N21" s="8" t="inlineStr">
        <is>
          <t>29/04/2026</t>
        </is>
      </c>
      <c r="O21" s="8" t="inlineStr">
        <is>
          <t>2100058205</t>
        </is>
      </c>
      <c r="P21" s="9" t="n">
        <v>54863.73</v>
      </c>
      <c r="Q21" s="8" t="inlineStr">
        <is>
          <t>CERRADO</t>
        </is>
      </c>
      <c r="R21" s="8" t="inlineStr">
        <is>
          <t>Cerrado; no va a pendientes</t>
        </is>
      </c>
      <c r="S21" s="8" t="inlineStr">
        <is>
          <t>QR en Transacciones, Banco y Flexxus</t>
        </is>
      </c>
    </row>
    <row r="22">
      <c r="A22" s="8" t="inlineStr">
        <is>
          <t>29/04/2026</t>
        </is>
      </c>
      <c r="B22" s="8" t="inlineStr">
        <is>
          <t>Completa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69443515</t>
        </is>
      </c>
      <c r="F22" s="8" t="inlineStr">
        <is>
          <t>1378</t>
        </is>
      </c>
      <c r="G22" s="9" t="n">
        <v>71200</v>
      </c>
      <c r="H22" s="9" t="n">
        <v>70510.78</v>
      </c>
      <c r="I22" s="8" t="inlineStr">
        <is>
          <t>Sí</t>
        </is>
      </c>
      <c r="J22" s="8" t="inlineStr">
        <is>
          <t>29/04/2026</t>
        </is>
      </c>
      <c r="K22" s="8" t="inlineStr">
        <is>
          <t>109479</t>
        </is>
      </c>
      <c r="L22" s="9" t="n">
        <v>70510.78</v>
      </c>
      <c r="M22" s="8" t="inlineStr">
        <is>
          <t>Sí</t>
        </is>
      </c>
      <c r="N22" s="8" t="inlineStr">
        <is>
          <t>29/04/2026</t>
        </is>
      </c>
      <c r="O22" s="8" t="inlineStr">
        <is>
          <t>2300014318</t>
        </is>
      </c>
      <c r="P22" s="9" t="n">
        <v>70510.78</v>
      </c>
      <c r="Q22" s="8" t="inlineStr">
        <is>
          <t>CERRADO</t>
        </is>
      </c>
      <c r="R22" s="8" t="inlineStr">
        <is>
          <t>Cerrado; no va a pendientes</t>
        </is>
      </c>
      <c r="S22" s="8" t="inlineStr">
        <is>
          <t>QR en Transacciones, Banco y Flexxus</t>
        </is>
      </c>
    </row>
    <row r="23">
      <c r="A23" s="8" t="inlineStr">
        <is>
          <t>29/04/2026</t>
        </is>
      </c>
      <c r="B23" s="8" t="inlineStr">
        <is>
          <t>Completa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69443515</t>
        </is>
      </c>
      <c r="F23" s="8" t="inlineStr">
        <is>
          <t>1371</t>
        </is>
      </c>
      <c r="G23" s="9" t="n">
        <v>90200</v>
      </c>
      <c r="H23" s="9" t="n">
        <v>89326.86</v>
      </c>
      <c r="I23" s="8" t="inlineStr">
        <is>
          <t>Sí</t>
        </is>
      </c>
      <c r="J23" s="8" t="inlineStr">
        <is>
          <t>29/04/2026</t>
        </is>
      </c>
      <c r="K23" s="8" t="inlineStr">
        <is>
          <t>109467</t>
        </is>
      </c>
      <c r="L23" s="9" t="n">
        <v>89326.86</v>
      </c>
      <c r="M23" s="8" t="inlineStr">
        <is>
          <t>Sí</t>
        </is>
      </c>
      <c r="N23" s="8" t="inlineStr">
        <is>
          <t>29/04/2026</t>
        </is>
      </c>
      <c r="O23" s="8" t="inlineStr">
        <is>
          <t>2300014294</t>
        </is>
      </c>
      <c r="P23" s="9" t="n">
        <v>89326.86</v>
      </c>
      <c r="Q23" s="8" t="inlineStr">
        <is>
          <t>CERRADO</t>
        </is>
      </c>
      <c r="R23" s="8" t="inlineStr">
        <is>
          <t>Cerrado; no va a pendientes</t>
        </is>
      </c>
      <c r="S23" s="8" t="inlineStr">
        <is>
          <t>QR en Transacciones, Banco y Flexxus</t>
        </is>
      </c>
    </row>
    <row r="24">
      <c r="A24" s="8" t="inlineStr">
        <is>
          <t>29/04/2026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9999</t>
        </is>
      </c>
      <c r="G24" s="9" t="n">
        <v>96000</v>
      </c>
      <c r="H24" s="9" t="n">
        <v>95070.72</v>
      </c>
      <c r="I24" s="8" t="inlineStr">
        <is>
          <t>Sí</t>
        </is>
      </c>
      <c r="J24" s="8" t="inlineStr">
        <is>
          <t>29/04/2026</t>
        </is>
      </c>
      <c r="K24" s="8" t="inlineStr">
        <is>
          <t>109426</t>
        </is>
      </c>
      <c r="L24" s="9" t="n">
        <v>95070.72</v>
      </c>
      <c r="M24" s="8" t="inlineStr">
        <is>
          <t>Sí</t>
        </is>
      </c>
      <c r="N24" s="8" t="inlineStr">
        <is>
          <t>29/04/2026</t>
        </is>
      </c>
      <c r="O24" s="8" t="inlineStr">
        <is>
          <t>1900043024</t>
        </is>
      </c>
      <c r="P24" s="9" t="n">
        <v>95070.72</v>
      </c>
      <c r="Q24" s="8" t="inlineStr">
        <is>
          <t>CERRADO</t>
        </is>
      </c>
      <c r="R24" s="8" t="inlineStr">
        <is>
          <t>Cerrado; no va a pendientes</t>
        </is>
      </c>
      <c r="S24" s="8" t="inlineStr">
        <is>
          <t>QR en Transacciones, Banco y Flexxus</t>
        </is>
      </c>
    </row>
  </sheetData>
  <autoFilter ref="A1:S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29/04/2026</t>
        </is>
      </c>
      <c r="B2" s="8" t="inlineStr">
        <is>
          <t>342655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102517.46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29/04/2026</t>
        </is>
      </c>
      <c r="B3" s="8" t="inlineStr">
        <is>
          <t>343206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38528.1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29/04/2026</t>
        </is>
      </c>
      <c r="B4" s="8" t="inlineStr">
        <is>
          <t>342638</t>
        </is>
      </c>
      <c r="C4" s="8" t="inlineStr">
        <is>
          <t>29841670</t>
        </is>
      </c>
      <c r="D4" s="8" t="inlineStr">
        <is>
          <t>Local 5</t>
        </is>
      </c>
      <c r="E4" s="8" t="inlineStr">
        <is>
          <t>Mastercard Crédito</t>
        </is>
      </c>
      <c r="F4" s="9" t="n">
        <v>37954.94</v>
      </c>
      <c r="G4" s="8" t="inlineStr">
        <is>
          <t>No</t>
        </is>
      </c>
      <c r="H4" s="8" t="inlineStr">
        <is>
          <t>Revisar</t>
        </is>
      </c>
    </row>
    <row r="5">
      <c r="A5" s="8" t="inlineStr">
        <is>
          <t>29/04/2026</t>
        </is>
      </c>
      <c r="B5" s="8" t="inlineStr">
        <is>
          <t>343118</t>
        </is>
      </c>
      <c r="C5" s="8" t="inlineStr">
        <is>
          <t>29841670</t>
        </is>
      </c>
      <c r="D5" s="8" t="inlineStr">
        <is>
          <t>Local 5</t>
        </is>
      </c>
      <c r="E5" s="8" t="inlineStr">
        <is>
          <t>Mastercard Crédito</t>
        </is>
      </c>
      <c r="F5" s="9" t="n">
        <v>-64.8</v>
      </c>
      <c r="G5" s="8" t="inlineStr">
        <is>
          <t>No</t>
        </is>
      </c>
      <c r="H5" s="8" t="inlineStr">
        <is>
          <t>Revisar</t>
        </is>
      </c>
    </row>
    <row r="6">
      <c r="A6" s="8" t="inlineStr">
        <is>
          <t>29/04/2026</t>
        </is>
      </c>
      <c r="B6" s="8" t="inlineStr">
        <is>
          <t>343184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Mastercard Debit</t>
        </is>
      </c>
      <c r="F6" s="9" t="n">
        <v>46826.46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29/04/2026</t>
        </is>
      </c>
      <c r="B7" s="8" t="inlineStr">
        <is>
          <t>342639</t>
        </is>
      </c>
      <c r="C7" s="8" t="inlineStr">
        <is>
          <t>29841683</t>
        </is>
      </c>
      <c r="D7" s="8" t="inlineStr">
        <is>
          <t>Local 3</t>
        </is>
      </c>
      <c r="E7" s="8" t="inlineStr">
        <is>
          <t>Mastercard Crédito</t>
        </is>
      </c>
      <c r="F7" s="9" t="n">
        <v>4401.99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29/04/2026</t>
        </is>
      </c>
      <c r="B8" s="8" t="inlineStr">
        <is>
          <t>342656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Visa Crédito</t>
        </is>
      </c>
      <c r="F8" s="9" t="n">
        <v>5957.36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29/04/2026</t>
        </is>
      </c>
      <c r="B9" s="8" t="inlineStr">
        <is>
          <t>342668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Amex</t>
        </is>
      </c>
      <c r="F9" s="9" t="n">
        <v>21528.45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29/04/2026</t>
        </is>
      </c>
      <c r="B10" s="8" t="inlineStr">
        <is>
          <t>343185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12348.75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29/04/2026</t>
        </is>
      </c>
      <c r="B11" s="8" t="inlineStr">
        <is>
          <t>343207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Visa Débito</t>
        </is>
      </c>
      <c r="F11" s="9" t="n">
        <v>22326.54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29/04/2026</t>
        </is>
      </c>
      <c r="B12" s="8" t="inlineStr">
        <is>
          <t>343223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Mastercard Crédito</t>
        </is>
      </c>
      <c r="F12" s="9" t="n">
        <v>90778.82000000001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29/04/2026</t>
        </is>
      </c>
      <c r="B13" s="8" t="inlineStr">
        <is>
          <t>342640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Mastercard Crédito</t>
        </is>
      </c>
      <c r="F13" s="9" t="n">
        <v>25433.72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29/04/2026</t>
        </is>
      </c>
      <c r="B14" s="8" t="inlineStr">
        <is>
          <t>342657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Visa Crédito</t>
        </is>
      </c>
      <c r="F14" s="9" t="n">
        <v>101245.77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29/04/2026</t>
        </is>
      </c>
      <c r="B15" s="8" t="inlineStr">
        <is>
          <t>343119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-172.61</v>
      </c>
      <c r="G15" s="8" t="inlineStr">
        <is>
          <t>No</t>
        </is>
      </c>
      <c r="H15" s="8" t="inlineStr">
        <is>
          <t>Revisar</t>
        </is>
      </c>
    </row>
    <row r="16">
      <c r="A16" s="8" t="inlineStr">
        <is>
          <t>29/04/2026</t>
        </is>
      </c>
      <c r="B16" s="8" t="inlineStr">
        <is>
          <t>343186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Debit</t>
        </is>
      </c>
      <c r="F16" s="9" t="n">
        <v>13336.65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29/04/2026</t>
        </is>
      </c>
      <c r="B17" s="8" t="inlineStr">
        <is>
          <t>343208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Visa Débito</t>
        </is>
      </c>
      <c r="F17" s="9" t="n">
        <v>48407.1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29/04/2026</t>
        </is>
      </c>
      <c r="B18" s="8" t="inlineStr">
        <is>
          <t>341405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Mastercard Crédito</t>
        </is>
      </c>
      <c r="F18" s="9" t="n">
        <v>37172.36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29/04/2026</t>
        </is>
      </c>
      <c r="B19" s="8" t="inlineStr">
        <is>
          <t>341422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Visa Crédito</t>
        </is>
      </c>
      <c r="F19" s="9" t="n">
        <v>250774.92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29/04/2026</t>
        </is>
      </c>
      <c r="B20" s="8" t="inlineStr">
        <is>
          <t>342646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58223.65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29/04/2026</t>
        </is>
      </c>
      <c r="B21" s="8" t="inlineStr">
        <is>
          <t>342662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882649.51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29/04/2026</t>
        </is>
      </c>
      <c r="B22" s="8" t="inlineStr">
        <is>
          <t>342671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Amex</t>
        </is>
      </c>
      <c r="F22" s="9" t="n">
        <v>80523.89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29/04/2026</t>
        </is>
      </c>
      <c r="B23" s="8" t="inlineStr">
        <is>
          <t>343233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226952.12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29/04/2026</t>
        </is>
      </c>
      <c r="B24" s="8" t="inlineStr">
        <is>
          <t>343263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Visa Crédito</t>
        </is>
      </c>
      <c r="F24" s="9" t="n">
        <v>71410.06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29/04/2026</t>
        </is>
      </c>
      <c r="B25" s="8" t="inlineStr">
        <is>
          <t>341406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102517.46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29/04/2026</t>
        </is>
      </c>
      <c r="B26" s="8" t="inlineStr">
        <is>
          <t>342663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222128.9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29/04/2026</t>
        </is>
      </c>
      <c r="B27" s="8" t="inlineStr">
        <is>
          <t>343127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Mastercard Crédito</t>
        </is>
      </c>
      <c r="F27" s="9" t="n">
        <v>-690.62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29/04/2026</t>
        </is>
      </c>
      <c r="B28" s="8" t="inlineStr">
        <is>
          <t>343217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Visa Débito</t>
        </is>
      </c>
      <c r="F28" s="9" t="n">
        <v>308921.28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29/04/2026</t>
        </is>
      </c>
      <c r="B29" s="8" t="inlineStr">
        <is>
          <t>343234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54095.57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29/04/2026</t>
        </is>
      </c>
      <c r="B30" s="8" t="inlineStr">
        <is>
          <t>343264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129347.07</v>
      </c>
      <c r="G30" s="8" t="inlineStr">
        <is>
          <t>Sí</t>
        </is>
      </c>
      <c r="H30" s="8" t="inlineStr">
        <is>
          <t>OK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657</v>
      </c>
      <c r="C5" s="9" t="n">
        <v>2157710.66</v>
      </c>
      <c r="D5" s="9" t="n">
        <v>0</v>
      </c>
      <c r="E5" s="9" t="n">
        <v>0</v>
      </c>
      <c r="F5" s="9" t="n">
        <v>2157710.66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2</t>
        </is>
      </c>
      <c r="B6" s="8" t="n">
        <v>1</v>
      </c>
      <c r="C6" s="9" t="n">
        <v>38886.97</v>
      </c>
      <c r="D6" s="9" t="n">
        <v>0</v>
      </c>
      <c r="E6" s="9" t="n">
        <v>38886.97</v>
      </c>
      <c r="F6" s="9" t="n">
        <v>0</v>
      </c>
      <c r="G6" s="8" t="inlineStr">
        <is>
          <t>PAV</t>
        </is>
      </c>
      <c r="H6" s="11" t="inlineStr">
        <is>
          <t>BAJA</t>
        </is>
      </c>
      <c r="I6" s="8" t="inlineStr">
        <is>
          <t>Local 2: verificar PAV/ventas cargadas en Flexxus pendientes de acreditación bancaria.</t>
        </is>
      </c>
    </row>
    <row r="7">
      <c r="A7" s="8" t="inlineStr">
        <is>
          <t>Local 5</t>
        </is>
      </c>
      <c r="B7" s="8" t="n">
        <v>9</v>
      </c>
      <c r="C7" s="9" t="n">
        <v>1069931</v>
      </c>
      <c r="D7" s="9" t="n">
        <v>1069931</v>
      </c>
      <c r="E7" s="9" t="n">
        <v>0</v>
      </c>
      <c r="F7" s="9" t="n">
        <v>0</v>
      </c>
      <c r="G7" s="8" t="inlineStr">
        <is>
          <t>Liquidación tarjeta</t>
        </is>
      </c>
      <c r="H7" s="10" t="inlineStr">
        <is>
          <t>ALTA</t>
        </is>
      </c>
      <c r="I7" s="8" t="inlineStr">
        <is>
          <t>Local 5: revisar carga pendiente en Flexxus por ingresos bancarios no registrados y cierre administrativo.</t>
        </is>
      </c>
    </row>
    <row r="8">
      <c r="A8" s="8" t="inlineStr">
        <is>
          <t>Local 6</t>
        </is>
      </c>
      <c r="B8" s="8" t="n">
        <v>1</v>
      </c>
      <c r="C8" s="9" t="n">
        <v>14854.8</v>
      </c>
      <c r="D8" s="9" t="n">
        <v>14854.8</v>
      </c>
      <c r="E8" s="9" t="n">
        <v>0</v>
      </c>
      <c r="F8" s="9" t="n">
        <v>0</v>
      </c>
      <c r="G8" s="8" t="inlineStr">
        <is>
          <t>QR / CR DEBIN SPOT</t>
        </is>
      </c>
      <c r="H8" s="11" t="inlineStr">
        <is>
          <t>BAJA</t>
        </is>
      </c>
      <c r="I8" s="8" t="inlineStr">
        <is>
          <t>Local 6: revisar carga pendiente en Flexxus por ingresos bancarios no registrados y cierre administrativo.</t>
        </is>
      </c>
    </row>
    <row r="9">
      <c r="A9" s="8" t="inlineStr">
        <is>
          <t>Local 8</t>
        </is>
      </c>
      <c r="B9" s="8" t="n">
        <v>4</v>
      </c>
      <c r="C9" s="9" t="n">
        <v>609184.02</v>
      </c>
      <c r="D9" s="9" t="n">
        <v>609184.02</v>
      </c>
      <c r="E9" s="9" t="n">
        <v>0</v>
      </c>
      <c r="F9" s="9" t="n">
        <v>0</v>
      </c>
      <c r="G9" s="8" t="inlineStr">
        <is>
          <t>Liquidación tarjeta</t>
        </is>
      </c>
      <c r="H9" s="10" t="inlineStr">
        <is>
          <t>ALTA</t>
        </is>
      </c>
      <c r="I9" s="8" t="inlineStr">
        <is>
          <t>Local 8: revisar carga pendiente en Flexxus por ingresos bancarios no registrados y cierre administrativo.</t>
        </is>
      </c>
    </row>
    <row r="10">
      <c r="A10" s="8" t="inlineStr">
        <is>
          <t>No identificado</t>
        </is>
      </c>
      <c r="B10" s="8" t="n">
        <v>38</v>
      </c>
      <c r="C10" s="9" t="n">
        <v>708919.26</v>
      </c>
      <c r="D10" s="9" t="n">
        <v>640453.9400000001</v>
      </c>
      <c r="E10" s="9" t="n">
        <v>68461.47</v>
      </c>
      <c r="F10" s="9" t="n">
        <v>3.85</v>
      </c>
      <c r="G10" s="8" t="inlineStr">
        <is>
          <t>QR / CR DEBIN SPOT</t>
        </is>
      </c>
      <c r="H10" s="10" t="inlineStr">
        <is>
          <t>ALTA</t>
        </is>
      </c>
      <c r="I10" s="8" t="inlineStr">
        <is>
          <t>Identificar origen/local de movimientos bancarios no registrados antes del cierre.</t>
        </is>
      </c>
    </row>
    <row r="11"/>
    <row r="12"/>
    <row r="13">
      <c r="A13" s="6" t="inlineStr">
        <is>
          <t>Detalle de hallazgos por local</t>
        </is>
      </c>
    </row>
    <row r="14">
      <c r="A14" s="7" t="inlineStr">
        <is>
          <t>Local</t>
        </is>
      </c>
      <c r="B14" s="7" t="inlineStr">
        <is>
          <t>Bloque</t>
        </is>
      </c>
      <c r="C14" s="7" t="inlineStr">
        <is>
          <t>Categoría</t>
        </is>
      </c>
      <c r="D14" s="7" t="inlineStr">
        <is>
          <t>Importe</t>
        </is>
      </c>
      <c r="E14" s="7" t="inlineStr">
        <is>
          <t>Estado trazabilidad</t>
        </is>
      </c>
      <c r="F14" s="7" t="inlineStr">
        <is>
          <t>Origen detectado</t>
        </is>
      </c>
      <c r="G14" s="7" t="inlineStr">
        <is>
          <t>Acción sugerida</t>
        </is>
      </c>
    </row>
    <row r="15">
      <c r="A15" s="8" t="inlineStr">
        <is>
          <t>Administración/Banco</t>
        </is>
      </c>
      <c r="B15" s="8" t="inlineStr">
        <is>
          <t>Banco egreso no Flexxus</t>
        </is>
      </c>
      <c r="C15" s="8" t="inlineStr">
        <is>
          <t>Anticipo Ganancias Ley 25.413 créditos</t>
        </is>
      </c>
      <c r="D15" s="9" t="n">
        <v>17011.1</v>
      </c>
      <c r="E15" s="8" t="inlineStr">
        <is>
          <t>ABIERTO</t>
        </is>
      </c>
      <c r="F15" s="8" t="inlineStr">
        <is>
          <t>Banco / impuesto / gasto</t>
        </is>
      </c>
      <c r="G15" s="8" t="inlineStr">
        <is>
          <t>Copiar en Flexxus: Tipo=MB-EXT | Movimiento=GRAVAMEN LEY 25.413 S/CRED | Monto=17.011,10 | Fecha: 27/04/2026</t>
        </is>
      </c>
    </row>
    <row r="16">
      <c r="A16" s="8" t="inlineStr">
        <is>
          <t>Administración/Banco</t>
        </is>
      </c>
      <c r="B16" s="8" t="inlineStr">
        <is>
          <t>Banco egreso no Flexxus</t>
        </is>
      </c>
      <c r="C16" s="8" t="inlineStr">
        <is>
          <t>Anticipo Ganancias Ley 25.413 créditos</t>
        </is>
      </c>
      <c r="D16" s="9" t="n">
        <v>12270.14</v>
      </c>
      <c r="E16" s="8" t="inlineStr">
        <is>
          <t>ABIERTO</t>
        </is>
      </c>
      <c r="F16" s="8" t="inlineStr">
        <is>
          <t>Banco / impuesto / gasto</t>
        </is>
      </c>
      <c r="G16" s="8" t="inlineStr">
        <is>
          <t>Copiar en Flexxus: Tipo=MB-EXT | Movimiento=GRAVAMEN LEY 25.413 S/CRED | Monto=12.270,14 | Fecha: 28/04/2026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6414.56</v>
      </c>
      <c r="E17" s="8" t="inlineStr">
        <is>
          <t>ABIERTO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Monto=6.414,56 | Fecha: 28/04/2026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5024.02</v>
      </c>
      <c r="E18" s="8" t="inlineStr">
        <is>
          <t>ABIERTO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Monto=5.024,02 | Fecha: 28/04/2026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3885.71</v>
      </c>
      <c r="E19" s="8" t="inlineStr">
        <is>
          <t>ABIERTO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Monto=3.885,71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3567.8</v>
      </c>
      <c r="E20" s="8" t="inlineStr">
        <is>
          <t>ABIERTO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Monto=3.567,80 | Fecha: 28/04/2026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3164.75</v>
      </c>
      <c r="E21" s="8" t="inlineStr">
        <is>
          <t>ABIERTO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Monto=3.164,75 | Fecha: 28/04/2026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3104.42</v>
      </c>
      <c r="E22" s="8" t="inlineStr">
        <is>
          <t>ABIERTO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Monto=3.104,42 | Fecha: 28/04/2026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2853.83</v>
      </c>
      <c r="E23" s="8" t="inlineStr">
        <is>
          <t>ABIERTO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Monto=2.853,83 | Fecha: 28/04/2026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2851.7</v>
      </c>
      <c r="E24" s="8" t="inlineStr">
        <is>
          <t>ABIERTO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Monto=2.851,70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2831.56</v>
      </c>
      <c r="E25" s="8" t="inlineStr">
        <is>
          <t>ABIERTO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Monto=2.831,56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2720.69</v>
      </c>
      <c r="E26" s="8" t="inlineStr">
        <is>
          <t>ABIERTO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Monto=2.720,69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2587.12</v>
      </c>
      <c r="E27" s="8" t="inlineStr">
        <is>
          <t>ABIERTO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Monto=2.587,12 | Fecha: 28/04/2026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2158.11</v>
      </c>
      <c r="E28" s="8" t="inlineStr">
        <is>
          <t>ABIERTO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Monto=2.158,11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1771.56</v>
      </c>
      <c r="E29" s="8" t="inlineStr">
        <is>
          <t>ABIERTO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Monto=1.771,56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1669.24</v>
      </c>
      <c r="E30" s="8" t="inlineStr">
        <is>
          <t>ABIERTO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Monto=1.669,24 | Fecha: 28/04/2026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1647.91</v>
      </c>
      <c r="E31" s="8" t="inlineStr">
        <is>
          <t>ABIERTO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Monto=1.647,91 | Fecha: 28/04/2026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1643.85</v>
      </c>
      <c r="E32" s="8" t="inlineStr">
        <is>
          <t>ABIERTO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Monto=1.643,85 | Fecha: 28/04/2026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1149.32</v>
      </c>
      <c r="E33" s="8" t="inlineStr">
        <is>
          <t>ABIERTO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Monto=1.149,32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929.77</v>
      </c>
      <c r="E34" s="8" t="inlineStr">
        <is>
          <t>ABIERTO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Monto=929,77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912.1799999999999</v>
      </c>
      <c r="E35" s="8" t="inlineStr">
        <is>
          <t>ABIERTO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Monto=912,18 | Fecha: 28/04/2026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901.5599999999999</v>
      </c>
      <c r="E36" s="8" t="inlineStr">
        <is>
          <t>ABIERTO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Monto=901,56 | Fecha: 28/04/2026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896.64</v>
      </c>
      <c r="E37" s="8" t="inlineStr">
        <is>
          <t>ABIERTO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Monto=896,64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841.2</v>
      </c>
      <c r="E38" s="8" t="inlineStr">
        <is>
          <t>ABIERTO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Monto=841,20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824.5</v>
      </c>
      <c r="E39" s="8" t="inlineStr">
        <is>
          <t>ABIERTO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Monto=824,50 | Fecha: 28/04/2026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813.63</v>
      </c>
      <c r="E40" s="8" t="inlineStr">
        <is>
          <t>ABIERTO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Monto=813,63 | Fecha: 28/04/2026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799.61</v>
      </c>
      <c r="E41" s="8" t="inlineStr">
        <is>
          <t>ABIERTO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Monto=799,61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753.2</v>
      </c>
      <c r="E42" s="8" t="inlineStr">
        <is>
          <t>ABIERTO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Monto=753,20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728.48</v>
      </c>
      <c r="E43" s="8" t="inlineStr">
        <is>
          <t>ABIERTO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Monto=728,48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696.47</v>
      </c>
      <c r="E44" s="8" t="inlineStr">
        <is>
          <t>ABIERTO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Monto=696,47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689.36</v>
      </c>
      <c r="E45" s="8" t="inlineStr">
        <is>
          <t>ABIERTO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Monto=689,36 | Fecha: 28/04/2026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682.13</v>
      </c>
      <c r="E46" s="8" t="inlineStr">
        <is>
          <t>ABIERTO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Monto=682,13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679.28</v>
      </c>
      <c r="E47" s="8" t="inlineStr">
        <is>
          <t>ABIERTO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Monto=679,28 | Fecha: 28/04/2026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660.33</v>
      </c>
      <c r="E48" s="8" t="inlineStr">
        <is>
          <t>ABIERTO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Monto=660,33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655.99</v>
      </c>
      <c r="E49" s="8" t="inlineStr">
        <is>
          <t>ABIERTO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Monto=655,99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639.65</v>
      </c>
      <c r="E50" s="8" t="inlineStr">
        <is>
          <t>ABIERTO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Monto=639,65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607.86</v>
      </c>
      <c r="E51" s="8" t="inlineStr">
        <is>
          <t>ABIERTO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Monto=607,86 | Fecha: 28/04/2026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592.8</v>
      </c>
      <c r="E52" s="8" t="inlineStr">
        <is>
          <t>ABIERTO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Monto=592,80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564.48</v>
      </c>
      <c r="E53" s="8" t="inlineStr">
        <is>
          <t>ABIERTO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Monto=564,48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522.96</v>
      </c>
      <c r="E54" s="8" t="inlineStr">
        <is>
          <t>ABIERTO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Monto=522,96 | Fecha: 28/04/2026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512.13</v>
      </c>
      <c r="E55" s="8" t="inlineStr">
        <is>
          <t>ABIERTO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Monto=512,13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510.04</v>
      </c>
      <c r="E56" s="8" t="inlineStr">
        <is>
          <t>ABIERTO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Monto=510,04 | Fecha: 28/04/2026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508.87</v>
      </c>
      <c r="E57" s="8" t="inlineStr">
        <is>
          <t>ABIERTO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Monto=508,87 | Fecha: 28/04/2026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506.25</v>
      </c>
      <c r="E58" s="8" t="inlineStr">
        <is>
          <t>ABIERTO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Monto=506,25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478.32</v>
      </c>
      <c r="E59" s="8" t="inlineStr">
        <is>
          <t>ABIERTO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Monto=478,32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468.22</v>
      </c>
      <c r="E60" s="8" t="inlineStr">
        <is>
          <t>ABIERTO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Monto=468,22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456.94</v>
      </c>
      <c r="E61" s="8" t="inlineStr">
        <is>
          <t>ABIERTO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Monto=456,94 | Fecha: 28/04/2026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454.56</v>
      </c>
      <c r="E62" s="8" t="inlineStr">
        <is>
          <t>ABIERTO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Monto=454,56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453.37</v>
      </c>
      <c r="E63" s="8" t="inlineStr">
        <is>
          <t>ABIERTO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Monto=453,37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437.33</v>
      </c>
      <c r="E64" s="8" t="inlineStr">
        <is>
          <t>ABIERTO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Monto=437,33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436.97</v>
      </c>
      <c r="E65" s="8" t="inlineStr">
        <is>
          <t>ABIERTO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Monto=436,97 | Fecha: 28/04/2026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434.95</v>
      </c>
      <c r="E66" s="8" t="inlineStr">
        <is>
          <t>ABIERTO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Monto=434,95 | Fecha: 28/04/2026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419.5</v>
      </c>
      <c r="E67" s="8" t="inlineStr">
        <is>
          <t>ABIERTO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Monto=419,50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417.12</v>
      </c>
      <c r="E68" s="8" t="inlineStr">
        <is>
          <t>ABIERTO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Monto=417,12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413.2</v>
      </c>
      <c r="E69" s="8" t="inlineStr">
        <is>
          <t>ABIERTO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Monto=413,20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402.27</v>
      </c>
      <c r="E70" s="8" t="inlineStr">
        <is>
          <t>ABIERTO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Monto=402,27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395.73</v>
      </c>
      <c r="E71" s="8" t="inlineStr">
        <is>
          <t>ABIERTO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Monto=395,73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387.41</v>
      </c>
      <c r="E72" s="8" t="inlineStr">
        <is>
          <t>ABIERTO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Monto=387,41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378.5</v>
      </c>
      <c r="E73" s="8" t="inlineStr">
        <is>
          <t>ABIERTO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Monto=378,50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376.12</v>
      </c>
      <c r="E74" s="8" t="inlineStr">
        <is>
          <t>ABIERTO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Monto=376,12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375.64</v>
      </c>
      <c r="E75" s="8" t="inlineStr">
        <is>
          <t>ABIERTO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Monto=375,64 | Fecha: 28/04/2026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365.43</v>
      </c>
      <c r="E76" s="8" t="inlineStr">
        <is>
          <t>ABIERTO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Monto=365,43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360.08</v>
      </c>
      <c r="E77" s="8" t="inlineStr">
        <is>
          <t>ABIERTO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Monto=360,08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356.27</v>
      </c>
      <c r="E78" s="8" t="inlineStr">
        <is>
          <t>ABIERTO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Monto=356,27 | Fecha: 28/04/2026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347.01</v>
      </c>
      <c r="E79" s="8" t="inlineStr">
        <is>
          <t>ABIERTO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Monto=347,01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345.82</v>
      </c>
      <c r="E80" s="8" t="inlineStr">
        <is>
          <t>ABIERTO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Monto=345,82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329.78</v>
      </c>
      <c r="E81" s="8" t="inlineStr">
        <is>
          <t>ABIERTO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Monto=329,78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325.84</v>
      </c>
      <c r="E82" s="8" t="inlineStr">
        <is>
          <t>ABIERTO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Monto=325,84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316.94</v>
      </c>
      <c r="E83" s="8" t="inlineStr">
        <is>
          <t>ABIERTO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Monto=316,94 | Fecha: 28/04/2026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314.92</v>
      </c>
      <c r="E84" s="8" t="inlineStr">
        <is>
          <t>ABIERTO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Monto=314,92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307.79</v>
      </c>
      <c r="E85" s="8" t="inlineStr">
        <is>
          <t>ABIERTO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Monto=307,79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303.63</v>
      </c>
      <c r="E86" s="8" t="inlineStr">
        <is>
          <t>ABIERTO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Monto=303,63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297.1</v>
      </c>
      <c r="E87" s="8" t="inlineStr">
        <is>
          <t>ABIERTO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Monto=297,10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286.99</v>
      </c>
      <c r="E88" s="8" t="inlineStr">
        <is>
          <t>ABIERTO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Monto=286,99 | Fecha: 28/04/2026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278.59</v>
      </c>
      <c r="E89" s="8" t="inlineStr">
        <is>
          <t>ABIERTO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Monto=278,59 | Fecha: 28/04/2026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275.71</v>
      </c>
      <c r="E90" s="8" t="inlineStr">
        <is>
          <t>ABIERTO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Monto=275,71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272.73</v>
      </c>
      <c r="E91" s="8" t="inlineStr">
        <is>
          <t>ABIERTO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Monto=272,73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262.88</v>
      </c>
      <c r="E92" s="8" t="inlineStr">
        <is>
          <t>ABIERTO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Monto=262,88 | Fecha: 28/04/2026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260.26</v>
      </c>
      <c r="E93" s="8" t="inlineStr">
        <is>
          <t>ABIERTO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Monto=260,26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257.88</v>
      </c>
      <c r="E94" s="8" t="inlineStr">
        <is>
          <t>ABIERTO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Monto=257,88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243.62</v>
      </c>
      <c r="E95" s="8" t="inlineStr">
        <is>
          <t>ABIERTO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Monto=243,62 | Fecha: 28/04/2026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243.62</v>
      </c>
      <c r="E96" s="8" t="inlineStr">
        <is>
          <t>ABIERTO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Monto=243,62 | Fecha: 28/04/2026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240.65</v>
      </c>
      <c r="E97" s="8" t="inlineStr">
        <is>
          <t>ABIERTO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Monto=240,65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238.29</v>
      </c>
      <c r="E98" s="8" t="inlineStr">
        <is>
          <t>ABIERTO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Monto=238,29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232.92</v>
      </c>
      <c r="E99" s="8" t="inlineStr">
        <is>
          <t>ABIERTO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Monto=232,92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232.33</v>
      </c>
      <c r="E100" s="8" t="inlineStr">
        <is>
          <t>ABIERTO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Monto=232,33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228.76</v>
      </c>
      <c r="E101" s="8" t="inlineStr">
        <is>
          <t>ABIERTO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Monto=228,76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216.88</v>
      </c>
      <c r="E102" s="8" t="inlineStr">
        <is>
          <t>ABIERTO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Monto=216,88 | Fecha: 28/04/2026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211.3</v>
      </c>
      <c r="E103" s="8" t="inlineStr">
        <is>
          <t>ABIERTO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Monto=211,30 | Fecha: 28/04/2026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206.78</v>
      </c>
      <c r="E104" s="8" t="inlineStr">
        <is>
          <t>ABIERTO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Monto=206,78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205</v>
      </c>
      <c r="E105" s="8" t="inlineStr">
        <is>
          <t>ABIERTO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Monto=205,00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205</v>
      </c>
      <c r="E106" s="8" t="inlineStr">
        <is>
          <t>ABIERTO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Monto=205,00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202.03</v>
      </c>
      <c r="E107" s="8" t="inlineStr">
        <is>
          <t>ABIERTO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Monto=202,03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199.05</v>
      </c>
      <c r="E108" s="8" t="inlineStr">
        <is>
          <t>ABIERTO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Monto=199,05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199.05</v>
      </c>
      <c r="E109" s="8" t="inlineStr">
        <is>
          <t>ABIERTO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Monto=199,05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195.6</v>
      </c>
      <c r="E110" s="8" t="inlineStr">
        <is>
          <t>ABIERTO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Monto=195,60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194.9</v>
      </c>
      <c r="E111" s="8" t="inlineStr">
        <is>
          <t>ABIERTO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Monto=194,90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192.52</v>
      </c>
      <c r="E112" s="8" t="inlineStr">
        <is>
          <t>ABIERTO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Monto=192,52 | Fecha: 28/04/2026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192.51</v>
      </c>
      <c r="E113" s="8" t="inlineStr">
        <is>
          <t>ABIERTO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Monto=192,51 | Fecha: 28/04/2026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190.17</v>
      </c>
      <c r="E114" s="8" t="inlineStr">
        <is>
          <t>ABIERTO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Monto=190,17 | Fecha: 28/04/2026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189.25</v>
      </c>
      <c r="E115" s="8" t="inlineStr">
        <is>
          <t>ABIERTO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Monto=189,25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180.19</v>
      </c>
      <c r="E116" s="8" t="inlineStr">
        <is>
          <t>ABIERTO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Monto=180,19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172.32</v>
      </c>
      <c r="E117" s="8" t="inlineStr">
        <is>
          <t>ABIERTO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Monto=172,32 | Fecha: 28/04/2026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168.16</v>
      </c>
      <c r="E118" s="8" t="inlineStr">
        <is>
          <t>ABIERTO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Monto=168,16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165.78</v>
      </c>
      <c r="E119" s="8" t="inlineStr">
        <is>
          <t>ABIERTO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Monto=165,78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163.17</v>
      </c>
      <c r="E120" s="8" t="inlineStr">
        <is>
          <t>ABIERTO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Monto=163,17 | Fecha: 28/04/2026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161.03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Monto=161,03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160.43</v>
      </c>
      <c r="E122" s="8" t="inlineStr">
        <is>
          <t>ABIERTO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Monto=160,43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160.43</v>
      </c>
      <c r="E123" s="8" t="inlineStr">
        <is>
          <t>ABIERTO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Monto=160,43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160.43</v>
      </c>
      <c r="E124" s="8" t="inlineStr">
        <is>
          <t>ABIERTO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Monto=160,43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160.43</v>
      </c>
      <c r="E125" s="8" t="inlineStr">
        <is>
          <t>ABIERTO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Monto=160,43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153.3</v>
      </c>
      <c r="E126" s="8" t="inlineStr">
        <is>
          <t>ABIERTO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Monto=153,30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148.55</v>
      </c>
      <c r="E127" s="8" t="inlineStr">
        <is>
          <t>ABIERTO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Monto=148,55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148.55</v>
      </c>
      <c r="E128" s="8" t="inlineStr">
        <is>
          <t>ABIERTO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Monto=148,55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148.55</v>
      </c>
      <c r="E129" s="8" t="inlineStr">
        <is>
          <t>ABIERTO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Monto=148,55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147.36</v>
      </c>
      <c r="E130" s="8" t="inlineStr">
        <is>
          <t>ABIERTO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Monto=147,36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146.17</v>
      </c>
      <c r="E131" s="8" t="inlineStr">
        <is>
          <t>ABIERTO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Monto=146,17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145.58</v>
      </c>
      <c r="E132" s="8" t="inlineStr">
        <is>
          <t>ABIERTO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Monto=145,58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142.61</v>
      </c>
      <c r="E133" s="8" t="inlineStr">
        <is>
          <t>ABIERTO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Monto=142,61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142.61</v>
      </c>
      <c r="E134" s="8" t="inlineStr">
        <is>
          <t>ABIERTO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Monto=142,61 | Fecha: 27/04/2026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140.86</v>
      </c>
      <c r="E135" s="8" t="inlineStr">
        <is>
          <t>ABIERTO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Monto=140,86 | Fecha: 27/04/2026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137.26</v>
      </c>
      <c r="E136" s="8" t="inlineStr">
        <is>
          <t>ABIERTO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Monto=137,26 | Fecha: 27/04/2026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136.66</v>
      </c>
      <c r="E137" s="8" t="inlineStr">
        <is>
          <t>ABIERTO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Monto=136,66 | Fecha: 27/04/2026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136.66</v>
      </c>
      <c r="E138" s="8" t="inlineStr">
        <is>
          <t>ABIERTO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Monto=136,66 | Fecha: 27/04/2026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128.35</v>
      </c>
      <c r="E139" s="8" t="inlineStr">
        <is>
          <t>ABIERTO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Monto=128,35 | Fecha: 28/04/2026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126.56</v>
      </c>
      <c r="E140" s="8" t="inlineStr">
        <is>
          <t>ABIERTO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Monto=126,56 | Fecha: 28/04/2026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113.49</v>
      </c>
      <c r="E141" s="8" t="inlineStr">
        <is>
          <t>ABIERTO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Monto=113,49 | Fecha: 27/04/2026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113.28</v>
      </c>
      <c r="E142" s="8" t="inlineStr">
        <is>
          <t>ABIERTO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Monto=113,28 | Fecha: 27/04/2026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99.81999999999999</v>
      </c>
      <c r="E143" s="8" t="inlineStr">
        <is>
          <t>ABIERTO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Monto=99,82 | Fecha: 27/04/2026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89.13</v>
      </c>
      <c r="E144" s="8" t="inlineStr">
        <is>
          <t>ABIERTO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Monto=89,13 | Fecha: 27/04/2026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87.94</v>
      </c>
      <c r="E145" s="8" t="inlineStr">
        <is>
          <t>ABIERTO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Monto=87,94 | Fecha: 27/04/2026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80.22</v>
      </c>
      <c r="E146" s="8" t="inlineStr">
        <is>
          <t>ABIERTO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Monto=80,22 | Fecha: 27/04/2026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80.22</v>
      </c>
      <c r="E147" s="8" t="inlineStr">
        <is>
          <t>ABIERTO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Monto=80,22 | Fecha: 27/04/2026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80.22</v>
      </c>
      <c r="E148" s="8" t="inlineStr">
        <is>
          <t>ABIERTO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Monto=80,22 | Fecha: 27/04/2026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80.22</v>
      </c>
      <c r="E149" s="8" t="inlineStr">
        <is>
          <t>ABIERTO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Monto=80,22 | Fecha: 27/04/2026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80.22</v>
      </c>
      <c r="E150" s="8" t="inlineStr">
        <is>
          <t>ABIERTO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Monto=80,22 | Fecha: 28/04/2026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80.02</v>
      </c>
      <c r="E151" s="8" t="inlineStr">
        <is>
          <t>ABIERTO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Monto=80,02 | Fecha: 27/04/2026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79.03</v>
      </c>
      <c r="E152" s="8" t="inlineStr">
        <is>
          <t>ABIERTO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Monto=79,03 | Fecha: 27/04/2026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75.45999999999999</v>
      </c>
      <c r="E153" s="8" t="inlineStr">
        <is>
          <t>ABIERTO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Monto=75,46 | Fecha: 27/04/2026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74.27</v>
      </c>
      <c r="E154" s="8" t="inlineStr">
        <is>
          <t>ABIERTO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Monto=74,27 | Fecha: 27/04/2026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73.68000000000001</v>
      </c>
      <c r="E155" s="8" t="inlineStr">
        <is>
          <t>ABIERTO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Monto=73,68 | Fecha: 27/04/2026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70.11</v>
      </c>
      <c r="E156" s="8" t="inlineStr">
        <is>
          <t>ABIERTO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Monto=70,11 | Fecha: 27/04/2026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68.33</v>
      </c>
      <c r="E157" s="8" t="inlineStr">
        <is>
          <t>ABIERTO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Monto=68,33 | Fecha: 27/04/2026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68.33</v>
      </c>
      <c r="E158" s="8" t="inlineStr">
        <is>
          <t>ABIERTO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Monto=68,33 | Fecha: 27/04/2026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68.33</v>
      </c>
      <c r="E159" s="8" t="inlineStr">
        <is>
          <t>ABIERTO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Monto=68,33 | Fecha: 27/04/2026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68.33</v>
      </c>
      <c r="E160" s="8" t="inlineStr">
        <is>
          <t>ABIERTO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Monto=68,33 | Fecha: 28/04/2026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62.98</v>
      </c>
      <c r="E161" s="8" t="inlineStr">
        <is>
          <t>ABIERTO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Monto=62,98 | Fecha: 27/04/2026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59.27</v>
      </c>
      <c r="E162" s="8" t="inlineStr">
        <is>
          <t>ABIERTO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Monto=59,27 | Fecha: 27/04/2026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58.83</v>
      </c>
      <c r="E163" s="8" t="inlineStr">
        <is>
          <t>ABIERTO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Monto=58,83 | Fecha: 27/04/2026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56.45</v>
      </c>
      <c r="E164" s="8" t="inlineStr">
        <is>
          <t>ABIERTO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Monto=56,45 | Fecha: 27/04/2026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55.17</v>
      </c>
      <c r="E165" s="8" t="inlineStr">
        <is>
          <t>ABIERTO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Monto=55,17 | Fecha: 27/04/2026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53.48</v>
      </c>
      <c r="E166" s="8" t="inlineStr">
        <is>
          <t>ABIERTO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Monto=53,48 | Fecha: 27/04/2026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53.48</v>
      </c>
      <c r="E167" s="8" t="inlineStr">
        <is>
          <t>ABIERTO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Monto=53,48 | Fecha: 27/04/2026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52.82</v>
      </c>
      <c r="E168" s="8" t="inlineStr">
        <is>
          <t>ABIERTO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Monto=52,82 | Fecha: 28/04/2026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50.51</v>
      </c>
      <c r="E169" s="8" t="inlineStr">
        <is>
          <t>ABIERTO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Monto=50,51 | Fecha: 27/04/2026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46.35</v>
      </c>
      <c r="E170" s="8" t="inlineStr">
        <is>
          <t>ABIERTO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Monto=46,35 | Fecha: 27/04/2026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45.75</v>
      </c>
      <c r="E171" s="8" t="inlineStr">
        <is>
          <t>ABIERTO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Monto=45,75 | Fecha: 27/04/2026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41</v>
      </c>
      <c r="E172" s="8" t="inlineStr">
        <is>
          <t>ABIERTO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Monto=41,00 | Fecha: 27/04/2026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39.12</v>
      </c>
      <c r="E173" s="8" t="inlineStr">
        <is>
          <t>ABIERTO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Monto=39,12 | Fecha: 27/04/2026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26.74</v>
      </c>
      <c r="E174" s="8" t="inlineStr">
        <is>
          <t>ABIERTO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Monto=26,74 | Fecha: 27/04/2026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26.74</v>
      </c>
      <c r="E175" s="8" t="inlineStr">
        <is>
          <t>ABIERTO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Monto=26,74 | Fecha: 27/04/2026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26.74</v>
      </c>
      <c r="E176" s="8" t="inlineStr">
        <is>
          <t>ABIERTO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Monto=26,74 | Fecha: 27/04/2026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26.41</v>
      </c>
      <c r="E177" s="8" t="inlineStr">
        <is>
          <t>ABIERTO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Monto=26,41 | Fecha: 27/04/2026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17.61</v>
      </c>
      <c r="E178" s="8" t="inlineStr">
        <is>
          <t>ABIERTO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Monto=17,61 | Fecha: 28/04/2026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créditos</t>
        </is>
      </c>
      <c r="D179" s="9" t="n">
        <v>423.06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S/CRED | Monto=423,06 | Fecha: 29/04/2026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créditos</t>
        </is>
      </c>
      <c r="D180" s="9" t="n">
        <v>33.87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S/CRED | Monto=33,87 | Fecha: 29/04/2026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créditos</t>
        </is>
      </c>
      <c r="D181" s="9" t="n">
        <v>139.64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S/CRED | Monto=139,64 | Fecha: 29/04/2026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créditos</t>
        </is>
      </c>
      <c r="D182" s="9" t="n">
        <v>307.2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S/CRED | Monto=307,20 | Fecha: 29/04/2026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créditos</t>
        </is>
      </c>
      <c r="D183" s="9" t="n">
        <v>535.96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S/CRED | Monto=535,96 | Fecha: 29/04/2026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créditos</t>
        </is>
      </c>
      <c r="D184" s="9" t="n">
        <v>1853.53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S/CRED | Monto=1.853,53 | Fecha: 29/04/2026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créditos</t>
        </is>
      </c>
      <c r="D185" s="9" t="n">
        <v>290.44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S/CRED | Monto=290,44 | Fecha: 29/04/2026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créditos</t>
        </is>
      </c>
      <c r="D186" s="9" t="n">
        <v>133.96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S/CRED | Monto=133,96 | Fecha: 29/04/2026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créditos</t>
        </is>
      </c>
      <c r="D187" s="9" t="n">
        <v>231.17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S/CRED | Monto=231,17 | Fecha: 29/04/2026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créditos</t>
        </is>
      </c>
      <c r="D188" s="9" t="n">
        <v>74.09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S/CRED | Monto=74,09 | Fecha: 29/04/2026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créditos</t>
        </is>
      </c>
      <c r="D189" s="9" t="n">
        <v>280.96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S/CRED | Monto=280,96 | Fecha: 29/04/2026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créditos</t>
        </is>
      </c>
      <c r="D190" s="9" t="n">
        <v>776.08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S/CRED | Monto=776,08 | Fecha: 29/04/2026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créditos</t>
        </is>
      </c>
      <c r="D191" s="9" t="n">
        <v>428.46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S/CRED | Monto=428,46 | Fecha: 29/04/2026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créditos</t>
        </is>
      </c>
      <c r="D192" s="9" t="n">
        <v>324.57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S/CRED | Monto=324,57 | Fecha: 29/04/2026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créditos</t>
        </is>
      </c>
      <c r="D193" s="9" t="n">
        <v>1361.71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S/CRED | Monto=1.361,71 | Fecha: 29/04/2026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créditos</t>
        </is>
      </c>
      <c r="D194" s="9" t="n">
        <v>329.18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S/CRED | Monto=329,18 | Fecha: 29/04/2026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créditos</t>
        </is>
      </c>
      <c r="D195" s="9" t="n">
        <v>544.67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S/CRED | Monto=544,67 | Fecha: 29/04/2026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créditos</t>
        </is>
      </c>
      <c r="D196" s="9" t="n">
        <v>483.14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S/CRED | Monto=483,14 | Fecha: 29/04/2026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créditos</t>
        </is>
      </c>
      <c r="D197" s="9" t="n">
        <v>129.17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S/CRED | Monto=129,17 | Fecha: 29/04/2026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créditos</t>
        </is>
      </c>
      <c r="D198" s="9" t="n">
        <v>1332.77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S/CRED | Monto=1.332,77 | Fecha: 29/04/2026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créditos</t>
        </is>
      </c>
      <c r="D199" s="9" t="n">
        <v>5295.9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S/CRED | Monto=5.295,90 | Fecha: 29/04/2026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créditos</t>
        </is>
      </c>
      <c r="D200" s="9" t="n">
        <v>1504.65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S/CRED | Monto=1.504,65 | Fecha: 29/04/2026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créditos</t>
        </is>
      </c>
      <c r="D201" s="9" t="n">
        <v>607.47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S/CRED | Monto=607,47 | Fecha: 29/04/2026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créditos</t>
        </is>
      </c>
      <c r="D202" s="9" t="n">
        <v>35.74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S/CRED | Monto=35,74 | Fecha: 29/04/2026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créditos</t>
        </is>
      </c>
      <c r="D203" s="9" t="n">
        <v>615.1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S/CRED | Monto=615,10 | Fecha: 29/04/2026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créditos</t>
        </is>
      </c>
      <c r="D204" s="9" t="n">
        <v>615.1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S/CRED | Monto=615,10 | Fecha: 29/04/2026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créditos</t>
        </is>
      </c>
      <c r="D205" s="9" t="n">
        <v>349.34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S/CRED | Monto=349,34 | Fecha: 29/04/2026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créditos</t>
        </is>
      </c>
      <c r="D206" s="9" t="n">
        <v>223.03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S/CRED | Monto=223,03 | Fecha: 29/04/2026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créditos</t>
        </is>
      </c>
      <c r="D207" s="9" t="n">
        <v>152.6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S/CRED | Monto=152,60 | Fecha: 29/04/2026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créditos</t>
        </is>
      </c>
      <c r="D208" s="9" t="n">
        <v>77.84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S/CRED | Monto=77,84 | Fecha: 29/04/2026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créditos</t>
        </is>
      </c>
      <c r="D209" s="9" t="n">
        <v>60.61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S/CRED | Monto=60,61 | Fecha: 29/04/2026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créditos</t>
        </is>
      </c>
      <c r="D210" s="9" t="n">
        <v>207.97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S/CRED | Monto=207,97 | Fecha: 29/04/2026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créditos</t>
        </is>
      </c>
      <c r="D211" s="9" t="n">
        <v>209.75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S/CRED | Monto=209,75 | Fecha: 29/04/2026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créditos</t>
        </is>
      </c>
      <c r="D212" s="9" t="n">
        <v>570.42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S/CRED | Monto=570,42 | Fecha: 29/04/2026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créditos</t>
        </is>
      </c>
      <c r="D213" s="9" t="n">
        <v>624.5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S/CRED | Monto=624,50 | Fecha: 29/04/2026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créditos</t>
        </is>
      </c>
      <c r="D214" s="9" t="n">
        <v>89.13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S/CRED | Monto=89,13 | Fecha: 29/04/2026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créditos</t>
        </is>
      </c>
      <c r="D215" s="9" t="n">
        <v>297.1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S/CRED | Monto=297,10 | Fecha: 29/04/2026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créditos</t>
        </is>
      </c>
      <c r="D216" s="9" t="n">
        <v>133.69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S/CRED | Monto=133,69 | Fecha: 29/04/2026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créditos</t>
        </is>
      </c>
      <c r="D217" s="9" t="n">
        <v>44.56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S/CRED | Monto=44,56 | Fecha: 29/04/2026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créditos</t>
        </is>
      </c>
      <c r="D218" s="9" t="n">
        <v>133.69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S/CRED | Monto=133,69 | Fecha: 29/04/2026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créditos</t>
        </is>
      </c>
      <c r="D219" s="9" t="n">
        <v>267.39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S/CRED | Monto=267,39 | Fecha: 29/04/2026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créditos</t>
        </is>
      </c>
      <c r="D220" s="9" t="n">
        <v>44.56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S/CRED | Monto=44,56 | Fecha: 29/04/2026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créditos</t>
        </is>
      </c>
      <c r="D221" s="9" t="n">
        <v>80.02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S/CRED | Monto=80,02 | Fecha: 29/04/2026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créditos</t>
        </is>
      </c>
      <c r="D222" s="9" t="n">
        <v>26.41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S/CRED | Monto=26,41 | Fecha: 29/04/2026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créditos</t>
        </is>
      </c>
      <c r="D223" s="9" t="n">
        <v>227.73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S/CRED | Monto=227,73 | Fecha: 29/04/2026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créditos</t>
        </is>
      </c>
      <c r="D224" s="9" t="n">
        <v>142.61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S/CRED | Monto=142,61 | Fecha: 29/04/2026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créditos</t>
        </is>
      </c>
      <c r="D225" s="9" t="n">
        <v>153.3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S/CRED | Monto=153,30 | Fecha: 29/04/2026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créditos</t>
        </is>
      </c>
      <c r="D226" s="9" t="n">
        <v>44.56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S/CRED | Monto=44,56 | Fecha: 29/04/2026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créditos</t>
        </is>
      </c>
      <c r="D227" s="9" t="n">
        <v>142.61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S/CRED | Monto=142,61 | Fecha: 29/04/2026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créditos</t>
        </is>
      </c>
      <c r="D228" s="9" t="n">
        <v>276.3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S/CRED | Monto=276,30 | Fecha: 29/04/2026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14168.52</v>
      </c>
      <c r="E229" s="8" t="inlineStr">
        <is>
          <t>ABIERTO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Monto=14.168,52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12000</v>
      </c>
      <c r="E230" s="8" t="inlineStr">
        <is>
          <t>ABIERTO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Monto=12.000,00 | Fecha: 28/04/2026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170.11</v>
      </c>
      <c r="E231" s="8" t="inlineStr">
        <is>
          <t>ABIERTO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Monto=170,11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122.7</v>
      </c>
      <c r="E232" s="8" t="inlineStr">
        <is>
          <t>ABIERTO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Monto=122,70 | Fecha: 28/04/2026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64.15000000000001</v>
      </c>
      <c r="E233" s="8" t="inlineStr">
        <is>
          <t>ABIERTO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Monto=64,15 | Fecha: 28/04/2026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50.24</v>
      </c>
      <c r="E234" s="8" t="inlineStr">
        <is>
          <t>ABIERTO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Monto=50,24 | Fecha: 28/04/2026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38.86</v>
      </c>
      <c r="E235" s="8" t="inlineStr">
        <is>
          <t>ABIERTO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Monto=38,86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35.68</v>
      </c>
      <c r="E236" s="8" t="inlineStr">
        <is>
          <t>ABIERTO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Monto=35,68 | Fecha: 28/04/2026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31.65</v>
      </c>
      <c r="E237" s="8" t="inlineStr">
        <is>
          <t>ABIERTO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Monto=31,65 | Fecha: 28/04/2026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31.04</v>
      </c>
      <c r="E238" s="8" t="inlineStr">
        <is>
          <t>ABIERTO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Monto=31,04 | Fecha: 28/04/2026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28.54</v>
      </c>
      <c r="E239" s="8" t="inlineStr">
        <is>
          <t>ABIERTO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Monto=28,54 | Fecha: 28/04/2026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28.52</v>
      </c>
      <c r="E240" s="8" t="inlineStr">
        <is>
          <t>ABIERTO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Monto=28,52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28.32</v>
      </c>
      <c r="E241" s="8" t="inlineStr">
        <is>
          <t>ABIERTO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Monto=28,32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27.21</v>
      </c>
      <c r="E242" s="8" t="inlineStr">
        <is>
          <t>ABIERTO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Monto=27,21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25.87</v>
      </c>
      <c r="E243" s="8" t="inlineStr">
        <is>
          <t>ABIERTO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Monto=25,87 | Fecha: 28/04/2026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21.58</v>
      </c>
      <c r="E244" s="8" t="inlineStr">
        <is>
          <t>ABIERTO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Monto=21,58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17.72</v>
      </c>
      <c r="E245" s="8" t="inlineStr">
        <is>
          <t>ABIERTO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Monto=17,72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16.69</v>
      </c>
      <c r="E246" s="8" t="inlineStr">
        <is>
          <t>ABIERTO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Monto=16,69 | Fecha: 28/04/2026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16.48</v>
      </c>
      <c r="E247" s="8" t="inlineStr">
        <is>
          <t>ABIERTO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Monto=16,48 | Fecha: 28/04/2026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16.44</v>
      </c>
      <c r="E248" s="8" t="inlineStr">
        <is>
          <t>ABIERTO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Monto=16,44 | Fecha: 28/04/2026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11.49</v>
      </c>
      <c r="E249" s="8" t="inlineStr">
        <is>
          <t>ABIERTO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Monto=11,49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9.300000000000001</v>
      </c>
      <c r="E250" s="8" t="inlineStr">
        <is>
          <t>ABIERTO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Monto=9,30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9.119999999999999</v>
      </c>
      <c r="E251" s="8" t="inlineStr">
        <is>
          <t>ABIERTO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Monto=9,12 | Fecha: 28/04/2026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9.02</v>
      </c>
      <c r="E252" s="8" t="inlineStr">
        <is>
          <t>ABIERTO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Monto=9,02 | Fecha: 28/04/2026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8.970000000000001</v>
      </c>
      <c r="E253" s="8" t="inlineStr">
        <is>
          <t>ABIERTO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Monto=8,97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8.41</v>
      </c>
      <c r="E254" s="8" t="inlineStr">
        <is>
          <t>ABIERTO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Monto=8,41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8.25</v>
      </c>
      <c r="E255" s="8" t="inlineStr">
        <is>
          <t>ABIERTO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Monto=8,25 | Fecha: 28/04/2026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8.140000000000001</v>
      </c>
      <c r="E256" s="8" t="inlineStr">
        <is>
          <t>ABIERTO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Monto=8,14 | Fecha: 28/04/2026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8</v>
      </c>
      <c r="E257" s="8" t="inlineStr">
        <is>
          <t>ABIERTO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Monto=8,00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débitos</t>
        </is>
      </c>
      <c r="D258" s="9" t="n">
        <v>7.53</v>
      </c>
      <c r="E258" s="8" t="inlineStr">
        <is>
          <t>ABIERTO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S/DEB | Monto=7,53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débitos</t>
        </is>
      </c>
      <c r="D259" s="9" t="n">
        <v>7.28</v>
      </c>
      <c r="E259" s="8" t="inlineStr">
        <is>
          <t>ABIERTO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S/DEB | Monto=7,28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débitos</t>
        </is>
      </c>
      <c r="D260" s="9" t="n">
        <v>6.96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S/DEB | Monto=6,96 | Fecha: 27/04/2026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débitos</t>
        </is>
      </c>
      <c r="D261" s="9" t="n">
        <v>6.89</v>
      </c>
      <c r="E261" s="8" t="inlineStr">
        <is>
          <t>ABIERTO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S/DEB | Monto=6,89 | Fecha: 28/04/2026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débitos</t>
        </is>
      </c>
      <c r="D262" s="9" t="n">
        <v>6.82</v>
      </c>
      <c r="E262" s="8" t="inlineStr">
        <is>
          <t>ABIERTO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S/DEB | Monto=6,82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débitos</t>
        </is>
      </c>
      <c r="D263" s="9" t="n">
        <v>6.79</v>
      </c>
      <c r="E263" s="8" t="inlineStr">
        <is>
          <t>ABIERTO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S/DEB | Monto=6,79 | Fecha: 28/04/2026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débitos</t>
        </is>
      </c>
      <c r="D264" s="9" t="n">
        <v>6.6</v>
      </c>
      <c r="E264" s="8" t="inlineStr">
        <is>
          <t>ABIERTO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S/DEB | Monto=6,60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débitos</t>
        </is>
      </c>
      <c r="D265" s="9" t="n">
        <v>6.56</v>
      </c>
      <c r="E265" s="8" t="inlineStr">
        <is>
          <t>ABIERTO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S/DEB | Monto=6,56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débitos</t>
        </is>
      </c>
      <c r="D266" s="9" t="n">
        <v>6.4</v>
      </c>
      <c r="E266" s="8" t="inlineStr">
        <is>
          <t>ABIERTO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S/DEB | Monto=6,40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débitos</t>
        </is>
      </c>
      <c r="D267" s="9" t="n">
        <v>6.08</v>
      </c>
      <c r="E267" s="8" t="inlineStr">
        <is>
          <t>ABIERTO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S/DEB | Monto=6,08 | Fecha: 28/04/2026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débitos</t>
        </is>
      </c>
      <c r="D268" s="9" t="n">
        <v>5.93</v>
      </c>
      <c r="E268" s="8" t="inlineStr">
        <is>
          <t>ABIERTO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S/DEB | Monto=5,93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débitos</t>
        </is>
      </c>
      <c r="D269" s="9" t="n">
        <v>5.74</v>
      </c>
      <c r="E269" s="8" t="inlineStr">
        <is>
          <t>ABIERTO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S/DEB | Monto=5,74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débitos</t>
        </is>
      </c>
      <c r="D270" s="9" t="n">
        <v>5.64</v>
      </c>
      <c r="E270" s="8" t="inlineStr">
        <is>
          <t>ABIERTO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S/DEB | Monto=5,64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débitos</t>
        </is>
      </c>
      <c r="D271" s="9" t="n">
        <v>5.23</v>
      </c>
      <c r="E271" s="8" t="inlineStr">
        <is>
          <t>ABIERTO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S/DEB | Monto=5,23 | Fecha: 28/04/2026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débitos</t>
        </is>
      </c>
      <c r="D272" s="9" t="n">
        <v>5.12</v>
      </c>
      <c r="E272" s="8" t="inlineStr">
        <is>
          <t>ABIERTO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S/DEB | Monto=5,12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débitos</t>
        </is>
      </c>
      <c r="D273" s="9" t="n">
        <v>5.1</v>
      </c>
      <c r="E273" s="8" t="inlineStr">
        <is>
          <t>ABIERTO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S/DEB | Monto=5,10 | Fecha: 28/04/2026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débitos</t>
        </is>
      </c>
      <c r="D274" s="9" t="n">
        <v>5.09</v>
      </c>
      <c r="E274" s="8" t="inlineStr">
        <is>
          <t>ABIERTO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S/DEB | Monto=5,09 | Fecha: 28/04/2026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débitos</t>
        </is>
      </c>
      <c r="D275" s="9" t="n">
        <v>5.06</v>
      </c>
      <c r="E275" s="8" t="inlineStr">
        <is>
          <t>ABIERTO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S/DEB | Monto=5,06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débitos</t>
        </is>
      </c>
      <c r="D276" s="9" t="n">
        <v>4.78</v>
      </c>
      <c r="E276" s="8" t="inlineStr">
        <is>
          <t>ABIERTO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S/DEB | Monto=4,78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débitos</t>
        </is>
      </c>
      <c r="D277" s="9" t="n">
        <v>4.68</v>
      </c>
      <c r="E277" s="8" t="inlineStr">
        <is>
          <t>ABIERTO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S/DEB | Monto=4,68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débitos</t>
        </is>
      </c>
      <c r="D278" s="9" t="n">
        <v>4.57</v>
      </c>
      <c r="E278" s="8" t="inlineStr">
        <is>
          <t>ABIERTO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S/DEB | Monto=4,57 | Fecha: 28/04/2026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débitos</t>
        </is>
      </c>
      <c r="D279" s="9" t="n">
        <v>4.55</v>
      </c>
      <c r="E279" s="8" t="inlineStr">
        <is>
          <t>ABIERTO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S/DEB | Monto=4,55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débitos</t>
        </is>
      </c>
      <c r="D280" s="9" t="n">
        <v>4.53</v>
      </c>
      <c r="E280" s="8" t="inlineStr">
        <is>
          <t>ABIERTO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S/DEB | Monto=4,53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débitos</t>
        </is>
      </c>
      <c r="D281" s="9" t="n">
        <v>4.37</v>
      </c>
      <c r="E281" s="8" t="inlineStr">
        <is>
          <t>ABIERTO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S/DEB | Monto=4,37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débitos</t>
        </is>
      </c>
      <c r="D282" s="9" t="n">
        <v>4.37</v>
      </c>
      <c r="E282" s="8" t="inlineStr">
        <is>
          <t>ABIERTO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S/DEB | Monto=4,37 | Fecha: 28/04/2026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débitos</t>
        </is>
      </c>
      <c r="D283" s="9" t="n">
        <v>4.35</v>
      </c>
      <c r="E283" s="8" t="inlineStr">
        <is>
          <t>ABIERTO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S/DEB | Monto=4,35 | Fecha: 28/04/2026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débitos</t>
        </is>
      </c>
      <c r="D284" s="9" t="n">
        <v>4.2</v>
      </c>
      <c r="E284" s="8" t="inlineStr">
        <is>
          <t>ABIERTO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S/DEB | Monto=4,20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débitos</t>
        </is>
      </c>
      <c r="D285" s="9" t="n">
        <v>4.17</v>
      </c>
      <c r="E285" s="8" t="inlineStr">
        <is>
          <t>ABIERTO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S/DEB | Monto=4,17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débitos</t>
        </is>
      </c>
      <c r="D286" s="9" t="n">
        <v>4.13</v>
      </c>
      <c r="E286" s="8" t="inlineStr">
        <is>
          <t>ABIERTO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S/DEB | Monto=4,13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débitos</t>
        </is>
      </c>
      <c r="D287" s="9" t="n">
        <v>4.02</v>
      </c>
      <c r="E287" s="8" t="inlineStr">
        <is>
          <t>ABIERTO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S/DEB | Monto=4,02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débitos</t>
        </is>
      </c>
      <c r="D288" s="9" t="n">
        <v>3.96</v>
      </c>
      <c r="E288" s="8" t="inlineStr">
        <is>
          <t>ABIERTO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S/DEB | Monto=3,96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débitos</t>
        </is>
      </c>
      <c r="D289" s="9" t="n">
        <v>3.87</v>
      </c>
      <c r="E289" s="8" t="inlineStr">
        <is>
          <t>ABIERTO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S/DEB | Monto=3,87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débitos</t>
        </is>
      </c>
      <c r="D290" s="9" t="n">
        <v>3.78</v>
      </c>
      <c r="E290" s="8" t="inlineStr">
        <is>
          <t>ABIERTO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S/DEB | Monto=3,78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débitos</t>
        </is>
      </c>
      <c r="D291" s="9" t="n">
        <v>3.76</v>
      </c>
      <c r="E291" s="8" t="inlineStr">
        <is>
          <t>ABIERTO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S/DEB | Monto=3,76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débitos</t>
        </is>
      </c>
      <c r="D292" s="9" t="n">
        <v>3.76</v>
      </c>
      <c r="E292" s="8" t="inlineStr">
        <is>
          <t>ABIERTO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S/DEB | Monto=3,76 | Fecha: 28/04/2026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débitos</t>
        </is>
      </c>
      <c r="D293" s="9" t="n">
        <v>3.65</v>
      </c>
      <c r="E293" s="8" t="inlineStr">
        <is>
          <t>ABIERTO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S/DEB | Monto=3,65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débitos</t>
        </is>
      </c>
      <c r="D294" s="9" t="n">
        <v>3.6</v>
      </c>
      <c r="E294" s="8" t="inlineStr">
        <is>
          <t>ABIERTO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S/DEB | Monto=3,60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débitos</t>
        </is>
      </c>
      <c r="D295" s="9" t="n">
        <v>3.56</v>
      </c>
      <c r="E295" s="8" t="inlineStr">
        <is>
          <t>ABIERTO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S/DEB | Monto=3,56 | Fecha: 28/04/2026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débitos</t>
        </is>
      </c>
      <c r="D296" s="9" t="n">
        <v>3.47</v>
      </c>
      <c r="E296" s="8" t="inlineStr">
        <is>
          <t>ABIERTO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S/DEB | Monto=3,47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débitos</t>
        </is>
      </c>
      <c r="D297" s="9" t="n">
        <v>3.46</v>
      </c>
      <c r="E297" s="8" t="inlineStr">
        <is>
          <t>ABIERTO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S/DEB | Monto=3,46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débitos</t>
        </is>
      </c>
      <c r="D298" s="9" t="n">
        <v>3.3</v>
      </c>
      <c r="E298" s="8" t="inlineStr">
        <is>
          <t>ABIERTO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S/DEB | Monto=3,30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débitos</t>
        </is>
      </c>
      <c r="D299" s="9" t="n">
        <v>3.26</v>
      </c>
      <c r="E299" s="8" t="inlineStr">
        <is>
          <t>ABIERTO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S/DEB | Monto=3,26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débitos</t>
        </is>
      </c>
      <c r="D300" s="9" t="n">
        <v>3.17</v>
      </c>
      <c r="E300" s="8" t="inlineStr">
        <is>
          <t>ABIERTO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S/DEB | Monto=3,17 | Fecha: 28/04/2026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débitos</t>
        </is>
      </c>
      <c r="D301" s="9" t="n">
        <v>3.15</v>
      </c>
      <c r="E301" s="8" t="inlineStr">
        <is>
          <t>ABIERTO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S/DEB | Monto=3,15 | Fecha: 27/04/2026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débitos</t>
        </is>
      </c>
      <c r="D302" s="9" t="n">
        <v>3.08</v>
      </c>
      <c r="E302" s="8" t="inlineStr">
        <is>
          <t>ABIERTO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S/DEB | Monto=3,08 | Fecha: 27/04/2026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débitos</t>
        </is>
      </c>
      <c r="D303" s="9" t="n">
        <v>3.04</v>
      </c>
      <c r="E303" s="8" t="inlineStr">
        <is>
          <t>ABIERTO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S/DEB | Monto=3,04 | Fecha: 27/04/2026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débitos</t>
        </is>
      </c>
      <c r="D304" s="9" t="n">
        <v>2.97</v>
      </c>
      <c r="E304" s="8" t="inlineStr">
        <is>
          <t>ABIERTO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S/DEB | Monto=2,97 | Fecha: 27/04/2026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débitos</t>
        </is>
      </c>
      <c r="D305" s="9" t="n">
        <v>2.87</v>
      </c>
      <c r="E305" s="8" t="inlineStr">
        <is>
          <t>ABIERTO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S/DEB | Monto=2,87 | Fecha: 28/04/2026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débitos</t>
        </is>
      </c>
      <c r="D306" s="9" t="n">
        <v>2.79</v>
      </c>
      <c r="E306" s="8" t="inlineStr">
        <is>
          <t>ABIERTO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S/DEB | Monto=2,79 | Fecha: 28/04/2026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débitos</t>
        </is>
      </c>
      <c r="D307" s="9" t="n">
        <v>2.76</v>
      </c>
      <c r="E307" s="8" t="inlineStr">
        <is>
          <t>ABIERTO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S/DEB | Monto=2,76 | Fecha: 27/04/2026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débitos</t>
        </is>
      </c>
      <c r="D308" s="9" t="n">
        <v>2.73</v>
      </c>
      <c r="E308" s="8" t="inlineStr">
        <is>
          <t>ABIERTO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S/DEB | Monto=2,73 | Fecha: 27/04/2026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débitos</t>
        </is>
      </c>
      <c r="D309" s="9" t="n">
        <v>2.63</v>
      </c>
      <c r="E309" s="8" t="inlineStr">
        <is>
          <t>ABIERTO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S/DEB | Monto=2,63 | Fecha: 28/04/2026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débitos</t>
        </is>
      </c>
      <c r="D310" s="9" t="n">
        <v>2.6</v>
      </c>
      <c r="E310" s="8" t="inlineStr">
        <is>
          <t>ABIERTO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S/DEB | Monto=2,60 | Fecha: 27/04/2026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débitos</t>
        </is>
      </c>
      <c r="D311" s="9" t="n">
        <v>2.58</v>
      </c>
      <c r="E311" s="8" t="inlineStr">
        <is>
          <t>ABIERTO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S/DEB | Monto=2,58 | Fecha: 27/04/2026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débitos</t>
        </is>
      </c>
      <c r="D312" s="9" t="n">
        <v>2.44</v>
      </c>
      <c r="E312" s="8" t="inlineStr">
        <is>
          <t>ABIERTO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S/DEB | Monto=2,44 | Fecha: 28/04/2026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débitos</t>
        </is>
      </c>
      <c r="D313" s="9" t="n">
        <v>2.44</v>
      </c>
      <c r="E313" s="8" t="inlineStr">
        <is>
          <t>ABIERTO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S/DEB | Monto=2,44 | Fecha: 28/04/2026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débitos</t>
        </is>
      </c>
      <c r="D314" s="9" t="n">
        <v>2.41</v>
      </c>
      <c r="E314" s="8" t="inlineStr">
        <is>
          <t>ABIERTO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S/DEB | Monto=2,41 | Fecha: 27/04/2026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débitos</t>
        </is>
      </c>
      <c r="D315" s="9" t="n">
        <v>2.38</v>
      </c>
      <c r="E315" s="8" t="inlineStr">
        <is>
          <t>ABIERTO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S/DEB | Monto=2,38 | Fecha: 27/04/2026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débitos</t>
        </is>
      </c>
      <c r="D316" s="9" t="n">
        <v>2.33</v>
      </c>
      <c r="E316" s="8" t="inlineStr">
        <is>
          <t>ABIERTO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S/DEB | Monto=2,33 | Fecha: 27/04/2026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débitos</t>
        </is>
      </c>
      <c r="D317" s="9" t="n">
        <v>2.32</v>
      </c>
      <c r="E317" s="8" t="inlineStr">
        <is>
          <t>ABIERTO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S/DEB | Monto=2,32 | Fecha: 27/04/2026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débitos</t>
        </is>
      </c>
      <c r="D318" s="9" t="n">
        <v>2.29</v>
      </c>
      <c r="E318" s="8" t="inlineStr">
        <is>
          <t>ABIERTO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S/DEB | Monto=2,29 | Fecha: 27/04/2026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débitos</t>
        </is>
      </c>
      <c r="D319" s="9" t="n">
        <v>2.17</v>
      </c>
      <c r="E319" s="8" t="inlineStr">
        <is>
          <t>ABIERTO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S/DEB | Monto=2,17 | Fecha: 28/04/2026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débitos</t>
        </is>
      </c>
      <c r="D320" s="9" t="n">
        <v>2.11</v>
      </c>
      <c r="E320" s="8" t="inlineStr">
        <is>
          <t>ABIERTO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S/DEB | Monto=2,11 | Fecha: 28/04/2026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débitos</t>
        </is>
      </c>
      <c r="D321" s="9" t="n">
        <v>2.07</v>
      </c>
      <c r="E321" s="8" t="inlineStr">
        <is>
          <t>ABIERTO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S/DEB | Monto=2,07 | Fecha: 27/04/2026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débitos</t>
        </is>
      </c>
      <c r="D322" s="9" t="n">
        <v>2.05</v>
      </c>
      <c r="E322" s="8" t="inlineStr">
        <is>
          <t>ABIERTO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S/DEB | Monto=2,05 | Fecha: 27/04/2026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débitos</t>
        </is>
      </c>
      <c r="D323" s="9" t="n">
        <v>2.05</v>
      </c>
      <c r="E323" s="8" t="inlineStr">
        <is>
          <t>ABIERTO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S/DEB | Monto=2,05 | Fecha: 27/04/2026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débitos</t>
        </is>
      </c>
      <c r="D324" s="9" t="n">
        <v>2.02</v>
      </c>
      <c r="E324" s="8" t="inlineStr">
        <is>
          <t>ABIERTO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S/DEB | Monto=2,02 | Fecha: 27/04/2026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débitos</t>
        </is>
      </c>
      <c r="D325" s="9" t="n">
        <v>1.99</v>
      </c>
      <c r="E325" s="8" t="inlineStr">
        <is>
          <t>ABIERTO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S/DEB | Monto=1,99 | Fecha: 27/04/2026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débitos</t>
        </is>
      </c>
      <c r="D326" s="9" t="n">
        <v>1.99</v>
      </c>
      <c r="E326" s="8" t="inlineStr">
        <is>
          <t>ABIERTO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S/DEB | Monto=1,99 | Fecha: 27/04/2026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débitos</t>
        </is>
      </c>
      <c r="D327" s="9" t="n">
        <v>1.96</v>
      </c>
      <c r="E327" s="8" t="inlineStr">
        <is>
          <t>ABIERTO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S/DEB | Monto=1,96 | Fecha: 27/04/2026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débitos</t>
        </is>
      </c>
      <c r="D328" s="9" t="n">
        <v>1.95</v>
      </c>
      <c r="E328" s="8" t="inlineStr">
        <is>
          <t>ABIERTO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S/DEB | Monto=1,95 | Fecha: 27/04/2026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débitos</t>
        </is>
      </c>
      <c r="D329" s="9" t="n">
        <v>1.93</v>
      </c>
      <c r="E329" s="8" t="inlineStr">
        <is>
          <t>ABIERTO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S/DEB | Monto=1,93 | Fecha: 28/04/2026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débitos</t>
        </is>
      </c>
      <c r="D330" s="9" t="n">
        <v>1.93</v>
      </c>
      <c r="E330" s="8" t="inlineStr">
        <is>
          <t>ABIERTO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S/DEB | Monto=1,93 | Fecha: 28/04/2026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débitos</t>
        </is>
      </c>
      <c r="D331" s="9" t="n">
        <v>1.9</v>
      </c>
      <c r="E331" s="8" t="inlineStr">
        <is>
          <t>ABIERTO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S/DEB | Monto=1,90 | Fecha: 28/04/2026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débitos</t>
        </is>
      </c>
      <c r="D332" s="9" t="n">
        <v>1.89</v>
      </c>
      <c r="E332" s="8" t="inlineStr">
        <is>
          <t>ABIERTO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S/DEB | Monto=1,89 | Fecha: 27/04/2026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débitos</t>
        </is>
      </c>
      <c r="D333" s="9" t="n">
        <v>1.8</v>
      </c>
      <c r="E333" s="8" t="inlineStr">
        <is>
          <t>ABIERTO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S/DEB | Monto=1,80 | Fecha: 27/04/2026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débitos</t>
        </is>
      </c>
      <c r="D334" s="9" t="n">
        <v>1.72</v>
      </c>
      <c r="E334" s="8" t="inlineStr">
        <is>
          <t>ABIERTO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S/DEB | Monto=1,72 | Fecha: 28/04/2026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débitos</t>
        </is>
      </c>
      <c r="D335" s="9" t="n">
        <v>1.68</v>
      </c>
      <c r="E335" s="8" t="inlineStr">
        <is>
          <t>ABIERTO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S/DEB | Monto=1,68 | Fecha: 27/04/2026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débitos</t>
        </is>
      </c>
      <c r="D336" s="9" t="n">
        <v>1.66</v>
      </c>
      <c r="E336" s="8" t="inlineStr">
        <is>
          <t>ABIERTO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S/DEB | Monto=1,66 | Fecha: 27/04/2026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débitos</t>
        </is>
      </c>
      <c r="D337" s="9" t="n">
        <v>1.63</v>
      </c>
      <c r="E337" s="8" t="inlineStr">
        <is>
          <t>ABIERTO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S/DEB | Monto=1,63 | Fecha: 28/04/2026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débitos</t>
        </is>
      </c>
      <c r="D338" s="9" t="n">
        <v>1.61</v>
      </c>
      <c r="E338" s="8" t="inlineStr">
        <is>
          <t>ABIERTO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S/DEB | Monto=1,61 | Fecha: 27/04/2026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débitos</t>
        </is>
      </c>
      <c r="D339" s="9" t="n">
        <v>1.6</v>
      </c>
      <c r="E339" s="8" t="inlineStr">
        <is>
          <t>ABIERTO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S/DEB | Monto=1,60 | Fecha: 27/04/2026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débitos</t>
        </is>
      </c>
      <c r="D340" s="9" t="n">
        <v>1.6</v>
      </c>
      <c r="E340" s="8" t="inlineStr">
        <is>
          <t>ABIERTO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S/DEB | Monto=1,60 | Fecha: 27/04/2026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débitos</t>
        </is>
      </c>
      <c r="D341" s="9" t="n">
        <v>1.6</v>
      </c>
      <c r="E341" s="8" t="inlineStr">
        <is>
          <t>ABIERTO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S/DEB | Monto=1,60 | Fecha: 27/04/2026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débitos</t>
        </is>
      </c>
      <c r="D342" s="9" t="n">
        <v>1.6</v>
      </c>
      <c r="E342" s="8" t="inlineStr">
        <is>
          <t>ABIERTO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S/DEB | Monto=1,60 | Fecha: 27/04/2026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débitos</t>
        </is>
      </c>
      <c r="D343" s="9" t="n">
        <v>1.53</v>
      </c>
      <c r="E343" s="8" t="inlineStr">
        <is>
          <t>ABIERTO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S/DEB | Monto=1,53 | Fecha: 27/04/2026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débitos</t>
        </is>
      </c>
      <c r="D344" s="9" t="n">
        <v>1.49</v>
      </c>
      <c r="E344" s="8" t="inlineStr">
        <is>
          <t>ABIERTO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S/DEB | Monto=1,49 | Fecha: 27/04/2026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débitos</t>
        </is>
      </c>
      <c r="D345" s="9" t="n">
        <v>1.49</v>
      </c>
      <c r="E345" s="8" t="inlineStr">
        <is>
          <t>ABIERTO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S/DEB | Monto=1,49 | Fecha: 27/04/2026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débitos</t>
        </is>
      </c>
      <c r="D346" s="9" t="n">
        <v>1.49</v>
      </c>
      <c r="E346" s="8" t="inlineStr">
        <is>
          <t>ABIERTO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S/DEB | Monto=1,49 | Fecha: 27/04/2026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Anticipo Ganancias Ley 25.413 débitos</t>
        </is>
      </c>
      <c r="D347" s="9" t="n">
        <v>1.47</v>
      </c>
      <c r="E347" s="8" t="inlineStr">
        <is>
          <t>ABIERTO</t>
        </is>
      </c>
      <c r="F347" s="8" t="inlineStr">
        <is>
          <t>Banco / impuesto / gasto</t>
        </is>
      </c>
      <c r="G347" s="8" t="inlineStr">
        <is>
          <t>Copiar en Flexxus: Tipo=MB-EXT | Movimiento=GRAVAMEN LEY 25.413 S/DEB | Monto=1,47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Anticipo Ganancias Ley 25.413 débitos</t>
        </is>
      </c>
      <c r="D348" s="9" t="n">
        <v>1.46</v>
      </c>
      <c r="E348" s="8" t="inlineStr">
        <is>
          <t>ABIERTO</t>
        </is>
      </c>
      <c r="F348" s="8" t="inlineStr">
        <is>
          <t>Banco / impuesto / gasto</t>
        </is>
      </c>
      <c r="G348" s="8" t="inlineStr">
        <is>
          <t>Copiar en Flexxus: Tipo=MB-EXT | Movimiento=GRAVAMEN LEY 25.413 S/DEB | Monto=1,46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Anticipo Ganancias Ley 25.413 débitos</t>
        </is>
      </c>
      <c r="D349" s="9" t="n">
        <v>1.46</v>
      </c>
      <c r="E349" s="8" t="inlineStr">
        <is>
          <t>ABIERTO</t>
        </is>
      </c>
      <c r="F349" s="8" t="inlineStr">
        <is>
          <t>Banco / impuesto / gasto</t>
        </is>
      </c>
      <c r="G349" s="8" t="inlineStr">
        <is>
          <t>Copiar en Flexxus: Tipo=MB-EXT | Movimiento=GRAVAMEN LEY 25.413 S/DEB | Monto=1,46 | Fecha: 27/04/2026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Anticipo Ganancias Ley 25.413 débitos</t>
        </is>
      </c>
      <c r="D350" s="9" t="n">
        <v>1.43</v>
      </c>
      <c r="E350" s="8" t="inlineStr">
        <is>
          <t>ABIERTO</t>
        </is>
      </c>
      <c r="F350" s="8" t="inlineStr">
        <is>
          <t>Banco / impuesto / gasto</t>
        </is>
      </c>
      <c r="G350" s="8" t="inlineStr">
        <is>
          <t>Copiar en Flexxus: Tipo=MB-EXT | Movimiento=GRAVAMEN LEY 25.413 S/DEB | Monto=1,43 | Fecha: 27/04/2026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Anticipo Ganancias Ley 25.413 débitos</t>
        </is>
      </c>
      <c r="D351" s="9" t="n">
        <v>1.43</v>
      </c>
      <c r="E351" s="8" t="inlineStr">
        <is>
          <t>ABIERTO</t>
        </is>
      </c>
      <c r="F351" s="8" t="inlineStr">
        <is>
          <t>Banco / impuesto / gasto</t>
        </is>
      </c>
      <c r="G351" s="8" t="inlineStr">
        <is>
          <t>Copiar en Flexxus: Tipo=MB-EXT | Movimiento=GRAVAMEN LEY 25.413 S/DEB | Monto=1,43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Anticipo Ganancias Ley 25.413 débitos</t>
        </is>
      </c>
      <c r="D352" s="9" t="n">
        <v>1.41</v>
      </c>
      <c r="E352" s="8" t="inlineStr">
        <is>
          <t>ABIERTO</t>
        </is>
      </c>
      <c r="F352" s="8" t="inlineStr">
        <is>
          <t>Banco / impuesto / gasto</t>
        </is>
      </c>
      <c r="G352" s="8" t="inlineStr">
        <is>
          <t>Copiar en Flexxus: Tipo=MB-EXT | Movimiento=GRAVAMEN LEY 25.413 S/DEB | Monto=1,41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Anticipo Ganancias Ley 25.413 débitos</t>
        </is>
      </c>
      <c r="D353" s="9" t="n">
        <v>1.37</v>
      </c>
      <c r="E353" s="8" t="inlineStr">
        <is>
          <t>ABIERTO</t>
        </is>
      </c>
      <c r="F353" s="8" t="inlineStr">
        <is>
          <t>Banco / impuesto / gasto</t>
        </is>
      </c>
      <c r="G353" s="8" t="inlineStr">
        <is>
          <t>Copiar en Flexxus: Tipo=MB-EXT | Movimiento=GRAVAMEN LEY 25.413 S/DEB | Monto=1,37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Anticipo Ganancias Ley 25.413 débitos</t>
        </is>
      </c>
      <c r="D354" s="9" t="n">
        <v>1.37</v>
      </c>
      <c r="E354" s="8" t="inlineStr">
        <is>
          <t>ABIERTO</t>
        </is>
      </c>
      <c r="F354" s="8" t="inlineStr">
        <is>
          <t>Banco / impuesto / gasto</t>
        </is>
      </c>
      <c r="G354" s="8" t="inlineStr">
        <is>
          <t>Copiar en Flexxus: Tipo=MB-EXT | Movimiento=GRAVAMEN LEY 25.413 S/DEB | Monto=1,37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Anticipo Ganancias Ley 25.413 débitos</t>
        </is>
      </c>
      <c r="D355" s="9" t="n">
        <v>1.37</v>
      </c>
      <c r="E355" s="8" t="inlineStr">
        <is>
          <t>ABIERTO</t>
        </is>
      </c>
      <c r="F355" s="8" t="inlineStr">
        <is>
          <t>Banco / impuesto / gasto</t>
        </is>
      </c>
      <c r="G355" s="8" t="inlineStr">
        <is>
          <t>Copiar en Flexxus: Tipo=MB-EXT | Movimiento=GRAVAMEN LEY 25.413 S/DEB | Monto=1,37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Anticipo Ganancias Ley 25.413 débitos</t>
        </is>
      </c>
      <c r="D356" s="9" t="n">
        <v>1.28</v>
      </c>
      <c r="E356" s="8" t="inlineStr">
        <is>
          <t>ABIERTO</t>
        </is>
      </c>
      <c r="F356" s="8" t="inlineStr">
        <is>
          <t>Banco / impuesto / gasto</t>
        </is>
      </c>
      <c r="G356" s="8" t="inlineStr">
        <is>
          <t>Copiar en Flexxus: Tipo=MB-EXT | Movimiento=GRAVAMEN LEY 25.413 S/DEB | Monto=1,28 | Fecha: 28/04/2026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Anticipo Ganancias Ley 25.413 débitos</t>
        </is>
      </c>
      <c r="D357" s="9" t="n">
        <v>1.27</v>
      </c>
      <c r="E357" s="8" t="inlineStr">
        <is>
          <t>ABIERTO</t>
        </is>
      </c>
      <c r="F357" s="8" t="inlineStr">
        <is>
          <t>Banco / impuesto / gasto</t>
        </is>
      </c>
      <c r="G357" s="8" t="inlineStr">
        <is>
          <t>Copiar en Flexxus: Tipo=MB-EXT | Movimiento=GRAVAMEN LEY 25.413 S/DEB | Monto=1,27 | Fecha: 28/04/2026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Anticipo Ganancias Ley 25.413 débitos</t>
        </is>
      </c>
      <c r="D358" s="9" t="n">
        <v>1.2</v>
      </c>
      <c r="E358" s="8" t="inlineStr">
        <is>
          <t>ABIERTO</t>
        </is>
      </c>
      <c r="F358" s="8" t="inlineStr">
        <is>
          <t>Banco / impuesto / gasto</t>
        </is>
      </c>
      <c r="G358" s="8" t="inlineStr">
        <is>
          <t>Copiar en Flexxus: Tipo=MB-EXT | Movimiento=GRAVAMEN LEY 25.413 S/DEB | Monto=1,20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Anticipo Ganancias Ley 25.413 débitos</t>
        </is>
      </c>
      <c r="D359" s="9" t="n">
        <v>1.13</v>
      </c>
      <c r="E359" s="8" t="inlineStr">
        <is>
          <t>ABIERTO</t>
        </is>
      </c>
      <c r="F359" s="8" t="inlineStr">
        <is>
          <t>Banco / impuesto / gasto</t>
        </is>
      </c>
      <c r="G359" s="8" t="inlineStr">
        <is>
          <t>Copiar en Flexxus: Tipo=MB-EXT | Movimiento=GRAVAMEN LEY 25.413 S/DEB | Monto=1,13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Anticipo Ganancias Ley 25.413 débitos</t>
        </is>
      </c>
      <c r="D360" s="9" t="n">
        <v>1.13</v>
      </c>
      <c r="E360" s="8" t="inlineStr">
        <is>
          <t>ABIERTO</t>
        </is>
      </c>
      <c r="F360" s="8" t="inlineStr">
        <is>
          <t>Banco / impuesto / gasto</t>
        </is>
      </c>
      <c r="G360" s="8" t="inlineStr">
        <is>
          <t>Copiar en Flexxus: Tipo=MB-EXT | Movimiento=GRAVAMEN LEY 25.413 S/DEB | Monto=1,13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Anticipo Ganancias Ley 25.413 débitos</t>
        </is>
      </c>
      <c r="D361" s="9" t="n">
        <v>1</v>
      </c>
      <c r="E361" s="8" t="inlineStr">
        <is>
          <t>ABIERTO</t>
        </is>
      </c>
      <c r="F361" s="8" t="inlineStr">
        <is>
          <t>Banco / impuesto / gasto</t>
        </is>
      </c>
      <c r="G361" s="8" t="inlineStr">
        <is>
          <t>Copiar en Flexxus: Tipo=MB-EXT | Movimiento=GRAVAMEN LEY 25.413 S/DEB | Monto=1,00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Anticipo Ganancias Ley 25.413 débitos</t>
        </is>
      </c>
      <c r="D362" s="9" t="n">
        <v>0.89</v>
      </c>
      <c r="E362" s="8" t="inlineStr">
        <is>
          <t>ABIERTO</t>
        </is>
      </c>
      <c r="F362" s="8" t="inlineStr">
        <is>
          <t>Banco / impuesto / gasto</t>
        </is>
      </c>
      <c r="G362" s="8" t="inlineStr">
        <is>
          <t>Copiar en Flexxus: Tipo=MB-EXT | Movimiento=GRAVAMEN LEY 25.413 S/DEB | Monto=0,89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Anticipo Ganancias Ley 25.413 débitos</t>
        </is>
      </c>
      <c r="D363" s="9" t="n">
        <v>0.88</v>
      </c>
      <c r="E363" s="8" t="inlineStr">
        <is>
          <t>ABIERTO</t>
        </is>
      </c>
      <c r="F363" s="8" t="inlineStr">
        <is>
          <t>Banco / impuesto / gasto</t>
        </is>
      </c>
      <c r="G363" s="8" t="inlineStr">
        <is>
          <t>Copiar en Flexxus: Tipo=MB-EXT | Movimiento=GRAVAMEN LEY 25.413 S/DEB | Monto=0,88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Anticipo Ganancias Ley 25.413 débitos</t>
        </is>
      </c>
      <c r="D364" s="9" t="n">
        <v>0.8</v>
      </c>
      <c r="E364" s="8" t="inlineStr">
        <is>
          <t>ABIERTO</t>
        </is>
      </c>
      <c r="F364" s="8" t="inlineStr">
        <is>
          <t>Banco / impuesto / gasto</t>
        </is>
      </c>
      <c r="G364" s="8" t="inlineStr">
        <is>
          <t>Copiar en Flexxus: Tipo=MB-EXT | Movimiento=GRAVAMEN LEY 25.413 S/DEB | Monto=0,80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Anticipo Ganancias Ley 25.413 débitos</t>
        </is>
      </c>
      <c r="D365" s="9" t="n">
        <v>0.8</v>
      </c>
      <c r="E365" s="8" t="inlineStr">
        <is>
          <t>ABIERTO</t>
        </is>
      </c>
      <c r="F365" s="8" t="inlineStr">
        <is>
          <t>Banco / impuesto / gasto</t>
        </is>
      </c>
      <c r="G365" s="8" t="inlineStr">
        <is>
          <t>Copiar en Flexxus: Tipo=MB-EXT | Movimiento=GRAVAMEN LEY 25.413 S/DEB | Monto=0,80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Anticipo Ganancias Ley 25.413 débitos</t>
        </is>
      </c>
      <c r="D366" s="9" t="n">
        <v>0.8</v>
      </c>
      <c r="E366" s="8" t="inlineStr">
        <is>
          <t>ABIERTO</t>
        </is>
      </c>
      <c r="F366" s="8" t="inlineStr">
        <is>
          <t>Banco / impuesto / gasto</t>
        </is>
      </c>
      <c r="G366" s="8" t="inlineStr">
        <is>
          <t>Copiar en Flexxus: Tipo=MB-EXT | Movimiento=GRAVAMEN LEY 25.413 S/DEB | Monto=0,80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Anticipo Ganancias Ley 25.413 débitos</t>
        </is>
      </c>
      <c r="D367" s="9" t="n">
        <v>0.8</v>
      </c>
      <c r="E367" s="8" t="inlineStr">
        <is>
          <t>ABIERTO</t>
        </is>
      </c>
      <c r="F367" s="8" t="inlineStr">
        <is>
          <t>Banco / impuesto / gasto</t>
        </is>
      </c>
      <c r="G367" s="8" t="inlineStr">
        <is>
          <t>Copiar en Flexxus: Tipo=MB-EXT | Movimiento=GRAVAMEN LEY 25.413 S/DEB | Monto=0,80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Anticipo Ganancias Ley 25.413 débitos</t>
        </is>
      </c>
      <c r="D368" s="9" t="n">
        <v>0.8</v>
      </c>
      <c r="E368" s="8" t="inlineStr">
        <is>
          <t>ABIERTO</t>
        </is>
      </c>
      <c r="F368" s="8" t="inlineStr">
        <is>
          <t>Banco / impuesto / gasto</t>
        </is>
      </c>
      <c r="G368" s="8" t="inlineStr">
        <is>
          <t>Copiar en Flexxus: Tipo=MB-EXT | Movimiento=GRAVAMEN LEY 25.413 S/DEB | Monto=0,80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Anticipo Ganancias Ley 25.413 débitos</t>
        </is>
      </c>
      <c r="D369" s="9" t="n">
        <v>0.8</v>
      </c>
      <c r="E369" s="8" t="inlineStr">
        <is>
          <t>ABIERTO</t>
        </is>
      </c>
      <c r="F369" s="8" t="inlineStr">
        <is>
          <t>Banco / impuesto / gasto</t>
        </is>
      </c>
      <c r="G369" s="8" t="inlineStr">
        <is>
          <t>Copiar en Flexxus: Tipo=MB-EXT | Movimiento=GRAVAMEN LEY 25.413 S/DEB | Monto=0,80 | Fecha: 28/04/2026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Anticipo Ganancias Ley 25.413 débitos</t>
        </is>
      </c>
      <c r="D370" s="9" t="n">
        <v>0.79</v>
      </c>
      <c r="E370" s="8" t="inlineStr">
        <is>
          <t>ABIERTO</t>
        </is>
      </c>
      <c r="F370" s="8" t="inlineStr">
        <is>
          <t>Banco / impuesto / gasto</t>
        </is>
      </c>
      <c r="G370" s="8" t="inlineStr">
        <is>
          <t>Copiar en Flexxus: Tipo=MB-EXT | Movimiento=GRAVAMEN LEY 25.413 S/DEB | Monto=0,79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Anticipo Ganancias Ley 25.413 débitos</t>
        </is>
      </c>
      <c r="D371" s="9" t="n">
        <v>0.75</v>
      </c>
      <c r="E371" s="8" t="inlineStr">
        <is>
          <t>ABIERTO</t>
        </is>
      </c>
      <c r="F371" s="8" t="inlineStr">
        <is>
          <t>Banco / impuesto / gasto</t>
        </is>
      </c>
      <c r="G371" s="8" t="inlineStr">
        <is>
          <t>Copiar en Flexxus: Tipo=MB-EXT | Movimiento=GRAVAMEN LEY 25.413 S/DEB | Monto=0,75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Anticipo Ganancias Ley 25.413 débitos</t>
        </is>
      </c>
      <c r="D372" s="9" t="n">
        <v>0.74</v>
      </c>
      <c r="E372" s="8" t="inlineStr">
        <is>
          <t>ABIERTO</t>
        </is>
      </c>
      <c r="F372" s="8" t="inlineStr">
        <is>
          <t>Banco / impuesto / gasto</t>
        </is>
      </c>
      <c r="G372" s="8" t="inlineStr">
        <is>
          <t>Copiar en Flexxus: Tipo=MB-EXT | Movimiento=GRAVAMEN LEY 25.413 S/DEB | Monto=0,74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Anticipo Ganancias Ley 25.413 débitos</t>
        </is>
      </c>
      <c r="D373" s="9" t="n">
        <v>0.74</v>
      </c>
      <c r="E373" s="8" t="inlineStr">
        <is>
          <t>ABIERTO</t>
        </is>
      </c>
      <c r="F373" s="8" t="inlineStr">
        <is>
          <t>Banco / impuesto / gasto</t>
        </is>
      </c>
      <c r="G373" s="8" t="inlineStr">
        <is>
          <t>Copiar en Flexxus: Tipo=MB-EXT | Movimiento=GRAVAMEN LEY 25.413 S/DEB | Monto=0,74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Anticipo Ganancias Ley 25.413 débitos</t>
        </is>
      </c>
      <c r="D374" s="9" t="n">
        <v>0.7</v>
      </c>
      <c r="E374" s="8" t="inlineStr">
        <is>
          <t>ABIERTO</t>
        </is>
      </c>
      <c r="F374" s="8" t="inlineStr">
        <is>
          <t>Banco / impuesto / gasto</t>
        </is>
      </c>
      <c r="G374" s="8" t="inlineStr">
        <is>
          <t>Copiar en Flexxus: Tipo=MB-EXT | Movimiento=GRAVAMEN LEY 25.413 S/DEB | Monto=0,70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Anticipo Ganancias Ley 25.413 débitos</t>
        </is>
      </c>
      <c r="D375" s="9" t="n">
        <v>0.68</v>
      </c>
      <c r="E375" s="8" t="inlineStr">
        <is>
          <t>ABIERTO</t>
        </is>
      </c>
      <c r="F375" s="8" t="inlineStr">
        <is>
          <t>Banco / impuesto / gasto</t>
        </is>
      </c>
      <c r="G375" s="8" t="inlineStr">
        <is>
          <t>Copiar en Flexxus: Tipo=MB-EXT | Movimiento=GRAVAMEN LEY 25.413 S/DEB | Monto=0,68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Anticipo Ganancias Ley 25.413 débitos</t>
        </is>
      </c>
      <c r="D376" s="9" t="n">
        <v>0.68</v>
      </c>
      <c r="E376" s="8" t="inlineStr">
        <is>
          <t>ABIERTO</t>
        </is>
      </c>
      <c r="F376" s="8" t="inlineStr">
        <is>
          <t>Banco / impuesto / gasto</t>
        </is>
      </c>
      <c r="G376" s="8" t="inlineStr">
        <is>
          <t>Copiar en Flexxus: Tipo=MB-EXT | Movimiento=GRAVAMEN LEY 25.413 S/DEB | Monto=0,68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Anticipo Ganancias Ley 25.413 débitos</t>
        </is>
      </c>
      <c r="D377" s="9" t="n">
        <v>0.68</v>
      </c>
      <c r="E377" s="8" t="inlineStr">
        <is>
          <t>ABIERTO</t>
        </is>
      </c>
      <c r="F377" s="8" t="inlineStr">
        <is>
          <t>Banco / impuesto / gasto</t>
        </is>
      </c>
      <c r="G377" s="8" t="inlineStr">
        <is>
          <t>Copiar en Flexxus: Tipo=MB-EXT | Movimiento=GRAVAMEN LEY 25.413 S/DEB | Monto=0,68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Anticipo Ganancias Ley 25.413 débitos</t>
        </is>
      </c>
      <c r="D378" s="9" t="n">
        <v>0.68</v>
      </c>
      <c r="E378" s="8" t="inlineStr">
        <is>
          <t>ABIERTO</t>
        </is>
      </c>
      <c r="F378" s="8" t="inlineStr">
        <is>
          <t>Banco / impuesto / gasto</t>
        </is>
      </c>
      <c r="G378" s="8" t="inlineStr">
        <is>
          <t>Copiar en Flexxus: Tipo=MB-EXT | Movimiento=GRAVAMEN LEY 25.413 S/DEB | Monto=0,68 | Fecha: 28/04/2026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Anticipo Ganancias Ley 25.413 débitos</t>
        </is>
      </c>
      <c r="D379" s="9" t="n">
        <v>0.63</v>
      </c>
      <c r="E379" s="8" t="inlineStr">
        <is>
          <t>ABIERTO</t>
        </is>
      </c>
      <c r="F379" s="8" t="inlineStr">
        <is>
          <t>Banco / impuesto / gasto</t>
        </is>
      </c>
      <c r="G379" s="8" t="inlineStr">
        <is>
          <t>Copiar en Flexxus: Tipo=MB-EXT | Movimiento=GRAVAMEN LEY 25.413 S/DEB | Monto=0,63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Anticipo Ganancias Ley 25.413 débitos</t>
        </is>
      </c>
      <c r="D380" s="9" t="n">
        <v>0.59</v>
      </c>
      <c r="E380" s="8" t="inlineStr">
        <is>
          <t>ABIERTO</t>
        </is>
      </c>
      <c r="F380" s="8" t="inlineStr">
        <is>
          <t>Banco / impuesto / gasto</t>
        </is>
      </c>
      <c r="G380" s="8" t="inlineStr">
        <is>
          <t>Copiar en Flexxus: Tipo=MB-EXT | Movimiento=GRAVAMEN LEY 25.413 S/DEB | Monto=0,59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Anticipo Ganancias Ley 25.413 débitos</t>
        </is>
      </c>
      <c r="D381" s="9" t="n">
        <v>0.59</v>
      </c>
      <c r="E381" s="8" t="inlineStr">
        <is>
          <t>ABIERTO</t>
        </is>
      </c>
      <c r="F381" s="8" t="inlineStr">
        <is>
          <t>Banco / impuesto / gasto</t>
        </is>
      </c>
      <c r="G381" s="8" t="inlineStr">
        <is>
          <t>Copiar en Flexxus: Tipo=MB-EXT | Movimiento=GRAVAMEN LEY 25.413 S/DEB | Monto=0,59 | Fecha: 27/04/2026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Anticipo Ganancias Ley 25.413 débitos</t>
        </is>
      </c>
      <c r="D382" s="9" t="n">
        <v>0.5600000000000001</v>
      </c>
      <c r="E382" s="8" t="inlineStr">
        <is>
          <t>ABIERTO</t>
        </is>
      </c>
      <c r="F382" s="8" t="inlineStr">
        <is>
          <t>Banco / impuesto / gasto</t>
        </is>
      </c>
      <c r="G382" s="8" t="inlineStr">
        <is>
          <t>Copiar en Flexxus: Tipo=MB-EXT | Movimiento=GRAVAMEN LEY 25.413 S/DEB | Monto=0,56 | Fecha: 27/04/2026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Anticipo Ganancias Ley 25.413 débitos</t>
        </is>
      </c>
      <c r="D383" s="9" t="n">
        <v>0.55</v>
      </c>
      <c r="E383" s="8" t="inlineStr">
        <is>
          <t>ABIERTO</t>
        </is>
      </c>
      <c r="F383" s="8" t="inlineStr">
        <is>
          <t>Banco / impuesto / gasto</t>
        </is>
      </c>
      <c r="G383" s="8" t="inlineStr">
        <is>
          <t>Copiar en Flexxus: Tipo=MB-EXT | Movimiento=GRAVAMEN LEY 25.413 S/DEB | Monto=0,55 | Fecha: 27/04/2026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Anticipo Ganancias Ley 25.413 débitos</t>
        </is>
      </c>
      <c r="D384" s="9" t="n">
        <v>0.53</v>
      </c>
      <c r="E384" s="8" t="inlineStr">
        <is>
          <t>ABIERTO</t>
        </is>
      </c>
      <c r="F384" s="8" t="inlineStr">
        <is>
          <t>Banco / impuesto / gasto</t>
        </is>
      </c>
      <c r="G384" s="8" t="inlineStr">
        <is>
          <t>Copiar en Flexxus: Tipo=MB-EXT | Movimiento=GRAVAMEN LEY 25.413 S/DEB | Monto=0,53 | Fecha: 27/04/2026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Anticipo Ganancias Ley 25.413 débitos</t>
        </is>
      </c>
      <c r="D385" s="9" t="n">
        <v>0.53</v>
      </c>
      <c r="E385" s="8" t="inlineStr">
        <is>
          <t>ABIERTO</t>
        </is>
      </c>
      <c r="F385" s="8" t="inlineStr">
        <is>
          <t>Banco / impuesto / gasto</t>
        </is>
      </c>
      <c r="G385" s="8" t="inlineStr">
        <is>
          <t>Copiar en Flexxus: Tipo=MB-EXT | Movimiento=GRAVAMEN LEY 25.413 S/DEB | Monto=0,53 | Fecha: 27/04/2026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Anticipo Ganancias Ley 25.413 débitos</t>
        </is>
      </c>
      <c r="D386" s="9" t="n">
        <v>0.53</v>
      </c>
      <c r="E386" s="8" t="inlineStr">
        <is>
          <t>ABIERTO</t>
        </is>
      </c>
      <c r="F386" s="8" t="inlineStr">
        <is>
          <t>Banco / impuesto / gasto</t>
        </is>
      </c>
      <c r="G386" s="8" t="inlineStr">
        <is>
          <t>Copiar en Flexxus: Tipo=MB-EXT | Movimiento=GRAVAMEN LEY 25.413 S/DEB | Monto=0,53 | Fecha: 28/04/2026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Anticipo Ganancias Ley 25.413 débitos</t>
        </is>
      </c>
      <c r="D387" s="9" t="n">
        <v>0.51</v>
      </c>
      <c r="E387" s="8" t="inlineStr">
        <is>
          <t>ABIERTO</t>
        </is>
      </c>
      <c r="F387" s="8" t="inlineStr">
        <is>
          <t>Banco / impuesto / gasto</t>
        </is>
      </c>
      <c r="G387" s="8" t="inlineStr">
        <is>
          <t>Copiar en Flexxus: Tipo=MB-EXT | Movimiento=GRAVAMEN LEY 25.413 S/DEB | Monto=0,51 | Fecha: 27/04/2026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Anticipo Ganancias Ley 25.413 débitos</t>
        </is>
      </c>
      <c r="D388" s="9" t="n">
        <v>0.46</v>
      </c>
      <c r="E388" s="8" t="inlineStr">
        <is>
          <t>ABIERTO</t>
        </is>
      </c>
      <c r="F388" s="8" t="inlineStr">
        <is>
          <t>Banco / impuesto / gasto</t>
        </is>
      </c>
      <c r="G388" s="8" t="inlineStr">
        <is>
          <t>Copiar en Flexxus: Tipo=MB-EXT | Movimiento=GRAVAMEN LEY 25.413 S/DEB | Monto=0,46 | Fecha: 27/04/2026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Anticipo Ganancias Ley 25.413 débitos</t>
        </is>
      </c>
      <c r="D389" s="9" t="n">
        <v>0.46</v>
      </c>
      <c r="E389" s="8" t="inlineStr">
        <is>
          <t>ABIERTO</t>
        </is>
      </c>
      <c r="F389" s="8" t="inlineStr">
        <is>
          <t>Banco / impuesto / gasto</t>
        </is>
      </c>
      <c r="G389" s="8" t="inlineStr">
        <is>
          <t>Copiar en Flexxus: Tipo=MB-EXT | Movimiento=GRAVAMEN LEY 25.413 S/DEB | Monto=0,46 | Fecha: 27/04/2026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Anticipo Ganancias Ley 25.413 débitos</t>
        </is>
      </c>
      <c r="D390" s="9" t="n">
        <v>0.41</v>
      </c>
      <c r="E390" s="8" t="inlineStr">
        <is>
          <t>ABIERTO</t>
        </is>
      </c>
      <c r="F390" s="8" t="inlineStr">
        <is>
          <t>Banco / impuesto / gasto</t>
        </is>
      </c>
      <c r="G390" s="8" t="inlineStr">
        <is>
          <t>Copiar en Flexxus: Tipo=MB-EXT | Movimiento=GRAVAMEN LEY 25.413 S/DEB | Monto=0,41 | Fecha: 27/04/2026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Anticipo Ganancias Ley 25.413 débitos</t>
        </is>
      </c>
      <c r="D391" s="9" t="n">
        <v>0.39</v>
      </c>
      <c r="E391" s="8" t="inlineStr">
        <is>
          <t>ABIERTO</t>
        </is>
      </c>
      <c r="F391" s="8" t="inlineStr">
        <is>
          <t>Banco / impuesto / gasto</t>
        </is>
      </c>
      <c r="G391" s="8" t="inlineStr">
        <is>
          <t>Copiar en Flexxus: Tipo=MB-EXT | Movimiento=GRAVAMEN LEY 25.413 S/DEB | Monto=0,39 | Fecha: 27/04/2026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Anticipo Ganancias Ley 25.413 débitos</t>
        </is>
      </c>
      <c r="D392" s="9" t="n">
        <v>0.27</v>
      </c>
      <c r="E392" s="8" t="inlineStr">
        <is>
          <t>ABIERTO</t>
        </is>
      </c>
      <c r="F392" s="8" t="inlineStr">
        <is>
          <t>Banco / impuesto / gasto</t>
        </is>
      </c>
      <c r="G392" s="8" t="inlineStr">
        <is>
          <t>Copiar en Flexxus: Tipo=MB-EXT | Movimiento=GRAVAMEN LEY 25.413 S/DEB | Monto=0,27 | Fecha: 27/04/2026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Anticipo Ganancias Ley 25.413 débitos</t>
        </is>
      </c>
      <c r="D393" s="9" t="n">
        <v>0.27</v>
      </c>
      <c r="E393" s="8" t="inlineStr">
        <is>
          <t>ABIERTO</t>
        </is>
      </c>
      <c r="F393" s="8" t="inlineStr">
        <is>
          <t>Banco / impuesto / gasto</t>
        </is>
      </c>
      <c r="G393" s="8" t="inlineStr">
        <is>
          <t>Copiar en Flexxus: Tipo=MB-EXT | Movimiento=GRAVAMEN LEY 25.413 S/DEB | Monto=0,27 | Fecha: 27/04/2026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Anticipo Ganancias Ley 25.413 débitos</t>
        </is>
      </c>
      <c r="D394" s="9" t="n">
        <v>0.27</v>
      </c>
      <c r="E394" s="8" t="inlineStr">
        <is>
          <t>ABIERTO</t>
        </is>
      </c>
      <c r="F394" s="8" t="inlineStr">
        <is>
          <t>Banco / impuesto / gasto</t>
        </is>
      </c>
      <c r="G394" s="8" t="inlineStr">
        <is>
          <t>Copiar en Flexxus: Tipo=MB-EXT | Movimiento=GRAVAMEN LEY 25.413 S/DEB | Monto=0,27 | Fecha: 27/04/2026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Anticipo Ganancias Ley 25.413 débitos</t>
        </is>
      </c>
      <c r="D395" s="9" t="n">
        <v>0.26</v>
      </c>
      <c r="E395" s="8" t="inlineStr">
        <is>
          <t>ABIERTO</t>
        </is>
      </c>
      <c r="F395" s="8" t="inlineStr">
        <is>
          <t>Banco / impuesto / gasto</t>
        </is>
      </c>
      <c r="G395" s="8" t="inlineStr">
        <is>
          <t>Copiar en Flexxus: Tipo=MB-EXT | Movimiento=GRAVAMEN LEY 25.413 S/DEB | Monto=0,26 | Fecha: 27/04/2026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Anticipo Ganancias Ley 25.413 débitos</t>
        </is>
      </c>
      <c r="D396" s="9" t="n">
        <v>0.18</v>
      </c>
      <c r="E396" s="8" t="inlineStr">
        <is>
          <t>ABIERTO</t>
        </is>
      </c>
      <c r="F396" s="8" t="inlineStr">
        <is>
          <t>Banco / impuesto / gasto</t>
        </is>
      </c>
      <c r="G396" s="8" t="inlineStr">
        <is>
          <t>Copiar en Flexxus: Tipo=MB-EXT | Movimiento=GRAVAMEN LEY 25.413 S/DEB | Monto=0,18 | Fecha: 28/04/2026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Anticipo Ganancias Ley 25.413 débitos</t>
        </is>
      </c>
      <c r="D397" s="9" t="n">
        <v>5.36</v>
      </c>
      <c r="E397" s="8" t="inlineStr">
        <is>
          <t>ABIERTO_NUEVO</t>
        </is>
      </c>
      <c r="F397" s="8" t="inlineStr">
        <is>
          <t>Banco / impuesto / gasto</t>
        </is>
      </c>
      <c r="G397" s="8" t="inlineStr">
        <is>
          <t>Copiar en Flexxus: Tipo=MB-EXT | Movimiento=GRAVAMEN LEY 25.413 S/DEB | Monto=5,36 | Fecha: 29/04/2026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Anticipo Ganancias Ley 25.413 débitos</t>
        </is>
      </c>
      <c r="D398" s="9" t="n">
        <v>18.54</v>
      </c>
      <c r="E398" s="8" t="inlineStr">
        <is>
          <t>ABIERTO_NUEVO</t>
        </is>
      </c>
      <c r="F398" s="8" t="inlineStr">
        <is>
          <t>Banco / impuesto / gasto</t>
        </is>
      </c>
      <c r="G398" s="8" t="inlineStr">
        <is>
          <t>Copiar en Flexxus: Tipo=MB-EXT | Movimiento=GRAVAMEN LEY 25.413 S/DEB | Monto=18,54 | Fecha: 29/04/2026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Anticipo Ganancias Ley 25.413 débitos</t>
        </is>
      </c>
      <c r="D399" s="9" t="n">
        <v>7.76</v>
      </c>
      <c r="E399" s="8" t="inlineStr">
        <is>
          <t>ABIERTO_NUEVO</t>
        </is>
      </c>
      <c r="F399" s="8" t="inlineStr">
        <is>
          <t>Banco / impuesto / gasto</t>
        </is>
      </c>
      <c r="G399" s="8" t="inlineStr">
        <is>
          <t>Copiar en Flexxus: Tipo=MB-EXT | Movimiento=GRAVAMEN LEY 25.413 S/DEB | Monto=7,76 | Fecha: 29/04/2026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Anticipo Ganancias Ley 25.413 débitos</t>
        </is>
      </c>
      <c r="D400" s="9" t="n">
        <v>4.28</v>
      </c>
      <c r="E400" s="8" t="inlineStr">
        <is>
          <t>ABIERTO_NUEVO</t>
        </is>
      </c>
      <c r="F400" s="8" t="inlineStr">
        <is>
          <t>Banco / impuesto / gasto</t>
        </is>
      </c>
      <c r="G400" s="8" t="inlineStr">
        <is>
          <t>Copiar en Flexxus: Tipo=MB-EXT | Movimiento=GRAVAMEN LEY 25.413 S/DEB | Monto=4,28 | Fecha: 29/04/2026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Anticipo Ganancias Ley 25.413 débitos</t>
        </is>
      </c>
      <c r="D401" s="9" t="n">
        <v>13.62</v>
      </c>
      <c r="E401" s="8" t="inlineStr">
        <is>
          <t>ABIERTO_NUEVO</t>
        </is>
      </c>
      <c r="F401" s="8" t="inlineStr">
        <is>
          <t>Banco / impuesto / gasto</t>
        </is>
      </c>
      <c r="G401" s="8" t="inlineStr">
        <is>
          <t>Copiar en Flexxus: Tipo=MB-EXT | Movimiento=GRAVAMEN LEY 25.413 S/DEB | Monto=13,62 | Fecha: 29/04/2026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Anticipo Ganancias Ley 25.413 débitos</t>
        </is>
      </c>
      <c r="D402" s="9" t="n">
        <v>5.45</v>
      </c>
      <c r="E402" s="8" t="inlineStr">
        <is>
          <t>ABIERTO_NUEVO</t>
        </is>
      </c>
      <c r="F402" s="8" t="inlineStr">
        <is>
          <t>Banco / impuesto / gasto</t>
        </is>
      </c>
      <c r="G402" s="8" t="inlineStr">
        <is>
          <t>Copiar en Flexxus: Tipo=MB-EXT | Movimiento=GRAVAMEN LEY 25.413 S/DEB | Monto=5,45 | Fecha: 29/04/2026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Anticipo Ganancias Ley 25.413 débitos</t>
        </is>
      </c>
      <c r="D403" s="9" t="n">
        <v>13.33</v>
      </c>
      <c r="E403" s="8" t="inlineStr">
        <is>
          <t>ABIERTO_NUEVO</t>
        </is>
      </c>
      <c r="F403" s="8" t="inlineStr">
        <is>
          <t>Banco / impuesto / gasto</t>
        </is>
      </c>
      <c r="G403" s="8" t="inlineStr">
        <is>
          <t>Copiar en Flexxus: Tipo=MB-EXT | Movimiento=GRAVAMEN LEY 25.413 S/DEB | Monto=13,33 | Fecha: 29/04/2026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Anticipo Ganancias Ley 25.413 débitos</t>
        </is>
      </c>
      <c r="D404" s="9" t="n">
        <v>52.96</v>
      </c>
      <c r="E404" s="8" t="inlineStr">
        <is>
          <t>ABIERTO_NUEVO</t>
        </is>
      </c>
      <c r="F404" s="8" t="inlineStr">
        <is>
          <t>Banco / impuesto / gasto</t>
        </is>
      </c>
      <c r="G404" s="8" t="inlineStr">
        <is>
          <t>Copiar en Flexxus: Tipo=MB-EXT | Movimiento=GRAVAMEN LEY 25.413 S/DEB | Monto=52,96 | Fecha: 29/04/2026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Anticipo Ganancias Ley 25.413 débitos</t>
        </is>
      </c>
      <c r="D405" s="9" t="n">
        <v>15.05</v>
      </c>
      <c r="E405" s="8" t="inlineStr">
        <is>
          <t>ABIERTO_NUEVO</t>
        </is>
      </c>
      <c r="F405" s="8" t="inlineStr">
        <is>
          <t>Banco / impuesto / gasto</t>
        </is>
      </c>
      <c r="G405" s="8" t="inlineStr">
        <is>
          <t>Copiar en Flexxus: Tipo=MB-EXT | Movimiento=GRAVAMEN LEY 25.413 S/DEB | Monto=15,05 | Fecha: 29/04/2026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Anticipo Ganancias Ley 25.413 débitos</t>
        </is>
      </c>
      <c r="D406" s="9" t="n">
        <v>6.15</v>
      </c>
      <c r="E406" s="8" t="inlineStr">
        <is>
          <t>ABIERTO_NUEVO</t>
        </is>
      </c>
      <c r="F406" s="8" t="inlineStr">
        <is>
          <t>Banco / impuesto / gasto</t>
        </is>
      </c>
      <c r="G406" s="8" t="inlineStr">
        <is>
          <t>Copiar en Flexxus: Tipo=MB-EXT | Movimiento=GRAVAMEN LEY 25.413 S/DEB | Monto=6,15 | Fecha: 29/04/2026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Anticipo Ganancias Ley 25.413 débitos</t>
        </is>
      </c>
      <c r="D407" s="9" t="n">
        <v>6.15</v>
      </c>
      <c r="E407" s="8" t="inlineStr">
        <is>
          <t>ABIERTO_NUEVO</t>
        </is>
      </c>
      <c r="F407" s="8" t="inlineStr">
        <is>
          <t>Banco / impuesto / gasto</t>
        </is>
      </c>
      <c r="G407" s="8" t="inlineStr">
        <is>
          <t>Copiar en Flexxus: Tipo=MB-EXT | Movimiento=GRAVAMEN LEY 25.413 S/DEB | Monto=6,15 | Fecha: 29/04/2026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Anticipo Ganancias Ley 25.413 débitos</t>
        </is>
      </c>
      <c r="D408" s="9" t="n">
        <v>2.23</v>
      </c>
      <c r="E408" s="8" t="inlineStr">
        <is>
          <t>ABIERTO_NUEVO</t>
        </is>
      </c>
      <c r="F408" s="8" t="inlineStr">
        <is>
          <t>Banco / impuesto / gasto</t>
        </is>
      </c>
      <c r="G408" s="8" t="inlineStr">
        <is>
          <t>Copiar en Flexxus: Tipo=MB-EXT | Movimiento=GRAVAMEN LEY 25.413 S/DEB | Monto=2,23 | Fecha: 29/04/2026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Anticipo Ganancias Ley 25.413 débitos</t>
        </is>
      </c>
      <c r="D409" s="9" t="n">
        <v>0.45</v>
      </c>
      <c r="E409" s="8" t="inlineStr">
        <is>
          <t>ABIERTO_NUEVO</t>
        </is>
      </c>
      <c r="F409" s="8" t="inlineStr">
        <is>
          <t>Banco / impuesto / gasto</t>
        </is>
      </c>
      <c r="G409" s="8" t="inlineStr">
        <is>
          <t>Copiar en Flexxus: Tipo=MB-EXT | Movimiento=GRAVAMEN LEY 25.413 S/DEB | Monto=0,45 | Fecha: 29/04/2026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Anticipo Ganancias Ley 25.413 débitos</t>
        </is>
      </c>
      <c r="D410" s="9" t="n">
        <v>6.24</v>
      </c>
      <c r="E410" s="8" t="inlineStr">
        <is>
          <t>ABIERTO_NUEVO</t>
        </is>
      </c>
      <c r="F410" s="8" t="inlineStr">
        <is>
          <t>Banco / impuesto / gasto</t>
        </is>
      </c>
      <c r="G410" s="8" t="inlineStr">
        <is>
          <t>Copiar en Flexxus: Tipo=MB-EXT | Movimiento=GRAVAMEN LEY 25.413 S/DEB | Monto=6,24 | Fecha: 29/04/2026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Anticipo Ganancias Ley 25.413 débitos</t>
        </is>
      </c>
      <c r="D411" s="9" t="n">
        <v>6522</v>
      </c>
      <c r="E411" s="8" t="inlineStr">
        <is>
          <t>ABIERTO_NUEVO</t>
        </is>
      </c>
      <c r="F411" s="8" t="inlineStr">
        <is>
          <t>Banco / impuesto / gasto</t>
        </is>
      </c>
      <c r="G411" s="8" t="inlineStr">
        <is>
          <t>Copiar en Flexxus: Tipo=MB-EXT | Movimiento=GRAVAMEN LEY 25.413 S/DEB | Monto=6.522,00 | Fecha: 29/04/2026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Anticipo Ganancias Ley 25.413 débitos</t>
        </is>
      </c>
      <c r="D412" s="9" t="n">
        <v>6000</v>
      </c>
      <c r="E412" s="8" t="inlineStr">
        <is>
          <t>ABIERTO_NUEVO</t>
        </is>
      </c>
      <c r="F412" s="8" t="inlineStr">
        <is>
          <t>Banco / impuesto / gasto</t>
        </is>
      </c>
      <c r="G412" s="8" t="inlineStr">
        <is>
          <t>Copiar en Flexxus: Tipo=MB-EXT | Movimiento=GRAVAMEN LEY 25.413 S/DEB | Monto=6.000,00 | Fecha: 29/04/2026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Anticipo Ganancias Ley 25.413 débitos</t>
        </is>
      </c>
      <c r="D413" s="9" t="n">
        <v>4.23</v>
      </c>
      <c r="E413" s="8" t="inlineStr">
        <is>
          <t>ABIERTO_NUEVO</t>
        </is>
      </c>
      <c r="F413" s="8" t="inlineStr">
        <is>
          <t>Banco / impuesto / gasto</t>
        </is>
      </c>
      <c r="G413" s="8" t="inlineStr">
        <is>
          <t>Copiar en Flexxus: Tipo=MB-EXT | Movimiento=GRAVAMEN LEY 25.413 S/DEB | Monto=4,23 | Fecha: 29/04/2026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Anticipo Ganancias Ley 25.413 débitos</t>
        </is>
      </c>
      <c r="D414" s="9" t="n">
        <v>0.89</v>
      </c>
      <c r="E414" s="8" t="inlineStr">
        <is>
          <t>ABIERTO_NUEVO</t>
        </is>
      </c>
      <c r="F414" s="8" t="inlineStr">
        <is>
          <t>Banco / impuesto / gasto</t>
        </is>
      </c>
      <c r="G414" s="8" t="inlineStr">
        <is>
          <t>Copiar en Flexxus: Tipo=MB-EXT | Movimiento=GRAVAMEN LEY 25.413 S/DEB | Monto=0,89 | Fecha: 29/04/2026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Anticipo Ganancias Ley 25.413 débitos</t>
        </is>
      </c>
      <c r="D415" s="9" t="n">
        <v>2.97</v>
      </c>
      <c r="E415" s="8" t="inlineStr">
        <is>
          <t>ABIERTO_NUEVO</t>
        </is>
      </c>
      <c r="F415" s="8" t="inlineStr">
        <is>
          <t>Banco / impuesto / gasto</t>
        </is>
      </c>
      <c r="G415" s="8" t="inlineStr">
        <is>
          <t>Copiar en Flexxus: Tipo=MB-EXT | Movimiento=GRAVAMEN LEY 25.413 S/DEB | Monto=2,97 | Fecha: 29/04/2026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Anticipo Ganancias Ley 25.413 débitos</t>
        </is>
      </c>
      <c r="D416" s="9" t="n">
        <v>0.34</v>
      </c>
      <c r="E416" s="8" t="inlineStr">
        <is>
          <t>ABIERTO_NUEVO</t>
        </is>
      </c>
      <c r="F416" s="8" t="inlineStr">
        <is>
          <t>Banco / impuesto / gasto</t>
        </is>
      </c>
      <c r="G416" s="8" t="inlineStr">
        <is>
          <t>Copiar en Flexxus: Tipo=MB-EXT | Movimiento=GRAVAMEN LEY 25.413 S/DEB | Monto=0,34 | Fecha: 29/04/2026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Anticipo Ganancias Ley 25.413 débitos</t>
        </is>
      </c>
      <c r="D417" s="9" t="n">
        <v>1.34</v>
      </c>
      <c r="E417" s="8" t="inlineStr">
        <is>
          <t>ABIERTO_NUEVO</t>
        </is>
      </c>
      <c r="F417" s="8" t="inlineStr">
        <is>
          <t>Banco / impuesto / gasto</t>
        </is>
      </c>
      <c r="G417" s="8" t="inlineStr">
        <is>
          <t>Copiar en Flexxus: Tipo=MB-EXT | Movimiento=GRAVAMEN LEY 25.413 S/DEB | Monto=1,34 | Fecha: 29/04/2026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Anticipo Ganancias Ley 25.413 débitos</t>
        </is>
      </c>
      <c r="D418" s="9" t="n">
        <v>1.4</v>
      </c>
      <c r="E418" s="8" t="inlineStr">
        <is>
          <t>ABIERTO_NUEVO</t>
        </is>
      </c>
      <c r="F418" s="8" t="inlineStr">
        <is>
          <t>Banco / impuesto / gasto</t>
        </is>
      </c>
      <c r="G418" s="8" t="inlineStr">
        <is>
          <t>Copiar en Flexxus: Tipo=MB-EXT | Movimiento=GRAVAMEN LEY 25.413 S/DEB | Monto=1,40 | Fecha: 29/04/2026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Anticipo Ganancias Ley 25.413 débitos</t>
        </is>
      </c>
      <c r="D419" s="9" t="n">
        <v>3.07</v>
      </c>
      <c r="E419" s="8" t="inlineStr">
        <is>
          <t>ABIERTO_NUEVO</t>
        </is>
      </c>
      <c r="F419" s="8" t="inlineStr">
        <is>
          <t>Banco / impuesto / gasto</t>
        </is>
      </c>
      <c r="G419" s="8" t="inlineStr">
        <is>
          <t>Copiar en Flexxus: Tipo=MB-EXT | Movimiento=GRAVAMEN LEY 25.413 S/DEB | Monto=3,07 | Fecha: 29/04/2026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Anticipo Ganancias Ley 25.413 débitos</t>
        </is>
      </c>
      <c r="D420" s="9" t="n">
        <v>0.45</v>
      </c>
      <c r="E420" s="8" t="inlineStr">
        <is>
          <t>ABIERTO_NUEVO</t>
        </is>
      </c>
      <c r="F420" s="8" t="inlineStr">
        <is>
          <t>Banco / impuesto / gasto</t>
        </is>
      </c>
      <c r="G420" s="8" t="inlineStr">
        <is>
          <t>Copiar en Flexxus: Tipo=MB-EXT | Movimiento=GRAVAMEN LEY 25.413 S/DEB | Monto=0,45 | Fecha: 29/04/2026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Anticipo Ganancias Ley 25.413 débitos</t>
        </is>
      </c>
      <c r="D421" s="9" t="n">
        <v>1.34</v>
      </c>
      <c r="E421" s="8" t="inlineStr">
        <is>
          <t>ABIERTO_NUEVO</t>
        </is>
      </c>
      <c r="F421" s="8" t="inlineStr">
        <is>
          <t>Banco / impuesto / gasto</t>
        </is>
      </c>
      <c r="G421" s="8" t="inlineStr">
        <is>
          <t>Copiar en Flexxus: Tipo=MB-EXT | Movimiento=GRAVAMEN LEY 25.413 S/DEB | Monto=1,34 | Fecha: 29/04/2026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Anticipo Ganancias Ley 25.413 débitos</t>
        </is>
      </c>
      <c r="D422" s="9" t="n">
        <v>2.67</v>
      </c>
      <c r="E422" s="8" t="inlineStr">
        <is>
          <t>ABIERTO_NUEVO</t>
        </is>
      </c>
      <c r="F422" s="8" t="inlineStr">
        <is>
          <t>Banco / impuesto / gasto</t>
        </is>
      </c>
      <c r="G422" s="8" t="inlineStr">
        <is>
          <t>Copiar en Flexxus: Tipo=MB-EXT | Movimiento=GRAVAMEN LEY 25.413 S/DEB | Monto=2,67 | Fecha: 29/04/2026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Anticipo Ganancias Ley 25.413 débitos</t>
        </is>
      </c>
      <c r="D423" s="9" t="n">
        <v>0.45</v>
      </c>
      <c r="E423" s="8" t="inlineStr">
        <is>
          <t>ABIERTO_NUEVO</t>
        </is>
      </c>
      <c r="F423" s="8" t="inlineStr">
        <is>
          <t>Banco / impuesto / gasto</t>
        </is>
      </c>
      <c r="G423" s="8" t="inlineStr">
        <is>
          <t>Copiar en Flexxus: Tipo=MB-EXT | Movimiento=GRAVAMEN LEY 25.413 S/DEB | Monto=0,45 | Fecha: 29/04/2026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Anticipo Ganancias Ley 25.413 débitos</t>
        </is>
      </c>
      <c r="D424" s="9" t="n">
        <v>2.9</v>
      </c>
      <c r="E424" s="8" t="inlineStr">
        <is>
          <t>ABIERTO_NUEVO</t>
        </is>
      </c>
      <c r="F424" s="8" t="inlineStr">
        <is>
          <t>Banco / impuesto / gasto</t>
        </is>
      </c>
      <c r="G424" s="8" t="inlineStr">
        <is>
          <t>Copiar en Flexxus: Tipo=MB-EXT | Movimiento=GRAVAMEN LEY 25.413 S/DEB | Monto=2,90 | Fecha: 29/04/2026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Anticipo Ganancias Ley 25.413 débitos</t>
        </is>
      </c>
      <c r="D425" s="9" t="n">
        <v>1.34</v>
      </c>
      <c r="E425" s="8" t="inlineStr">
        <is>
          <t>ABIERTO_NUEVO</t>
        </is>
      </c>
      <c r="F425" s="8" t="inlineStr">
        <is>
          <t>Banco / impuesto / gasto</t>
        </is>
      </c>
      <c r="G425" s="8" t="inlineStr">
        <is>
          <t>Copiar en Flexxus: Tipo=MB-EXT | Movimiento=GRAVAMEN LEY 25.413 S/DEB | Monto=1,34 | Fecha: 29/04/2026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Anticipo Ganancias Ley 25.413 débitos</t>
        </is>
      </c>
      <c r="D426" s="9" t="n">
        <v>2.31</v>
      </c>
      <c r="E426" s="8" t="inlineStr">
        <is>
          <t>ABIERTO_NUEVO</t>
        </is>
      </c>
      <c r="F426" s="8" t="inlineStr">
        <is>
          <t>Banco / impuesto / gasto</t>
        </is>
      </c>
      <c r="G426" s="8" t="inlineStr">
        <is>
          <t>Copiar en Flexxus: Tipo=MB-EXT | Movimiento=GRAVAMEN LEY 25.413 S/DEB | Monto=2,31 | Fecha: 29/04/2026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Anticipo Ganancias Ley 25.413 débitos</t>
        </is>
      </c>
      <c r="D427" s="9" t="n">
        <v>0.8</v>
      </c>
      <c r="E427" s="8" t="inlineStr">
        <is>
          <t>ABIERTO_NUEVO</t>
        </is>
      </c>
      <c r="F427" s="8" t="inlineStr">
        <is>
          <t>Banco / impuesto / gasto</t>
        </is>
      </c>
      <c r="G427" s="8" t="inlineStr">
        <is>
          <t>Copiar en Flexxus: Tipo=MB-EXT | Movimiento=GRAVAMEN LEY 25.413 S/DEB | Monto=0,80 | Fecha: 29/04/2026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Anticipo Ganancias Ley 25.413 débitos</t>
        </is>
      </c>
      <c r="D428" s="9" t="n">
        <v>0.74</v>
      </c>
      <c r="E428" s="8" t="inlineStr">
        <is>
          <t>ABIERTO_NUEVO</t>
        </is>
      </c>
      <c r="F428" s="8" t="inlineStr">
        <is>
          <t>Banco / impuesto / gasto</t>
        </is>
      </c>
      <c r="G428" s="8" t="inlineStr">
        <is>
          <t>Copiar en Flexxus: Tipo=MB-EXT | Movimiento=GRAVAMEN LEY 25.413 S/DEB | Monto=0,74 | Fecha: 29/04/2026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Anticipo Ganancias Ley 25.413 débitos</t>
        </is>
      </c>
      <c r="D429" s="9" t="n">
        <v>2.81</v>
      </c>
      <c r="E429" s="8" t="inlineStr">
        <is>
          <t>ABIERTO_NUEVO</t>
        </is>
      </c>
      <c r="F429" s="8" t="inlineStr">
        <is>
          <t>Banco / impuesto / gasto</t>
        </is>
      </c>
      <c r="G429" s="8" t="inlineStr">
        <is>
          <t>Copiar en Flexxus: Tipo=MB-EXT | Movimiento=GRAVAMEN LEY 25.413 S/DEB | Monto=2,81 | Fecha: 29/04/2026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Anticipo Ganancias Ley 25.413 débitos</t>
        </is>
      </c>
      <c r="D430" s="9" t="n">
        <v>3.25</v>
      </c>
      <c r="E430" s="8" t="inlineStr">
        <is>
          <t>ABIERTO_NUEVO</t>
        </is>
      </c>
      <c r="F430" s="8" t="inlineStr">
        <is>
          <t>Banco / impuesto / gasto</t>
        </is>
      </c>
      <c r="G430" s="8" t="inlineStr">
        <is>
          <t>Copiar en Flexxus: Tipo=MB-EXT | Movimiento=GRAVAMEN LEY 25.413 S/DEB | Monto=3,25 | Fecha: 29/04/2026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Anticipo Ganancias Ley 25.413 débitos</t>
        </is>
      </c>
      <c r="D431" s="9" t="n">
        <v>3.29</v>
      </c>
      <c r="E431" s="8" t="inlineStr">
        <is>
          <t>ABIERTO_NUEVO</t>
        </is>
      </c>
      <c r="F431" s="8" t="inlineStr">
        <is>
          <t>Banco / impuesto / gasto</t>
        </is>
      </c>
      <c r="G431" s="8" t="inlineStr">
        <is>
          <t>Copiar en Flexxus: Tipo=MB-EXT | Movimiento=GRAVAMEN LEY 25.413 S/DEB | Monto=3,29 | Fecha: 29/04/2026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Anticipo Ganancias Ley 25.413 débitos</t>
        </is>
      </c>
      <c r="D432" s="9" t="n">
        <v>4.83</v>
      </c>
      <c r="E432" s="8" t="inlineStr">
        <is>
          <t>ABIERTO_NUEVO</t>
        </is>
      </c>
      <c r="F432" s="8" t="inlineStr">
        <is>
          <t>Banco / impuesto / gasto</t>
        </is>
      </c>
      <c r="G432" s="8" t="inlineStr">
        <is>
          <t>Copiar en Flexxus: Tipo=MB-EXT | Movimiento=GRAVAMEN LEY 25.413 S/DEB | Monto=4,83 | Fecha: 29/04/2026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Anticipo Ganancias Ley 25.413 débitos</t>
        </is>
      </c>
      <c r="D433" s="9" t="n">
        <v>1.29</v>
      </c>
      <c r="E433" s="8" t="inlineStr">
        <is>
          <t>ABIERTO_NUEVO</t>
        </is>
      </c>
      <c r="F433" s="8" t="inlineStr">
        <is>
          <t>Banco / impuesto / gasto</t>
        </is>
      </c>
      <c r="G433" s="8" t="inlineStr">
        <is>
          <t>Copiar en Flexxus: Tipo=MB-EXT | Movimiento=GRAVAMEN LEY 25.413 S/DEB | Monto=1,29 | Fecha: 29/04/2026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Anticipo Ganancias Ley 25.413 débitos</t>
        </is>
      </c>
      <c r="D434" s="9" t="n">
        <v>6.07</v>
      </c>
      <c r="E434" s="8" t="inlineStr">
        <is>
          <t>ABIERTO_NUEVO</t>
        </is>
      </c>
      <c r="F434" s="8" t="inlineStr">
        <is>
          <t>Banco / impuesto / gasto</t>
        </is>
      </c>
      <c r="G434" s="8" t="inlineStr">
        <is>
          <t>Copiar en Flexxus: Tipo=MB-EXT | Movimiento=GRAVAMEN LEY 25.413 S/DEB | Monto=6,07 | Fecha: 29/04/2026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Anticipo Ganancias Ley 25.413 débitos</t>
        </is>
      </c>
      <c r="D435" s="9" t="n">
        <v>0.36</v>
      </c>
      <c r="E435" s="8" t="inlineStr">
        <is>
          <t>ABIERTO_NUEVO</t>
        </is>
      </c>
      <c r="F435" s="8" t="inlineStr">
        <is>
          <t>Banco / impuesto / gasto</t>
        </is>
      </c>
      <c r="G435" s="8" t="inlineStr">
        <is>
          <t>Copiar en Flexxus: Tipo=MB-EXT | Movimiento=GRAVAMEN LEY 25.413 S/DEB | Monto=0,36 | Fecha: 29/04/2026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Anticipo Ganancias Ley 25.413 débitos</t>
        </is>
      </c>
      <c r="D436" s="9" t="n">
        <v>3.49</v>
      </c>
      <c r="E436" s="8" t="inlineStr">
        <is>
          <t>ABIERTO_NUEVO</t>
        </is>
      </c>
      <c r="F436" s="8" t="inlineStr">
        <is>
          <t>Banco / impuesto / gasto</t>
        </is>
      </c>
      <c r="G436" s="8" t="inlineStr">
        <is>
          <t>Copiar en Flexxus: Tipo=MB-EXT | Movimiento=GRAVAMEN LEY 25.413 S/DEB | Monto=3,49 | Fecha: 29/04/2026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Anticipo Ganancias Ley 25.413 débitos</t>
        </is>
      </c>
      <c r="D437" s="9" t="n">
        <v>1.53</v>
      </c>
      <c r="E437" s="8" t="inlineStr">
        <is>
          <t>ABIERTO_NUEVO</t>
        </is>
      </c>
      <c r="F437" s="8" t="inlineStr">
        <is>
          <t>Banco / impuesto / gasto</t>
        </is>
      </c>
      <c r="G437" s="8" t="inlineStr">
        <is>
          <t>Copiar en Flexxus: Tipo=MB-EXT | Movimiento=GRAVAMEN LEY 25.413 S/DEB | Monto=1,53 | Fecha: 29/04/2026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Anticipo Ganancias Ley 25.413 débitos</t>
        </is>
      </c>
      <c r="D438" s="9" t="n">
        <v>0.26</v>
      </c>
      <c r="E438" s="8" t="inlineStr">
        <is>
          <t>ABIERTO_NUEVO</t>
        </is>
      </c>
      <c r="F438" s="8" t="inlineStr">
        <is>
          <t>Banco / impuesto / gasto</t>
        </is>
      </c>
      <c r="G438" s="8" t="inlineStr">
        <is>
          <t>Copiar en Flexxus: Tipo=MB-EXT | Movimiento=GRAVAMEN LEY 25.413 S/DEB | Monto=0,26 | Fecha: 29/04/2026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Anticipo Ganancias Ley 25.413 débitos</t>
        </is>
      </c>
      <c r="D439" s="9" t="n">
        <v>2.28</v>
      </c>
      <c r="E439" s="8" t="inlineStr">
        <is>
          <t>ABIERTO_NUEVO</t>
        </is>
      </c>
      <c r="F439" s="8" t="inlineStr">
        <is>
          <t>Banco / impuesto / gasto</t>
        </is>
      </c>
      <c r="G439" s="8" t="inlineStr">
        <is>
          <t>Copiar en Flexxus: Tipo=MB-EXT | Movimiento=GRAVAMEN LEY 25.413 S/DEB | Monto=2,28 | Fecha: 29/04/2026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Anticipo Ganancias Ley 25.413 débitos</t>
        </is>
      </c>
      <c r="D440" s="9" t="n">
        <v>0.78</v>
      </c>
      <c r="E440" s="8" t="inlineStr">
        <is>
          <t>ABIERTO_NUEVO</t>
        </is>
      </c>
      <c r="F440" s="8" t="inlineStr">
        <is>
          <t>Banco / impuesto / gasto</t>
        </is>
      </c>
      <c r="G440" s="8" t="inlineStr">
        <is>
          <t>Copiar en Flexxus: Tipo=MB-EXT | Movimiento=GRAVAMEN LEY 25.413 S/DEB | Monto=0,78 | Fecha: 29/04/2026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Anticipo Ganancias Ley 25.413 débitos</t>
        </is>
      </c>
      <c r="D441" s="9" t="n">
        <v>1.43</v>
      </c>
      <c r="E441" s="8" t="inlineStr">
        <is>
          <t>ABIERTO_NUEVO</t>
        </is>
      </c>
      <c r="F441" s="8" t="inlineStr">
        <is>
          <t>Banco / impuesto / gasto</t>
        </is>
      </c>
      <c r="G441" s="8" t="inlineStr">
        <is>
          <t>Copiar en Flexxus: Tipo=MB-EXT | Movimiento=GRAVAMEN LEY 25.413 S/DEB | Monto=1,43 | Fecha: 29/04/2026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Anticipo Ganancias Ley 25.413 débitos</t>
        </is>
      </c>
      <c r="D442" s="9" t="n">
        <v>1.53</v>
      </c>
      <c r="E442" s="8" t="inlineStr">
        <is>
          <t>ABIERTO_NUEVO</t>
        </is>
      </c>
      <c r="F442" s="8" t="inlineStr">
        <is>
          <t>Banco / impuesto / gasto</t>
        </is>
      </c>
      <c r="G442" s="8" t="inlineStr">
        <is>
          <t>Copiar en Flexxus: Tipo=MB-EXT | Movimiento=GRAVAMEN LEY 25.413 S/DEB | Monto=1,53 | Fecha: 29/04/2026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Anticipo Ganancias Ley 25.413 débitos</t>
        </is>
      </c>
      <c r="D443" s="9" t="n">
        <v>0.61</v>
      </c>
      <c r="E443" s="8" t="inlineStr">
        <is>
          <t>ABIERTO_NUEVO</t>
        </is>
      </c>
      <c r="F443" s="8" t="inlineStr">
        <is>
          <t>Banco / impuesto / gasto</t>
        </is>
      </c>
      <c r="G443" s="8" t="inlineStr">
        <is>
          <t>Copiar en Flexxus: Tipo=MB-EXT | Movimiento=GRAVAMEN LEY 25.413 S/DEB | Monto=0,61 | Fecha: 29/04/2026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Anticipo Ganancias Ley 25.413 débitos</t>
        </is>
      </c>
      <c r="D444" s="9" t="n">
        <v>2.08</v>
      </c>
      <c r="E444" s="8" t="inlineStr">
        <is>
          <t>ABIERTO_NUEVO</t>
        </is>
      </c>
      <c r="F444" s="8" t="inlineStr">
        <is>
          <t>Banco / impuesto / gasto</t>
        </is>
      </c>
      <c r="G444" s="8" t="inlineStr">
        <is>
          <t>Copiar en Flexxus: Tipo=MB-EXT | Movimiento=GRAVAMEN LEY 25.413 S/DEB | Monto=2,08 | Fecha: 29/04/2026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Anticipo Ganancias Ley 25.413 débitos</t>
        </is>
      </c>
      <c r="D445" s="9" t="n">
        <v>2.1</v>
      </c>
      <c r="E445" s="8" t="inlineStr">
        <is>
          <t>ABIERTO_NUEVO</t>
        </is>
      </c>
      <c r="F445" s="8" t="inlineStr">
        <is>
          <t>Banco / impuesto / gasto</t>
        </is>
      </c>
      <c r="G445" s="8" t="inlineStr">
        <is>
          <t>Copiar en Flexxus: Tipo=MB-EXT | Movimiento=GRAVAMEN LEY 25.413 S/DEB | Monto=2,10 | Fecha: 29/04/2026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Anticipo Ganancias Ley 25.413 débitos</t>
        </is>
      </c>
      <c r="D446" s="9" t="n">
        <v>1.43</v>
      </c>
      <c r="E446" s="8" t="inlineStr">
        <is>
          <t>ABIERTO_NUEVO</t>
        </is>
      </c>
      <c r="F446" s="8" t="inlineStr">
        <is>
          <t>Banco / impuesto / gasto</t>
        </is>
      </c>
      <c r="G446" s="8" t="inlineStr">
        <is>
          <t>Copiar en Flexxus: Tipo=MB-EXT | Movimiento=GRAVAMEN LEY 25.413 S/DEB | Monto=1,43 | Fecha: 29/04/2026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Anticipo Ganancias Ley 25.413 débitos</t>
        </is>
      </c>
      <c r="D447" s="9" t="n">
        <v>2.76</v>
      </c>
      <c r="E447" s="8" t="inlineStr">
        <is>
          <t>ABIERTO_NUEVO</t>
        </is>
      </c>
      <c r="F447" s="8" t="inlineStr">
        <is>
          <t>Banco / impuesto / gasto</t>
        </is>
      </c>
      <c r="G447" s="8" t="inlineStr">
        <is>
          <t>Copiar en Flexxus: Tipo=MB-EXT | Movimiento=GRAVAMEN LEY 25.413 S/DEB | Monto=2,76 | Fecha: 29/04/2026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Anticipo Ganancias Ley 25.413 débitos</t>
        </is>
      </c>
      <c r="D448" s="9" t="n">
        <v>5.7</v>
      </c>
      <c r="E448" s="8" t="inlineStr">
        <is>
          <t>ABIERTO_NUEVO</t>
        </is>
      </c>
      <c r="F448" s="8" t="inlineStr">
        <is>
          <t>Banco / impuesto / gasto</t>
        </is>
      </c>
      <c r="G448" s="8" t="inlineStr">
        <is>
          <t>Copiar en Flexxus: Tipo=MB-EXT | Movimiento=GRAVAMEN LEY 25.413 S/DEB | Monto=5,70 | Fecha: 29/04/2026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Débito liquidación tarjeta</t>
        </is>
      </c>
      <c r="D449" s="9" t="n">
        <v>145.75</v>
      </c>
      <c r="E449" s="8" t="inlineStr">
        <is>
          <t>ABIERTO</t>
        </is>
      </c>
      <c r="F449" s="8" t="inlineStr">
        <is>
          <t>Banco / impuesto / gasto</t>
        </is>
      </c>
      <c r="G449" s="8" t="inlineStr">
        <is>
          <t>Copiar en Flexxus: Tipo=MB-EXT | Movimiento=DEB LIQ MASTERCARD 24H | Monto=145,75 | Fecha: 27/04/2026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Débito liquidación tarjeta</t>
        </is>
      </c>
      <c r="D450" s="9" t="n">
        <v>75.09999999999999</v>
      </c>
      <c r="E450" s="8" t="inlineStr">
        <is>
          <t>ABIERTO</t>
        </is>
      </c>
      <c r="F450" s="8" t="inlineStr">
        <is>
          <t>Banco / impuesto / gasto</t>
        </is>
      </c>
      <c r="G450" s="8" t="inlineStr">
        <is>
          <t>Copiar en Flexxus: Tipo=MB-EXT | Movimiento=DEB LIQ MASTERCARD 24H | Monto=75,10 | Fecha: 28/04/2026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Débito liquidación tarjeta</t>
        </is>
      </c>
      <c r="D451" s="9" t="n">
        <v>24.86</v>
      </c>
      <c r="E451" s="8" t="inlineStr">
        <is>
          <t>ABIERTO</t>
        </is>
      </c>
      <c r="F451" s="8" t="inlineStr">
        <is>
          <t>Banco / impuesto / gasto</t>
        </is>
      </c>
      <c r="G451" s="8" t="inlineStr">
        <is>
          <t>Copiar en Flexxus: Tipo=MB-EXT | Movimiento=DEB LIQ MASTERCARD 24H | Monto=24,86 | Fecha: 27/04/2026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Débito liquidación tarjeta</t>
        </is>
      </c>
      <c r="D452" s="9" t="n">
        <v>690.62</v>
      </c>
      <c r="E452" s="8" t="inlineStr">
        <is>
          <t>ABIERTO_NUEVO</t>
        </is>
      </c>
      <c r="F452" s="8" t="inlineStr">
        <is>
          <t>Banco / impuesto / gasto</t>
        </is>
      </c>
      <c r="G452" s="8" t="inlineStr">
        <is>
          <t>Copiar en Flexxus: Tipo=MB-EXT | Movimiento=DEB LIQ MASTERCARD 24H | Monto=690,62 | Fecha: 29/04/2026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Débito liquidación tarjeta</t>
        </is>
      </c>
      <c r="D453" s="9" t="n">
        <v>172.61</v>
      </c>
      <c r="E453" s="8" t="inlineStr">
        <is>
          <t>ABIERTO_NUEVO</t>
        </is>
      </c>
      <c r="F453" s="8" t="inlineStr">
        <is>
          <t>Banco / impuesto / gasto</t>
        </is>
      </c>
      <c r="G453" s="8" t="inlineStr">
        <is>
          <t>Copiar en Flexxus: Tipo=MB-EXT | Movimiento=DEB LIQ MASTERCARD 24H | Monto=172,61 | Fecha: 29/04/2026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Débito liquidación tarjeta</t>
        </is>
      </c>
      <c r="D454" s="9" t="n">
        <v>64.8</v>
      </c>
      <c r="E454" s="8" t="inlineStr">
        <is>
          <t>ABIERTO_NUEVO</t>
        </is>
      </c>
      <c r="F454" s="8" t="inlineStr">
        <is>
          <t>Banco / impuesto / gasto</t>
        </is>
      </c>
      <c r="G454" s="8" t="inlineStr">
        <is>
          <t>Copiar en Flexxus: Tipo=MB-EXT | Movimiento=DEB LIQ MASTERCARD 24H | Monto=64,80 | Fecha: 29/04/2026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Débito pago directo</t>
        </is>
      </c>
      <c r="D455" s="9" t="n">
        <v>1734593.38</v>
      </c>
      <c r="E455" s="8" t="inlineStr">
        <is>
          <t>ABIERTO</t>
        </is>
      </c>
      <c r="F455" s="8" t="inlineStr">
        <is>
          <t>Banco / impuesto / gasto</t>
        </is>
      </c>
      <c r="G455" s="8" t="inlineStr">
        <is>
          <t>Copiar en Flexxus: Tipo=MB-EXT | Movimiento=DEBITO PAGO DIRECTO | Monto=1.734.593,38 | Fecha: 24/04/2026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Gasto bancario / comisión</t>
        </is>
      </c>
      <c r="D456" s="9" t="n">
        <v>956</v>
      </c>
      <c r="E456" s="8" t="inlineStr">
        <is>
          <t>ABIERTO</t>
        </is>
      </c>
      <c r="F456" s="8" t="inlineStr">
        <is>
          <t>Banco / impuesto / gasto</t>
        </is>
      </c>
      <c r="G456" s="8" t="inlineStr">
        <is>
          <t>Copiar en Flexxus: Tipo=MB-EXT | Movimiento=COM TRANSFE ELECTRONICA | Monto=956,00 | Fecha: 27/04/2026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IVA base / IVA sobre gastos</t>
        </is>
      </c>
      <c r="D457" s="9" t="n">
        <v>200.76</v>
      </c>
      <c r="E457" s="8" t="inlineStr">
        <is>
          <t>ABIERTO</t>
        </is>
      </c>
      <c r="F457" s="8" t="inlineStr">
        <is>
          <t>Banco / impuesto / gasto</t>
        </is>
      </c>
      <c r="G457" s="8" t="inlineStr">
        <is>
          <t>Copiar en Flexxus: Tipo=MB-EXT | Movimiento=I.V.A. BASE | Monto=200,76 | Fecha: 27/04/2026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Retención Ingresos Brutos Mendoza</t>
        </is>
      </c>
      <c r="D458" s="9" t="n">
        <v>28351.84</v>
      </c>
      <c r="E458" s="8" t="inlineStr">
        <is>
          <t>ABIERTO</t>
        </is>
      </c>
      <c r="F458" s="8" t="inlineStr">
        <is>
          <t>Banco / impuesto / gasto</t>
        </is>
      </c>
      <c r="G458" s="8" t="inlineStr">
        <is>
          <t>Copiar en Flexxus: Tipo=MB-EXT | Movimiento=INGRESOS BRUTOS MENDOZA | Monto=28.351,84 | Fecha: 27/04/2026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Retención Ingresos Brutos Mendoza</t>
        </is>
      </c>
      <c r="D459" s="9" t="n">
        <v>20450.23</v>
      </c>
      <c r="E459" s="8" t="inlineStr">
        <is>
          <t>ABIERTO</t>
        </is>
      </c>
      <c r="F459" s="8" t="inlineStr">
        <is>
          <t>Banco / impuesto / gasto</t>
        </is>
      </c>
      <c r="G459" s="8" t="inlineStr">
        <is>
          <t>Copiar en Flexxus: Tipo=MB-EXT | Movimiento=INGRESOS BRUTOS MENDOZA | Monto=20.450,23 | Fecha: 28/04/2026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Retención Ingresos Brutos Mendoza</t>
        </is>
      </c>
      <c r="D460" s="9" t="n">
        <v>10690.93</v>
      </c>
      <c r="E460" s="8" t="inlineStr">
        <is>
          <t>ABIERTO</t>
        </is>
      </c>
      <c r="F460" s="8" t="inlineStr">
        <is>
          <t>Banco / impuesto / gasto</t>
        </is>
      </c>
      <c r="G460" s="8" t="inlineStr">
        <is>
          <t>Copiar en Flexxus: Tipo=MB-EXT | Movimiento=INGRESOS BRUTOS MENDOZA | Monto=10.690,93 | Fecha: 28/04/2026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Retención Ingresos Brutos Mendoza</t>
        </is>
      </c>
      <c r="D461" s="9" t="n">
        <v>8373.370000000001</v>
      </c>
      <c r="E461" s="8" t="inlineStr">
        <is>
          <t>ABIERTO</t>
        </is>
      </c>
      <c r="F461" s="8" t="inlineStr">
        <is>
          <t>Banco / impuesto / gasto</t>
        </is>
      </c>
      <c r="G461" s="8" t="inlineStr">
        <is>
          <t>Copiar en Flexxus: Tipo=MB-EXT | Movimiento=INGRESOS BRUTOS MENDOZA | Monto=8.373,37 | Fecha: 28/04/2026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Retención Ingresos Brutos Mendoza</t>
        </is>
      </c>
      <c r="D462" s="9" t="n">
        <v>6476.19</v>
      </c>
      <c r="E462" s="8" t="inlineStr">
        <is>
          <t>ABIERTO</t>
        </is>
      </c>
      <c r="F462" s="8" t="inlineStr">
        <is>
          <t>Banco / impuesto / gasto</t>
        </is>
      </c>
      <c r="G462" s="8" t="inlineStr">
        <is>
          <t>Copiar en Flexxus: Tipo=MB-EXT | Movimiento=INGRESOS BRUTOS MENDOZA | Monto=6.476,19 | Fecha: 27/04/2026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Retención Ingresos Brutos Mendoza</t>
        </is>
      </c>
      <c r="D463" s="9" t="n">
        <v>5946.34</v>
      </c>
      <c r="E463" s="8" t="inlineStr">
        <is>
          <t>ABIERTO</t>
        </is>
      </c>
      <c r="F463" s="8" t="inlineStr">
        <is>
          <t>Banco / impuesto / gasto</t>
        </is>
      </c>
      <c r="G463" s="8" t="inlineStr">
        <is>
          <t>Copiar en Flexxus: Tipo=MB-EXT | Movimiento=INGRESOS BRUTOS MENDOZA | Monto=5.946,34 | Fecha: 28/04/2026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Retención Ingresos Brutos Mendoza</t>
        </is>
      </c>
      <c r="D464" s="9" t="n">
        <v>5274.58</v>
      </c>
      <c r="E464" s="8" t="inlineStr">
        <is>
          <t>ABIERTO</t>
        </is>
      </c>
      <c r="F464" s="8" t="inlineStr">
        <is>
          <t>Banco / impuesto / gasto</t>
        </is>
      </c>
      <c r="G464" s="8" t="inlineStr">
        <is>
          <t>Copiar en Flexxus: Tipo=MB-EXT | Movimiento=INGRESOS BRUTOS MENDOZA | Monto=5.274,58 | Fecha: 28/04/2026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Retención Ingresos Brutos Mendoza</t>
        </is>
      </c>
      <c r="D465" s="9" t="n">
        <v>5174.04</v>
      </c>
      <c r="E465" s="8" t="inlineStr">
        <is>
          <t>ABIERTO</t>
        </is>
      </c>
      <c r="F465" s="8" t="inlineStr">
        <is>
          <t>Banco / impuesto / gasto</t>
        </is>
      </c>
      <c r="G465" s="8" t="inlineStr">
        <is>
          <t>Copiar en Flexxus: Tipo=MB-EXT | Movimiento=INGRESOS BRUTOS MENDOZA | Monto=5.174,04 | Fecha: 28/04/2026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Retención Ingresos Brutos Mendoza</t>
        </is>
      </c>
      <c r="D466" s="9" t="n">
        <v>4756.38</v>
      </c>
      <c r="E466" s="8" t="inlineStr">
        <is>
          <t>ABIERTO</t>
        </is>
      </c>
      <c r="F466" s="8" t="inlineStr">
        <is>
          <t>Banco / impuesto / gasto</t>
        </is>
      </c>
      <c r="G466" s="8" t="inlineStr">
        <is>
          <t>Copiar en Flexxus: Tipo=MB-EXT | Movimiento=INGRESOS BRUTOS MENDOZA | Monto=4.756,38 | Fecha: 28/04/2026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Retención Ingresos Brutos Mendoza</t>
        </is>
      </c>
      <c r="D467" s="9" t="n">
        <v>4752.83</v>
      </c>
      <c r="E467" s="8" t="inlineStr">
        <is>
          <t>ABIERTO</t>
        </is>
      </c>
      <c r="F467" s="8" t="inlineStr">
        <is>
          <t>Banco / impuesto / gasto</t>
        </is>
      </c>
      <c r="G467" s="8" t="inlineStr">
        <is>
          <t>Copiar en Flexxus: Tipo=MB-EXT | Movimiento=INGRESOS BRUTOS MENDOZA | Monto=4.752,83 | Fecha: 27/04/2026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Retención Ingresos Brutos Mendoza</t>
        </is>
      </c>
      <c r="D468" s="9" t="n">
        <v>4719.26</v>
      </c>
      <c r="E468" s="8" t="inlineStr">
        <is>
          <t>ABIERTO</t>
        </is>
      </c>
      <c r="F468" s="8" t="inlineStr">
        <is>
          <t>Banco / impuesto / gasto</t>
        </is>
      </c>
      <c r="G468" s="8" t="inlineStr">
        <is>
          <t>Copiar en Flexxus: Tipo=MB-EXT | Movimiento=INGRESOS BRUTOS MENDOZA | Monto=4.719,26 | Fecha: 27/04/2026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Retención Ingresos Brutos Mendoza</t>
        </is>
      </c>
      <c r="D469" s="9" t="n">
        <v>4534.48</v>
      </c>
      <c r="E469" s="8" t="inlineStr">
        <is>
          <t>ABIERTO</t>
        </is>
      </c>
      <c r="F469" s="8" t="inlineStr">
        <is>
          <t>Banco / impuesto / gasto</t>
        </is>
      </c>
      <c r="G469" s="8" t="inlineStr">
        <is>
          <t>Copiar en Flexxus: Tipo=MB-EXT | Movimiento=INGRESOS BRUTOS MENDOZA | Monto=4.534,48 | Fecha: 27/04/2026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Retención Ingresos Brutos Mendoza</t>
        </is>
      </c>
      <c r="D470" s="9" t="n">
        <v>4311.86</v>
      </c>
      <c r="E470" s="8" t="inlineStr">
        <is>
          <t>ABIERTO</t>
        </is>
      </c>
      <c r="F470" s="8" t="inlineStr">
        <is>
          <t>Banco / impuesto / gasto</t>
        </is>
      </c>
      <c r="G470" s="8" t="inlineStr">
        <is>
          <t>Copiar en Flexxus: Tipo=MB-EXT | Movimiento=INGRESOS BRUTOS MENDOZA | Monto=4.311,86 | Fecha: 28/04/2026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Retención Ingresos Brutos Mendoza</t>
        </is>
      </c>
      <c r="D471" s="9" t="n">
        <v>3596.85</v>
      </c>
      <c r="E471" s="8" t="inlineStr">
        <is>
          <t>ABIERTO</t>
        </is>
      </c>
      <c r="F471" s="8" t="inlineStr">
        <is>
          <t>Banco / impuesto / gasto</t>
        </is>
      </c>
      <c r="G471" s="8" t="inlineStr">
        <is>
          <t>Copiar en Flexxus: Tipo=MB-EXT | Movimiento=INGRESOS BRUTOS MENDOZA | Monto=3.596,85 | Fecha: 27/04/2026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Retención Ingresos Brutos Mendoza</t>
        </is>
      </c>
      <c r="D472" s="9" t="n">
        <v>2952.59</v>
      </c>
      <c r="E472" s="8" t="inlineStr">
        <is>
          <t>ABIERTO</t>
        </is>
      </c>
      <c r="F472" s="8" t="inlineStr">
        <is>
          <t>Banco / impuesto / gasto</t>
        </is>
      </c>
      <c r="G472" s="8" t="inlineStr">
        <is>
          <t>Copiar en Flexxus: Tipo=MB-EXT | Movimiento=INGRESOS BRUTOS MENDOZA | Monto=2.952,59 | Fecha: 27/04/2026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Retención Ingresos Brutos Mendoza</t>
        </is>
      </c>
      <c r="D473" s="9" t="n">
        <v>2782.07</v>
      </c>
      <c r="E473" s="8" t="inlineStr">
        <is>
          <t>ABIERTO</t>
        </is>
      </c>
      <c r="F473" s="8" t="inlineStr">
        <is>
          <t>Banco / impuesto / gasto</t>
        </is>
      </c>
      <c r="G473" s="8" t="inlineStr">
        <is>
          <t>Copiar en Flexxus: Tipo=MB-EXT | Movimiento=INGRESOS BRUTOS MENDOZA | Monto=2.782,07 | Fecha: 28/04/2026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Retención Ingresos Brutos Mendoza</t>
        </is>
      </c>
      <c r="D474" s="9" t="n">
        <v>2746.52</v>
      </c>
      <c r="E474" s="8" t="inlineStr">
        <is>
          <t>ABIERTO</t>
        </is>
      </c>
      <c r="F474" s="8" t="inlineStr">
        <is>
          <t>Banco / impuesto / gasto</t>
        </is>
      </c>
      <c r="G474" s="8" t="inlineStr">
        <is>
          <t>Copiar en Flexxus: Tipo=MB-EXT | Movimiento=INGRESOS BRUTOS MENDOZA | Monto=2.746,52 | Fecha: 28/04/2026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Retención Ingresos Brutos Mendoza</t>
        </is>
      </c>
      <c r="D475" s="9" t="n">
        <v>2739.75</v>
      </c>
      <c r="E475" s="8" t="inlineStr">
        <is>
          <t>ABIERTO</t>
        </is>
      </c>
      <c r="F475" s="8" t="inlineStr">
        <is>
          <t>Banco / impuesto / gasto</t>
        </is>
      </c>
      <c r="G475" s="8" t="inlineStr">
        <is>
          <t>Copiar en Flexxus: Tipo=MB-EXT | Movimiento=INGRESOS BRUTOS MENDOZA | Monto=2.739,75 | Fecha: 28/04/2026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Retención Ingresos Brutos Mendoza</t>
        </is>
      </c>
      <c r="D476" s="9" t="n">
        <v>1915.54</v>
      </c>
      <c r="E476" s="8" t="inlineStr">
        <is>
          <t>ABIERTO</t>
        </is>
      </c>
      <c r="F476" s="8" t="inlineStr">
        <is>
          <t>Banco / impuesto / gasto</t>
        </is>
      </c>
      <c r="G476" s="8" t="inlineStr">
        <is>
          <t>Copiar en Flexxus: Tipo=MB-EXT | Movimiento=INGRESOS BRUTOS MENDOZA | Monto=1.915,54 | Fecha: 27/04/2026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Retención Ingresos Brutos Mendoza</t>
        </is>
      </c>
      <c r="D477" s="9" t="n">
        <v>1549.62</v>
      </c>
      <c r="E477" s="8" t="inlineStr">
        <is>
          <t>ABIERTO</t>
        </is>
      </c>
      <c r="F477" s="8" t="inlineStr">
        <is>
          <t>Banco / impuesto / gasto</t>
        </is>
      </c>
      <c r="G477" s="8" t="inlineStr">
        <is>
          <t>Copiar en Flexxus: Tipo=MB-EXT | Movimiento=INGRESOS BRUTOS MENDOZA | Monto=1.549,62 | Fecha: 27/04/2026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Retención Ingresos Brutos Mendoza</t>
        </is>
      </c>
      <c r="D478" s="9" t="n">
        <v>1520.29</v>
      </c>
      <c r="E478" s="8" t="inlineStr">
        <is>
          <t>ABIERTO</t>
        </is>
      </c>
      <c r="F478" s="8" t="inlineStr">
        <is>
          <t>Banco / impuesto / gasto</t>
        </is>
      </c>
      <c r="G478" s="8" t="inlineStr">
        <is>
          <t>Copiar en Flexxus: Tipo=MB-EXT | Movimiento=INGRESOS BRUTOS MENDOZA | Monto=1.520,29 | Fecha: 28/04/2026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Retención Ingresos Brutos Mendoza</t>
        </is>
      </c>
      <c r="D479" s="9" t="n">
        <v>1502.6</v>
      </c>
      <c r="E479" s="8" t="inlineStr">
        <is>
          <t>ABIERTO</t>
        </is>
      </c>
      <c r="F479" s="8" t="inlineStr">
        <is>
          <t>Banco / impuesto / gasto</t>
        </is>
      </c>
      <c r="G479" s="8" t="inlineStr">
        <is>
          <t>Copiar en Flexxus: Tipo=MB-EXT | Movimiento=INGRESOS BRUTOS MENDOZA | Monto=1.502,60 | Fecha: 28/04/2026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Retención Ingresos Brutos Mendoza</t>
        </is>
      </c>
      <c r="D480" s="9" t="n">
        <v>1494.39</v>
      </c>
      <c r="E480" s="8" t="inlineStr">
        <is>
          <t>ABIERTO</t>
        </is>
      </c>
      <c r="F480" s="8" t="inlineStr">
        <is>
          <t>Banco / impuesto / gasto</t>
        </is>
      </c>
      <c r="G480" s="8" t="inlineStr">
        <is>
          <t>Copiar en Flexxus: Tipo=MB-EXT | Movimiento=INGRESOS BRUTOS MENDOZA | Monto=1.494,39 | Fecha: 27/04/2026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Retención Ingresos Brutos Mendoza</t>
        </is>
      </c>
      <c r="D481" s="9" t="n">
        <v>1401.99</v>
      </c>
      <c r="E481" s="8" t="inlineStr">
        <is>
          <t>ABIERTO</t>
        </is>
      </c>
      <c r="F481" s="8" t="inlineStr">
        <is>
          <t>Banco / impuesto / gasto</t>
        </is>
      </c>
      <c r="G481" s="8" t="inlineStr">
        <is>
          <t>Copiar en Flexxus: Tipo=MB-EXT | Movimiento=INGRESOS BRUTOS MENDOZA | Monto=1.401,99 | Fecha: 27/04/2026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Retención Ingresos Brutos Mendoza</t>
        </is>
      </c>
      <c r="D482" s="9" t="n">
        <v>1374.17</v>
      </c>
      <c r="E482" s="8" t="inlineStr">
        <is>
          <t>ABIERTO</t>
        </is>
      </c>
      <c r="F482" s="8" t="inlineStr">
        <is>
          <t>Banco / impuesto / gasto</t>
        </is>
      </c>
      <c r="G482" s="8" t="inlineStr">
        <is>
          <t>Copiar en Flexxus: Tipo=MB-EXT | Movimiento=INGRESOS BRUTOS MENDOZA | Monto=1.374,17 | Fecha: 28/04/2026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Retención Ingresos Brutos Mendoza</t>
        </is>
      </c>
      <c r="D483" s="9" t="n">
        <v>1356.04</v>
      </c>
      <c r="E483" s="8" t="inlineStr">
        <is>
          <t>ABIERTO</t>
        </is>
      </c>
      <c r="F483" s="8" t="inlineStr">
        <is>
          <t>Banco / impuesto / gasto</t>
        </is>
      </c>
      <c r="G483" s="8" t="inlineStr">
        <is>
          <t>Copiar en Flexxus: Tipo=MB-EXT | Movimiento=INGRESOS BRUTOS MENDOZA | Monto=1.356,04 | Fecha: 28/04/2026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Retención Ingresos Brutos Mendoza</t>
        </is>
      </c>
      <c r="D484" s="9" t="n">
        <v>1332.68</v>
      </c>
      <c r="E484" s="8" t="inlineStr">
        <is>
          <t>ABIERTO</t>
        </is>
      </c>
      <c r="F484" s="8" t="inlineStr">
        <is>
          <t>Banco / impuesto / gasto</t>
        </is>
      </c>
      <c r="G484" s="8" t="inlineStr">
        <is>
          <t>Copiar en Flexxus: Tipo=MB-EXT | Movimiento=INGRESOS BRUTOS MENDOZA | Monto=1.332,68 | Fecha: 27/04/2026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Retención Ingresos Brutos Mendoza</t>
        </is>
      </c>
      <c r="D485" s="9" t="n">
        <v>1255.34</v>
      </c>
      <c r="E485" s="8" t="inlineStr">
        <is>
          <t>ABIERTO</t>
        </is>
      </c>
      <c r="F485" s="8" t="inlineStr">
        <is>
          <t>Banco / impuesto / gasto</t>
        </is>
      </c>
      <c r="G485" s="8" t="inlineStr">
        <is>
          <t>Copiar en Flexxus: Tipo=MB-EXT | Movimiento=INGRESOS BRUTOS MENDOZA | Monto=1.255,34 | Fecha: 27/04/2026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Retención Ingresos Brutos Mendoza</t>
        </is>
      </c>
      <c r="D486" s="9" t="n">
        <v>1214.13</v>
      </c>
      <c r="E486" s="8" t="inlineStr">
        <is>
          <t>ABIERTO</t>
        </is>
      </c>
      <c r="F486" s="8" t="inlineStr">
        <is>
          <t>Banco / impuesto / gasto</t>
        </is>
      </c>
      <c r="G486" s="8" t="inlineStr">
        <is>
          <t>Copiar en Flexxus: Tipo=MB-EXT | Movimiento=INGRESOS BRUTOS MENDOZA | Monto=1.214,13 | Fecha: 27/04/2026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Retención Ingresos Brutos Mendoza</t>
        </is>
      </c>
      <c r="D487" s="9" t="n">
        <v>1160.78</v>
      </c>
      <c r="E487" s="8" t="inlineStr">
        <is>
          <t>ABIERTO</t>
        </is>
      </c>
      <c r="F487" s="8" t="inlineStr">
        <is>
          <t>Banco / impuesto / gasto</t>
        </is>
      </c>
      <c r="G487" s="8" t="inlineStr">
        <is>
          <t>Copiar en Flexxus: Tipo=MB-EXT | Movimiento=INGRESOS BRUTOS MENDOZA | Monto=1.160,78 | Fecha: 27/04/2026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Retención Ingresos Brutos Mendoza</t>
        </is>
      </c>
      <c r="D488" s="9" t="n">
        <v>1148.93</v>
      </c>
      <c r="E488" s="8" t="inlineStr">
        <is>
          <t>ABIERTO</t>
        </is>
      </c>
      <c r="F488" s="8" t="inlineStr">
        <is>
          <t>Banco / impuesto / gasto</t>
        </is>
      </c>
      <c r="G488" s="8" t="inlineStr">
        <is>
          <t>Copiar en Flexxus: Tipo=MB-EXT | Movimiento=INGRESOS BRUTOS MENDOZA | Monto=1.148,93 | Fecha: 28/04/2026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Retención Ingresos Brutos Mendoza</t>
        </is>
      </c>
      <c r="D489" s="9" t="n">
        <v>1136.89</v>
      </c>
      <c r="E489" s="8" t="inlineStr">
        <is>
          <t>ABIERTO</t>
        </is>
      </c>
      <c r="F489" s="8" t="inlineStr">
        <is>
          <t>Banco / impuesto / gasto</t>
        </is>
      </c>
      <c r="G489" s="8" t="inlineStr">
        <is>
          <t>Copiar en Flexxus: Tipo=MB-EXT | Movimiento=INGRESOS BRUTOS MENDOZA | Monto=1.136,89 | Fecha: 27/04/2026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Retención Ingresos Brutos Mendoza</t>
        </is>
      </c>
      <c r="D490" s="9" t="n">
        <v>1132.13</v>
      </c>
      <c r="E490" s="8" t="inlineStr">
        <is>
          <t>ABIERTO</t>
        </is>
      </c>
      <c r="F490" s="8" t="inlineStr">
        <is>
          <t>Banco / impuesto / gasto</t>
        </is>
      </c>
      <c r="G490" s="8" t="inlineStr">
        <is>
          <t>Copiar en Flexxus: Tipo=MB-EXT | Movimiento=INGRESOS BRUTOS MENDOZA | Monto=1.132,13 | Fecha: 28/04/2026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Retención Ingresos Brutos Mendoza</t>
        </is>
      </c>
      <c r="D491" s="9" t="n">
        <v>1100.54</v>
      </c>
      <c r="E491" s="8" t="inlineStr">
        <is>
          <t>ABIERTO</t>
        </is>
      </c>
      <c r="F491" s="8" t="inlineStr">
        <is>
          <t>Banco / impuesto / gasto</t>
        </is>
      </c>
      <c r="G491" s="8" t="inlineStr">
        <is>
          <t>Copiar en Flexxus: Tipo=MB-EXT | Movimiento=INGRESOS BRUTOS MENDOZA | Monto=1.100,54 | Fecha: 27/04/2026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Retención Ingresos Brutos Mendoza</t>
        </is>
      </c>
      <c r="D492" s="9" t="n">
        <v>1093.31</v>
      </c>
      <c r="E492" s="8" t="inlineStr">
        <is>
          <t>ABIERTO</t>
        </is>
      </c>
      <c r="F492" s="8" t="inlineStr">
        <is>
          <t>Banco / impuesto / gasto</t>
        </is>
      </c>
      <c r="G492" s="8" t="inlineStr">
        <is>
          <t>Copiar en Flexxus: Tipo=MB-EXT | Movimiento=INGRESOS BRUTOS MENDOZA | Monto=1.093,31 | Fecha: 27/04/2026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Retención Ingresos Brutos Mendoza</t>
        </is>
      </c>
      <c r="D493" s="9" t="n">
        <v>1066.08</v>
      </c>
      <c r="E493" s="8" t="inlineStr">
        <is>
          <t>ABIERTO</t>
        </is>
      </c>
      <c r="F493" s="8" t="inlineStr">
        <is>
          <t>Banco / impuesto / gasto</t>
        </is>
      </c>
      <c r="G493" s="8" t="inlineStr">
        <is>
          <t>Copiar en Flexxus: Tipo=MB-EXT | Movimiento=INGRESOS BRUTOS MENDOZA | Monto=1.066,08 | Fecha: 27/04/2026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Retención Ingresos Brutos Mendoza</t>
        </is>
      </c>
      <c r="D494" s="9" t="n">
        <v>1013.1</v>
      </c>
      <c r="E494" s="8" t="inlineStr">
        <is>
          <t>ABIERTO</t>
        </is>
      </c>
      <c r="F494" s="8" t="inlineStr">
        <is>
          <t>Banco / impuesto / gasto</t>
        </is>
      </c>
      <c r="G494" s="8" t="inlineStr">
        <is>
          <t>Copiar en Flexxus: Tipo=MB-EXT | Movimiento=INGRESOS BRUTOS MENDOZA | Monto=1.013,10 | Fecha: 28/04/2026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Retención Ingresos Brutos Mendoza</t>
        </is>
      </c>
      <c r="D495" s="9" t="n">
        <v>988</v>
      </c>
      <c r="E495" s="8" t="inlineStr">
        <is>
          <t>ABIERTO</t>
        </is>
      </c>
      <c r="F495" s="8" t="inlineStr">
        <is>
          <t>Banco / impuesto / gasto</t>
        </is>
      </c>
      <c r="G495" s="8" t="inlineStr">
        <is>
          <t>Copiar en Flexxus: Tipo=MB-EXT | Movimiento=INGRESOS BRUTOS MENDOZA | Monto=988,00 | Fecha: 27/04/2026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Retención Ingresos Brutos Mendoza</t>
        </is>
      </c>
      <c r="D496" s="9" t="n">
        <v>940.8</v>
      </c>
      <c r="E496" s="8" t="inlineStr">
        <is>
          <t>ABIERTO</t>
        </is>
      </c>
      <c r="F496" s="8" t="inlineStr">
        <is>
          <t>Banco / impuesto / gasto</t>
        </is>
      </c>
      <c r="G496" s="8" t="inlineStr">
        <is>
          <t>Copiar en Flexxus: Tipo=MB-EXT | Movimiento=INGRESOS BRUTOS MENDOZA | Monto=940,80 | Fecha: 27/04/2026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Retención Ingresos Brutos Mendoza</t>
        </is>
      </c>
      <c r="D497" s="9" t="n">
        <v>871.59</v>
      </c>
      <c r="E497" s="8" t="inlineStr">
        <is>
          <t>ABIERTO</t>
        </is>
      </c>
      <c r="F497" s="8" t="inlineStr">
        <is>
          <t>Banco / impuesto / gasto</t>
        </is>
      </c>
      <c r="G497" s="8" t="inlineStr">
        <is>
          <t>Copiar en Flexxus: Tipo=MB-EXT | Movimiento=INGRESOS BRUTOS MENDOZA | Monto=871,59 | Fecha: 28/04/2026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Retención Ingresos Brutos Mendoza</t>
        </is>
      </c>
      <c r="D498" s="9" t="n">
        <v>853.55</v>
      </c>
      <c r="E498" s="8" t="inlineStr">
        <is>
          <t>ABIERTO</t>
        </is>
      </c>
      <c r="F498" s="8" t="inlineStr">
        <is>
          <t>Banco / impuesto / gasto</t>
        </is>
      </c>
      <c r="G498" s="8" t="inlineStr">
        <is>
          <t>Copiar en Flexxus: Tipo=MB-EXT | Movimiento=INGRESOS BRUTOS MENDOZA | Monto=853,55 | Fecha: 27/04/2026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Retención Ingresos Brutos Mendoza</t>
        </is>
      </c>
      <c r="D499" s="9" t="n">
        <v>850.0700000000001</v>
      </c>
      <c r="E499" s="8" t="inlineStr">
        <is>
          <t>ABIERTO</t>
        </is>
      </c>
      <c r="F499" s="8" t="inlineStr">
        <is>
          <t>Banco / impuesto / gasto</t>
        </is>
      </c>
      <c r="G499" s="8" t="inlineStr">
        <is>
          <t>Copiar en Flexxus: Tipo=MB-EXT | Movimiento=INGRESOS BRUTOS MENDOZA | Monto=850,07 | Fecha: 28/04/2026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Retención Ingresos Brutos Mendoza</t>
        </is>
      </c>
      <c r="D500" s="9" t="n">
        <v>848.12</v>
      </c>
      <c r="E500" s="8" t="inlineStr">
        <is>
          <t>ABIERTO</t>
        </is>
      </c>
      <c r="F500" s="8" t="inlineStr">
        <is>
          <t>Banco / impuesto / gasto</t>
        </is>
      </c>
      <c r="G500" s="8" t="inlineStr">
        <is>
          <t>Copiar en Flexxus: Tipo=MB-EXT | Movimiento=INGRESOS BRUTOS MENDOZA | Monto=848,12 | Fecha: 28/04/2026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Retención Ingresos Brutos Mendoza</t>
        </is>
      </c>
      <c r="D501" s="9" t="n">
        <v>843.75</v>
      </c>
      <c r="E501" s="8" t="inlineStr">
        <is>
          <t>ABIERTO</t>
        </is>
      </c>
      <c r="F501" s="8" t="inlineStr">
        <is>
          <t>Banco / impuesto / gasto</t>
        </is>
      </c>
      <c r="G501" s="8" t="inlineStr">
        <is>
          <t>Copiar en Flexxus: Tipo=MB-EXT | Movimiento=INGRESOS BRUTOS MENDOZA | Monto=843,75 | Fecha: 27/04/2026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Retención Ingresos Brutos Mendoza</t>
        </is>
      </c>
      <c r="D502" s="9" t="n">
        <v>797.21</v>
      </c>
      <c r="E502" s="8" t="inlineStr">
        <is>
          <t>ABIERTO</t>
        </is>
      </c>
      <c r="F502" s="8" t="inlineStr">
        <is>
          <t>Banco / impuesto / gasto</t>
        </is>
      </c>
      <c r="G502" s="8" t="inlineStr">
        <is>
          <t>Copiar en Flexxus: Tipo=MB-EXT | Movimiento=INGRESOS BRUTOS MENDOZA | Monto=797,21 | Fecha: 27/04/2026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Retención Ingresos Brutos Mendoza</t>
        </is>
      </c>
      <c r="D503" s="9" t="n">
        <v>780.37</v>
      </c>
      <c r="E503" s="8" t="inlineStr">
        <is>
          <t>ABIERTO</t>
        </is>
      </c>
      <c r="F503" s="8" t="inlineStr">
        <is>
          <t>Banco / impuesto / gasto</t>
        </is>
      </c>
      <c r="G503" s="8" t="inlineStr">
        <is>
          <t>Copiar en Flexxus: Tipo=MB-EXT | Movimiento=INGRESOS BRUTOS MENDOZA | Monto=780,37 | Fecha: 27/04/2026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Retención Ingresos Brutos Mendoza</t>
        </is>
      </c>
      <c r="D504" s="9" t="n">
        <v>761.5700000000001</v>
      </c>
      <c r="E504" s="8" t="inlineStr">
        <is>
          <t>ABIERTO</t>
        </is>
      </c>
      <c r="F504" s="8" t="inlineStr">
        <is>
          <t>Banco / impuesto / gasto</t>
        </is>
      </c>
      <c r="G504" s="8" t="inlineStr">
        <is>
          <t>Copiar en Flexxus: Tipo=MB-EXT | Movimiento=INGRESOS BRUTOS MENDOZA | Monto=761,57 | Fecha: 28/04/2026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Retención Ingresos Brutos Mendoza</t>
        </is>
      </c>
      <c r="D505" s="9" t="n">
        <v>757.59</v>
      </c>
      <c r="E505" s="8" t="inlineStr">
        <is>
          <t>ABIERTO</t>
        </is>
      </c>
      <c r="F505" s="8" t="inlineStr">
        <is>
          <t>Banco / impuesto / gasto</t>
        </is>
      </c>
      <c r="G505" s="8" t="inlineStr">
        <is>
          <t>Copiar en Flexxus: Tipo=MB-EXT | Movimiento=INGRESOS BRUTOS MENDOZA | Monto=757,59 | Fecha: 27/04/2026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Retención Ingresos Brutos Mendoza</t>
        </is>
      </c>
      <c r="D506" s="9" t="n">
        <v>755.61</v>
      </c>
      <c r="E506" s="8" t="inlineStr">
        <is>
          <t>ABIERTO</t>
        </is>
      </c>
      <c r="F506" s="8" t="inlineStr">
        <is>
          <t>Banco / impuesto / gasto</t>
        </is>
      </c>
      <c r="G506" s="8" t="inlineStr">
        <is>
          <t>Copiar en Flexxus: Tipo=MB-EXT | Movimiento=INGRESOS BRUTOS MENDOZA | Monto=755,61 | Fecha: 27/04/2026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Retención Ingresos Brutos Mendoza</t>
        </is>
      </c>
      <c r="D507" s="9" t="n">
        <v>728.88</v>
      </c>
      <c r="E507" s="8" t="inlineStr">
        <is>
          <t>ABIERTO</t>
        </is>
      </c>
      <c r="F507" s="8" t="inlineStr">
        <is>
          <t>Banco / impuesto / gasto</t>
        </is>
      </c>
      <c r="G507" s="8" t="inlineStr">
        <is>
          <t>Copiar en Flexxus: Tipo=MB-EXT | Movimiento=INGRESOS BRUTOS MENDOZA | Monto=728,88 | Fecha: 27/04/2026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Retención Ingresos Brutos Mendoza</t>
        </is>
      </c>
      <c r="D508" s="9" t="n">
        <v>728.28</v>
      </c>
      <c r="E508" s="8" t="inlineStr">
        <is>
          <t>ABIERTO</t>
        </is>
      </c>
      <c r="F508" s="8" t="inlineStr">
        <is>
          <t>Banco / impuesto / gasto</t>
        </is>
      </c>
      <c r="G508" s="8" t="inlineStr">
        <is>
          <t>Copiar en Flexxus: Tipo=MB-EXT | Movimiento=INGRESOS BRUTOS MENDOZA | Monto=728,28 | Fecha: 28/04/2026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Retención Ingresos Brutos Mendoza</t>
        </is>
      </c>
      <c r="D509" s="9" t="n">
        <v>724.91</v>
      </c>
      <c r="E509" s="8" t="inlineStr">
        <is>
          <t>ABIERTO</t>
        </is>
      </c>
      <c r="F509" s="8" t="inlineStr">
        <is>
          <t>Banco / impuesto / gasto</t>
        </is>
      </c>
      <c r="G509" s="8" t="inlineStr">
        <is>
          <t>Copiar en Flexxus: Tipo=MB-EXT | Movimiento=INGRESOS BRUTOS MENDOZA | Monto=724,91 | Fecha: 28/04/2026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Retención Ingresos Brutos Mendoza</t>
        </is>
      </c>
      <c r="D510" s="9" t="n">
        <v>699.17</v>
      </c>
      <c r="E510" s="8" t="inlineStr">
        <is>
          <t>ABIERTO</t>
        </is>
      </c>
      <c r="F510" s="8" t="inlineStr">
        <is>
          <t>Banco / impuesto / gasto</t>
        </is>
      </c>
      <c r="G510" s="8" t="inlineStr">
        <is>
          <t>Copiar en Flexxus: Tipo=MB-EXT | Movimiento=INGRESOS BRUTOS MENDOZA | Monto=699,17 | Fecha: 27/04/2026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Retención Ingresos Brutos Mendoza</t>
        </is>
      </c>
      <c r="D511" s="9" t="n">
        <v>695.2</v>
      </c>
      <c r="E511" s="8" t="inlineStr">
        <is>
          <t>ABIERTO</t>
        </is>
      </c>
      <c r="F511" s="8" t="inlineStr">
        <is>
          <t>Banco / impuesto / gasto</t>
        </is>
      </c>
      <c r="G511" s="8" t="inlineStr">
        <is>
          <t>Copiar en Flexxus: Tipo=MB-EXT | Movimiento=INGRESOS BRUTOS MENDOZA | Monto=695,20 | Fecha: 27/04/2026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Retención Ingresos Brutos Mendoza</t>
        </is>
      </c>
      <c r="D512" s="9" t="n">
        <v>688.67</v>
      </c>
      <c r="E512" s="8" t="inlineStr">
        <is>
          <t>ABIERTO</t>
        </is>
      </c>
      <c r="F512" s="8" t="inlineStr">
        <is>
          <t>Banco / impuesto / gasto</t>
        </is>
      </c>
      <c r="G512" s="8" t="inlineStr">
        <is>
          <t>Copiar en Flexxus: Tipo=MB-EXT | Movimiento=INGRESOS BRUTOS MENDOZA | Monto=688,67 | Fecha: 27/04/2026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Retención Ingresos Brutos Mendoza</t>
        </is>
      </c>
      <c r="D513" s="9" t="n">
        <v>670.45</v>
      </c>
      <c r="E513" s="8" t="inlineStr">
        <is>
          <t>ABIERTO</t>
        </is>
      </c>
      <c r="F513" s="8" t="inlineStr">
        <is>
          <t>Banco / impuesto / gasto</t>
        </is>
      </c>
      <c r="G513" s="8" t="inlineStr">
        <is>
          <t>Copiar en Flexxus: Tipo=MB-EXT | Movimiento=INGRESOS BRUTOS MENDOZA | Monto=670,45 | Fecha: 27/04/2026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Retención Ingresos Brutos Mendoza</t>
        </is>
      </c>
      <c r="D514" s="9" t="n">
        <v>659.55</v>
      </c>
      <c r="E514" s="8" t="inlineStr">
        <is>
          <t>ABIERTO</t>
        </is>
      </c>
      <c r="F514" s="8" t="inlineStr">
        <is>
          <t>Banco / impuesto / gasto</t>
        </is>
      </c>
      <c r="G514" s="8" t="inlineStr">
        <is>
          <t>Copiar en Flexxus: Tipo=MB-EXT | Movimiento=INGRESOS BRUTOS MENDOZA | Monto=659,55 | Fecha: 27/04/2026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Retención Ingresos Brutos Mendoza</t>
        </is>
      </c>
      <c r="D515" s="9" t="n">
        <v>645.6900000000001</v>
      </c>
      <c r="E515" s="8" t="inlineStr">
        <is>
          <t>ABIERTO</t>
        </is>
      </c>
      <c r="F515" s="8" t="inlineStr">
        <is>
          <t>Banco / impuesto / gasto</t>
        </is>
      </c>
      <c r="G515" s="8" t="inlineStr">
        <is>
          <t>Copiar en Flexxus: Tipo=MB-EXT | Movimiento=INGRESOS BRUTOS MENDOZA | Monto=645,69 | Fecha: 27/04/2026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Retención Ingresos Brutos Mendoza</t>
        </is>
      </c>
      <c r="D516" s="9" t="n">
        <v>630.83</v>
      </c>
      <c r="E516" s="8" t="inlineStr">
        <is>
          <t>ABIERTO</t>
        </is>
      </c>
      <c r="F516" s="8" t="inlineStr">
        <is>
          <t>Banco / impuesto / gasto</t>
        </is>
      </c>
      <c r="G516" s="8" t="inlineStr">
        <is>
          <t>Copiar en Flexxus: Tipo=MB-EXT | Movimiento=INGRESOS BRUTOS MENDOZA | Monto=630,83 | Fecha: 27/04/2026</t>
        </is>
      </c>
    </row>
    <row r="517">
      <c r="A517" s="8" t="inlineStr">
        <is>
          <t>Administración/Banco</t>
        </is>
      </c>
      <c r="B517" s="8" t="inlineStr">
        <is>
          <t>Banco egreso no Flexxus</t>
        </is>
      </c>
      <c r="C517" s="8" t="inlineStr">
        <is>
          <t>Retención Ingresos Brutos Mendoza</t>
        </is>
      </c>
      <c r="D517" s="9" t="n">
        <v>626.87</v>
      </c>
      <c r="E517" s="8" t="inlineStr">
        <is>
          <t>ABIERTO</t>
        </is>
      </c>
      <c r="F517" s="8" t="inlineStr">
        <is>
          <t>Banco / impuesto / gasto</t>
        </is>
      </c>
      <c r="G517" s="8" t="inlineStr">
        <is>
          <t>Copiar en Flexxus: Tipo=MB-EXT | Movimiento=INGRESOS BRUTOS MENDOZA | Monto=626,87 | Fecha: 27/04/2026</t>
        </is>
      </c>
    </row>
    <row r="518">
      <c r="A518" s="8" t="inlineStr">
        <is>
          <t>Administración/Banco</t>
        </is>
      </c>
      <c r="B518" s="8" t="inlineStr">
        <is>
          <t>Banco egreso no Flexxus</t>
        </is>
      </c>
      <c r="C518" s="8" t="inlineStr">
        <is>
          <t>Retención Ingresos Brutos Mendoza</t>
        </is>
      </c>
      <c r="D518" s="9" t="n">
        <v>626.0599999999999</v>
      </c>
      <c r="E518" s="8" t="inlineStr">
        <is>
          <t>ABIERTO</t>
        </is>
      </c>
      <c r="F518" s="8" t="inlineStr">
        <is>
          <t>Banco / impuesto / gasto</t>
        </is>
      </c>
      <c r="G518" s="8" t="inlineStr">
        <is>
          <t>Copiar en Flexxus: Tipo=MB-EXT | Movimiento=INGRESOS BRUTOS MENDOZA | Monto=626,06 | Fecha: 28/04/2026</t>
        </is>
      </c>
    </row>
    <row r="519">
      <c r="A519" s="8" t="inlineStr">
        <is>
          <t>Administración/Banco</t>
        </is>
      </c>
      <c r="B519" s="8" t="inlineStr">
        <is>
          <t>Banco egreso no Flexxus</t>
        </is>
      </c>
      <c r="C519" s="8" t="inlineStr">
        <is>
          <t>Retención Ingresos Brutos Mendoza</t>
        </is>
      </c>
      <c r="D519" s="9" t="n">
        <v>609.05</v>
      </c>
      <c r="E519" s="8" t="inlineStr">
        <is>
          <t>ABIERTO</t>
        </is>
      </c>
      <c r="F519" s="8" t="inlineStr">
        <is>
          <t>Banco / impuesto / gasto</t>
        </is>
      </c>
      <c r="G519" s="8" t="inlineStr">
        <is>
          <t>Copiar en Flexxus: Tipo=MB-EXT | Movimiento=INGRESOS BRUTOS MENDOZA | Monto=609,05 | Fecha: 27/04/2026</t>
        </is>
      </c>
    </row>
    <row r="520">
      <c r="A520" s="8" t="inlineStr">
        <is>
          <t>Administración/Banco</t>
        </is>
      </c>
      <c r="B520" s="8" t="inlineStr">
        <is>
          <t>Banco egreso no Flexxus</t>
        </is>
      </c>
      <c r="C520" s="8" t="inlineStr">
        <is>
          <t>Retención Ingresos Brutos Mendoza</t>
        </is>
      </c>
      <c r="D520" s="9" t="n">
        <v>600.13</v>
      </c>
      <c r="E520" s="8" t="inlineStr">
        <is>
          <t>ABIERTO</t>
        </is>
      </c>
      <c r="F520" s="8" t="inlineStr">
        <is>
          <t>Banco / impuesto / gasto</t>
        </is>
      </c>
      <c r="G520" s="8" t="inlineStr">
        <is>
          <t>Copiar en Flexxus: Tipo=MB-EXT | Movimiento=INGRESOS BRUTOS MENDOZA | Monto=600,13 | Fecha: 27/04/2026</t>
        </is>
      </c>
    </row>
    <row r="521">
      <c r="A521" s="8" t="inlineStr">
        <is>
          <t>Administración/Banco</t>
        </is>
      </c>
      <c r="B521" s="8" t="inlineStr">
        <is>
          <t>Banco egreso no Flexxus</t>
        </is>
      </c>
      <c r="C521" s="8" t="inlineStr">
        <is>
          <t>Retención Ingresos Brutos Mendoza</t>
        </is>
      </c>
      <c r="D521" s="9" t="n">
        <v>593.78</v>
      </c>
      <c r="E521" s="8" t="inlineStr">
        <is>
          <t>ABIERTO</t>
        </is>
      </c>
      <c r="F521" s="8" t="inlineStr">
        <is>
          <t>Banco / impuesto / gasto</t>
        </is>
      </c>
      <c r="G521" s="8" t="inlineStr">
        <is>
          <t>Copiar en Flexxus: Tipo=MB-EXT | Movimiento=INGRESOS BRUTOS MENDOZA | Monto=593,78 | Fecha: 28/04/2026</t>
        </is>
      </c>
    </row>
    <row r="522">
      <c r="A522" s="8" t="inlineStr">
        <is>
          <t>Administración/Banco</t>
        </is>
      </c>
      <c r="B522" s="8" t="inlineStr">
        <is>
          <t>Banco egreso no Flexxus</t>
        </is>
      </c>
      <c r="C522" s="8" t="inlineStr">
        <is>
          <t>Retención Ingresos Brutos Mendoza</t>
        </is>
      </c>
      <c r="D522" s="9" t="n">
        <v>578.35</v>
      </c>
      <c r="E522" s="8" t="inlineStr">
        <is>
          <t>ABIERTO</t>
        </is>
      </c>
      <c r="F522" s="8" t="inlineStr">
        <is>
          <t>Banco / impuesto / gasto</t>
        </is>
      </c>
      <c r="G522" s="8" t="inlineStr">
        <is>
          <t>Copiar en Flexxus: Tipo=MB-EXT | Movimiento=INGRESOS BRUTOS MENDOZA | Monto=578,35 | Fecha: 27/04/2026</t>
        </is>
      </c>
    </row>
    <row r="523">
      <c r="A523" s="8" t="inlineStr">
        <is>
          <t>Administración/Banco</t>
        </is>
      </c>
      <c r="B523" s="8" t="inlineStr">
        <is>
          <t>Banco egreso no Flexxus</t>
        </is>
      </c>
      <c r="C523" s="8" t="inlineStr">
        <is>
          <t>Retención Ingresos Brutos Mendoza</t>
        </is>
      </c>
      <c r="D523" s="9" t="n">
        <v>576.37</v>
      </c>
      <c r="E523" s="8" t="inlineStr">
        <is>
          <t>ABIERTO</t>
        </is>
      </c>
      <c r="F523" s="8" t="inlineStr">
        <is>
          <t>Banco / impuesto / gasto</t>
        </is>
      </c>
      <c r="G523" s="8" t="inlineStr">
        <is>
          <t>Copiar en Flexxus: Tipo=MB-EXT | Movimiento=INGRESOS BRUTOS MENDOZA | Monto=576,37 | Fecha: 27/04/2026</t>
        </is>
      </c>
    </row>
    <row r="524">
      <c r="A524" s="8" t="inlineStr">
        <is>
          <t>Administración/Banco</t>
        </is>
      </c>
      <c r="B524" s="8" t="inlineStr">
        <is>
          <t>Banco egreso no Flexxus</t>
        </is>
      </c>
      <c r="C524" s="8" t="inlineStr">
        <is>
          <t>Retención Ingresos Brutos Mendoza</t>
        </is>
      </c>
      <c r="D524" s="9" t="n">
        <v>549.63</v>
      </c>
      <c r="E524" s="8" t="inlineStr">
        <is>
          <t>ABIERTO</t>
        </is>
      </c>
      <c r="F524" s="8" t="inlineStr">
        <is>
          <t>Banco / impuesto / gasto</t>
        </is>
      </c>
      <c r="G524" s="8" t="inlineStr">
        <is>
          <t>Copiar en Flexxus: Tipo=MB-EXT | Movimiento=INGRESOS BRUTOS MENDOZA | Monto=549,63 | Fecha: 27/04/2026</t>
        </is>
      </c>
    </row>
    <row r="525">
      <c r="A525" s="8" t="inlineStr">
        <is>
          <t>Administración/Banco</t>
        </is>
      </c>
      <c r="B525" s="8" t="inlineStr">
        <is>
          <t>Banco egreso no Flexxus</t>
        </is>
      </c>
      <c r="C525" s="8" t="inlineStr">
        <is>
          <t>Retención Ingresos Brutos Mendoza</t>
        </is>
      </c>
      <c r="D525" s="9" t="n">
        <v>543.0599999999999</v>
      </c>
      <c r="E525" s="8" t="inlineStr">
        <is>
          <t>ABIERTO</t>
        </is>
      </c>
      <c r="F525" s="8" t="inlineStr">
        <is>
          <t>Banco / impuesto / gasto</t>
        </is>
      </c>
      <c r="G525" s="8" t="inlineStr">
        <is>
          <t>Copiar en Flexxus: Tipo=MB-EXT | Movimiento=INGRESOS BRUTOS MENDOZA | Monto=543,06 | Fecha: 27/04/2026</t>
        </is>
      </c>
    </row>
    <row r="526">
      <c r="A526" s="8" t="inlineStr">
        <is>
          <t>Administración/Banco</t>
        </is>
      </c>
      <c r="B526" s="8" t="inlineStr">
        <is>
          <t>Banco egreso no Flexxus</t>
        </is>
      </c>
      <c r="C526" s="8" t="inlineStr">
        <is>
          <t>Retención Ingresos Brutos Mendoza</t>
        </is>
      </c>
      <c r="D526" s="9" t="n">
        <v>528.24</v>
      </c>
      <c r="E526" s="8" t="inlineStr">
        <is>
          <t>ABIERTO</t>
        </is>
      </c>
      <c r="F526" s="8" t="inlineStr">
        <is>
          <t>Banco / impuesto / gasto</t>
        </is>
      </c>
      <c r="G526" s="8" t="inlineStr">
        <is>
          <t>Copiar en Flexxus: Tipo=MB-EXT | Movimiento=INGRESOS BRUTOS MENDOZA | Monto=528,24 | Fecha: 28/04/2026</t>
        </is>
      </c>
    </row>
    <row r="527">
      <c r="A527" s="8" t="inlineStr">
        <is>
          <t>Administración/Banco</t>
        </is>
      </c>
      <c r="B527" s="8" t="inlineStr">
        <is>
          <t>Banco egreso no Flexxus</t>
        </is>
      </c>
      <c r="C527" s="8" t="inlineStr">
        <is>
          <t>Retención Ingresos Brutos Mendoza</t>
        </is>
      </c>
      <c r="D527" s="9" t="n">
        <v>524.87</v>
      </c>
      <c r="E527" s="8" t="inlineStr">
        <is>
          <t>ABIERTO</t>
        </is>
      </c>
      <c r="F527" s="8" t="inlineStr">
        <is>
          <t>Banco / impuesto / gasto</t>
        </is>
      </c>
      <c r="G527" s="8" t="inlineStr">
        <is>
          <t>Copiar en Flexxus: Tipo=MB-EXT | Movimiento=INGRESOS BRUTOS MENDOZA | Monto=524,87 | Fecha: 27/04/2026</t>
        </is>
      </c>
    </row>
    <row r="528">
      <c r="A528" s="8" t="inlineStr">
        <is>
          <t>Administración/Banco</t>
        </is>
      </c>
      <c r="B528" s="8" t="inlineStr">
        <is>
          <t>Banco egreso no Flexxus</t>
        </is>
      </c>
      <c r="C528" s="8" t="inlineStr">
        <is>
          <t>Retención Ingresos Brutos Mendoza</t>
        </is>
      </c>
      <c r="D528" s="9" t="n">
        <v>512.99</v>
      </c>
      <c r="E528" s="8" t="inlineStr">
        <is>
          <t>ABIERTO</t>
        </is>
      </c>
      <c r="F528" s="8" t="inlineStr">
        <is>
          <t>Banco / impuesto / gasto</t>
        </is>
      </c>
      <c r="G528" s="8" t="inlineStr">
        <is>
          <t>Copiar en Flexxus: Tipo=MB-EXT | Movimiento=INGRESOS BRUTOS MENDOZA | Monto=512,99 | Fecha: 27/04/2026</t>
        </is>
      </c>
    </row>
    <row r="529">
      <c r="A529" s="8" t="inlineStr">
        <is>
          <t>Administración/Banco</t>
        </is>
      </c>
      <c r="B529" s="8" t="inlineStr">
        <is>
          <t>Banco egreso no Flexxus</t>
        </is>
      </c>
      <c r="C529" s="8" t="inlineStr">
        <is>
          <t>Retención Ingresos Brutos Mendoza</t>
        </is>
      </c>
      <c r="D529" s="9" t="n">
        <v>506.05</v>
      </c>
      <c r="E529" s="8" t="inlineStr">
        <is>
          <t>ABIERTO</t>
        </is>
      </c>
      <c r="F529" s="8" t="inlineStr">
        <is>
          <t>Banco / impuesto / gasto</t>
        </is>
      </c>
      <c r="G529" s="8" t="inlineStr">
        <is>
          <t>Copiar en Flexxus: Tipo=MB-EXT | Movimiento=INGRESOS BRUTOS MENDOZA | Monto=506,05 | Fecha: 27/04/2026</t>
        </is>
      </c>
    </row>
    <row r="530">
      <c r="A530" s="8" t="inlineStr">
        <is>
          <t>Administración/Banco</t>
        </is>
      </c>
      <c r="B530" s="8" t="inlineStr">
        <is>
          <t>Banco egreso no Flexxus</t>
        </is>
      </c>
      <c r="C530" s="8" t="inlineStr">
        <is>
          <t>Retención Ingresos Brutos Mendoza</t>
        </is>
      </c>
      <c r="D530" s="9" t="n">
        <v>495.16</v>
      </c>
      <c r="E530" s="8" t="inlineStr">
        <is>
          <t>ABIERTO</t>
        </is>
      </c>
      <c r="F530" s="8" t="inlineStr">
        <is>
          <t>Banco / impuesto / gasto</t>
        </is>
      </c>
      <c r="G530" s="8" t="inlineStr">
        <is>
          <t>Copiar en Flexxus: Tipo=MB-EXT | Movimiento=INGRESOS BRUTOS MENDOZA | Monto=495,16 | Fecha: 27/04/2026</t>
        </is>
      </c>
    </row>
    <row r="531">
      <c r="A531" s="8" t="inlineStr">
        <is>
          <t>Administración/Banco</t>
        </is>
      </c>
      <c r="B531" s="8" t="inlineStr">
        <is>
          <t>Banco egreso no Flexxus</t>
        </is>
      </c>
      <c r="C531" s="8" t="inlineStr">
        <is>
          <t>Retención Ingresos Brutos Mendoza</t>
        </is>
      </c>
      <c r="D531" s="9" t="n">
        <v>478.32</v>
      </c>
      <c r="E531" s="8" t="inlineStr">
        <is>
          <t>ABIERTO</t>
        </is>
      </c>
      <c r="F531" s="8" t="inlineStr">
        <is>
          <t>Banco / impuesto / gasto</t>
        </is>
      </c>
      <c r="G531" s="8" t="inlineStr">
        <is>
          <t>Copiar en Flexxus: Tipo=MB-EXT | Movimiento=INGRESOS BRUTOS MENDOZA | Monto=478,32 | Fecha: 28/04/2026</t>
        </is>
      </c>
    </row>
    <row r="532">
      <c r="A532" s="8" t="inlineStr">
        <is>
          <t>Administración/Banco</t>
        </is>
      </c>
      <c r="B532" s="8" t="inlineStr">
        <is>
          <t>Banco egreso no Flexxus</t>
        </is>
      </c>
      <c r="C532" s="8" t="inlineStr">
        <is>
          <t>Retención Ingresos Brutos Mendoza</t>
        </is>
      </c>
      <c r="D532" s="9" t="n">
        <v>464.31</v>
      </c>
      <c r="E532" s="8" t="inlineStr">
        <is>
          <t>ABIERTO</t>
        </is>
      </c>
      <c r="F532" s="8" t="inlineStr">
        <is>
          <t>Banco / impuesto / gasto</t>
        </is>
      </c>
      <c r="G532" s="8" t="inlineStr">
        <is>
          <t>Copiar en Flexxus: Tipo=MB-EXT | Movimiento=INGRESOS BRUTOS MENDOZA | Monto=464,31 | Fecha: 28/04/2026</t>
        </is>
      </c>
    </row>
    <row r="533">
      <c r="A533" s="8" t="inlineStr">
        <is>
          <t>Administración/Banco</t>
        </is>
      </c>
      <c r="B533" s="8" t="inlineStr">
        <is>
          <t>Banco egreso no Flexxus</t>
        </is>
      </c>
      <c r="C533" s="8" t="inlineStr">
        <is>
          <t>Retención Ingresos Brutos Mendoza</t>
        </is>
      </c>
      <c r="D533" s="9" t="n">
        <v>459.51</v>
      </c>
      <c r="E533" s="8" t="inlineStr">
        <is>
          <t>ABIERTO</t>
        </is>
      </c>
      <c r="F533" s="8" t="inlineStr">
        <is>
          <t>Banco / impuesto / gasto</t>
        </is>
      </c>
      <c r="G533" s="8" t="inlineStr">
        <is>
          <t>Copiar en Flexxus: Tipo=MB-EXT | Movimiento=INGRESOS BRUTOS MENDOZA | Monto=459,51 | Fecha: 27/04/2026</t>
        </is>
      </c>
    </row>
    <row r="534">
      <c r="A534" s="8" t="inlineStr">
        <is>
          <t>Administración/Banco</t>
        </is>
      </c>
      <c r="B534" s="8" t="inlineStr">
        <is>
          <t>Banco egreso no Flexxus</t>
        </is>
      </c>
      <c r="C534" s="8" t="inlineStr">
        <is>
          <t>Retención Ingresos Brutos Mendoza</t>
        </is>
      </c>
      <c r="D534" s="9" t="n">
        <v>454.56</v>
      </c>
      <c r="E534" s="8" t="inlineStr">
        <is>
          <t>ABIERTO</t>
        </is>
      </c>
      <c r="F534" s="8" t="inlineStr">
        <is>
          <t>Banco / impuesto / gasto</t>
        </is>
      </c>
      <c r="G534" s="8" t="inlineStr">
        <is>
          <t>Copiar en Flexxus: Tipo=MB-EXT | Movimiento=INGRESOS BRUTOS MENDOZA | Monto=454,56 | Fecha: 27/04/2026</t>
        </is>
      </c>
    </row>
    <row r="535">
      <c r="A535" s="8" t="inlineStr">
        <is>
          <t>Administración/Banco</t>
        </is>
      </c>
      <c r="B535" s="8" t="inlineStr">
        <is>
          <t>Banco egreso no Flexxus</t>
        </is>
      </c>
      <c r="C535" s="8" t="inlineStr">
        <is>
          <t>Retención Ingresos Brutos Mendoza</t>
        </is>
      </c>
      <c r="D535" s="9" t="n">
        <v>438.13</v>
      </c>
      <c r="E535" s="8" t="inlineStr">
        <is>
          <t>ABIERTO</t>
        </is>
      </c>
      <c r="F535" s="8" t="inlineStr">
        <is>
          <t>Banco / impuesto / gasto</t>
        </is>
      </c>
      <c r="G535" s="8" t="inlineStr">
        <is>
          <t>Copiar en Flexxus: Tipo=MB-EXT | Movimiento=INGRESOS BRUTOS MENDOZA | Monto=438,13 | Fecha: 28/04/2026</t>
        </is>
      </c>
    </row>
    <row r="536">
      <c r="A536" s="8" t="inlineStr">
        <is>
          <t>Administración/Banco</t>
        </is>
      </c>
      <c r="B536" s="8" t="inlineStr">
        <is>
          <t>Banco egreso no Flexxus</t>
        </is>
      </c>
      <c r="C536" s="8" t="inlineStr">
        <is>
          <t>Retención Ingresos Brutos Mendoza</t>
        </is>
      </c>
      <c r="D536" s="9" t="n">
        <v>433.76</v>
      </c>
      <c r="E536" s="8" t="inlineStr">
        <is>
          <t>ABIERTO</t>
        </is>
      </c>
      <c r="F536" s="8" t="inlineStr">
        <is>
          <t>Banco / impuesto / gasto</t>
        </is>
      </c>
      <c r="G536" s="8" t="inlineStr">
        <is>
          <t>Copiar en Flexxus: Tipo=MB-EXT | Movimiento=INGRESOS BRUTOS MENDOZA | Monto=433,76 | Fecha: 27/04/2026</t>
        </is>
      </c>
    </row>
    <row r="537">
      <c r="A537" s="8" t="inlineStr">
        <is>
          <t>Administración/Banco</t>
        </is>
      </c>
      <c r="B537" s="8" t="inlineStr">
        <is>
          <t>Banco egreso no Flexxus</t>
        </is>
      </c>
      <c r="C537" s="8" t="inlineStr">
        <is>
          <t>Retención Ingresos Brutos Mendoza</t>
        </is>
      </c>
      <c r="D537" s="9" t="n">
        <v>429.8</v>
      </c>
      <c r="E537" s="8" t="inlineStr">
        <is>
          <t>ABIERTO</t>
        </is>
      </c>
      <c r="F537" s="8" t="inlineStr">
        <is>
          <t>Banco / impuesto / gasto</t>
        </is>
      </c>
      <c r="G537" s="8" t="inlineStr">
        <is>
          <t>Copiar en Flexxus: Tipo=MB-EXT | Movimiento=INGRESOS BRUTOS MENDOZA | Monto=429,80 | Fecha: 27/04/2026</t>
        </is>
      </c>
    </row>
    <row r="538">
      <c r="A538" s="8" t="inlineStr">
        <is>
          <t>Administración/Banco</t>
        </is>
      </c>
      <c r="B538" s="8" t="inlineStr">
        <is>
          <t>Banco egreso no Flexxus</t>
        </is>
      </c>
      <c r="C538" s="8" t="inlineStr">
        <is>
          <t>Retención Ingresos Brutos Mendoza</t>
        </is>
      </c>
      <c r="D538" s="9" t="n">
        <v>406.03</v>
      </c>
      <c r="E538" s="8" t="inlineStr">
        <is>
          <t>ABIERTO</t>
        </is>
      </c>
      <c r="F538" s="8" t="inlineStr">
        <is>
          <t>Banco / impuesto / gasto</t>
        </is>
      </c>
      <c r="G538" s="8" t="inlineStr">
        <is>
          <t>Copiar en Flexxus: Tipo=MB-EXT | Movimiento=INGRESOS BRUTOS MENDOZA | Monto=406,03 | Fecha: 28/04/2026</t>
        </is>
      </c>
    </row>
    <row r="539">
      <c r="A539" s="8" t="inlineStr">
        <is>
          <t>Administración/Banco</t>
        </is>
      </c>
      <c r="B539" s="8" t="inlineStr">
        <is>
          <t>Banco egreso no Flexxus</t>
        </is>
      </c>
      <c r="C539" s="8" t="inlineStr">
        <is>
          <t>Retención Ingresos Brutos Mendoza</t>
        </is>
      </c>
      <c r="D539" s="9" t="n">
        <v>406.03</v>
      </c>
      <c r="E539" s="8" t="inlineStr">
        <is>
          <t>ABIERTO</t>
        </is>
      </c>
      <c r="F539" s="8" t="inlineStr">
        <is>
          <t>Banco / impuesto / gasto</t>
        </is>
      </c>
      <c r="G539" s="8" t="inlineStr">
        <is>
          <t>Copiar en Flexxus: Tipo=MB-EXT | Movimiento=INGRESOS BRUTOS MENDOZA | Monto=406,03 | Fecha: 28/04/2026</t>
        </is>
      </c>
    </row>
    <row r="540">
      <c r="A540" s="8" t="inlineStr">
        <is>
          <t>Administración/Banco</t>
        </is>
      </c>
      <c r="B540" s="8" t="inlineStr">
        <is>
          <t>Banco egreso no Flexxus</t>
        </is>
      </c>
      <c r="C540" s="8" t="inlineStr">
        <is>
          <t>Retención Ingresos Brutos Mendoza</t>
        </is>
      </c>
      <c r="D540" s="9" t="n">
        <v>401.08</v>
      </c>
      <c r="E540" s="8" t="inlineStr">
        <is>
          <t>ABIERTO</t>
        </is>
      </c>
      <c r="F540" s="8" t="inlineStr">
        <is>
          <t>Banco / impuesto / gasto</t>
        </is>
      </c>
      <c r="G540" s="8" t="inlineStr">
        <is>
          <t>Copiar en Flexxus: Tipo=MB-EXT | Movimiento=INGRESOS BRUTOS MENDOZA | Monto=401,08 | Fecha: 27/04/2026</t>
        </is>
      </c>
    </row>
    <row r="541">
      <c r="A541" s="8" t="inlineStr">
        <is>
          <t>Administración/Banco</t>
        </is>
      </c>
      <c r="B541" s="8" t="inlineStr">
        <is>
          <t>Banco egreso no Flexxus</t>
        </is>
      </c>
      <c r="C541" s="8" t="inlineStr">
        <is>
          <t>Retención Ingresos Brutos Mendoza</t>
        </is>
      </c>
      <c r="D541" s="9" t="n">
        <v>397.16</v>
      </c>
      <c r="E541" s="8" t="inlineStr">
        <is>
          <t>ABIERTO</t>
        </is>
      </c>
      <c r="F541" s="8" t="inlineStr">
        <is>
          <t>Banco / impuesto / gasto</t>
        </is>
      </c>
      <c r="G541" s="8" t="inlineStr">
        <is>
          <t>Copiar en Flexxus: Tipo=MB-EXT | Movimiento=INGRESOS BRUTOS MENDOZA | Monto=397,16 | Fecha: 27/04/2026</t>
        </is>
      </c>
    </row>
    <row r="542">
      <c r="A542" s="8" t="inlineStr">
        <is>
          <t>Administración/Banco</t>
        </is>
      </c>
      <c r="B542" s="8" t="inlineStr">
        <is>
          <t>Banco egreso no Flexxus</t>
        </is>
      </c>
      <c r="C542" s="8" t="inlineStr">
        <is>
          <t>Retención Ingresos Brutos Mendoza</t>
        </is>
      </c>
      <c r="D542" s="9" t="n">
        <v>388.21</v>
      </c>
      <c r="E542" s="8" t="inlineStr">
        <is>
          <t>ABIERTO</t>
        </is>
      </c>
      <c r="F542" s="8" t="inlineStr">
        <is>
          <t>Banco / impuesto / gasto</t>
        </is>
      </c>
      <c r="G542" s="8" t="inlineStr">
        <is>
          <t>Copiar en Flexxus: Tipo=MB-EXT | Movimiento=INGRESOS BRUTOS MENDOZA | Monto=388,21 | Fecha: 27/04/2026</t>
        </is>
      </c>
    </row>
    <row r="543">
      <c r="A543" s="8" t="inlineStr">
        <is>
          <t>Administración/Banco</t>
        </is>
      </c>
      <c r="B543" s="8" t="inlineStr">
        <is>
          <t>Banco egreso no Flexxus</t>
        </is>
      </c>
      <c r="C543" s="8" t="inlineStr">
        <is>
          <t>Retención Ingresos Brutos Mendoza</t>
        </is>
      </c>
      <c r="D543" s="9" t="n">
        <v>387.22</v>
      </c>
      <c r="E543" s="8" t="inlineStr">
        <is>
          <t>ABIERTO</t>
        </is>
      </c>
      <c r="F543" s="8" t="inlineStr">
        <is>
          <t>Banco / impuesto / gasto</t>
        </is>
      </c>
      <c r="G543" s="8" t="inlineStr">
        <is>
          <t>Copiar en Flexxus: Tipo=MB-EXT | Movimiento=INGRESOS BRUTOS MENDOZA | Monto=387,22 | Fecha: 27/04/2026</t>
        </is>
      </c>
    </row>
    <row r="544">
      <c r="A544" s="8" t="inlineStr">
        <is>
          <t>Administración/Banco</t>
        </is>
      </c>
      <c r="B544" s="8" t="inlineStr">
        <is>
          <t>Banco egreso no Flexxus</t>
        </is>
      </c>
      <c r="C544" s="8" t="inlineStr">
        <is>
          <t>Retención Ingresos Brutos Mendoza</t>
        </is>
      </c>
      <c r="D544" s="9" t="n">
        <v>381.27</v>
      </c>
      <c r="E544" s="8" t="inlineStr">
        <is>
          <t>ABIERTO</t>
        </is>
      </c>
      <c r="F544" s="8" t="inlineStr">
        <is>
          <t>Banco / impuesto / gasto</t>
        </is>
      </c>
      <c r="G544" s="8" t="inlineStr">
        <is>
          <t>Copiar en Flexxus: Tipo=MB-EXT | Movimiento=INGRESOS BRUTOS MENDOZA | Monto=381,27 | Fecha: 27/04/2026</t>
        </is>
      </c>
    </row>
    <row r="545">
      <c r="A545" s="8" t="inlineStr">
        <is>
          <t>Administración/Banco</t>
        </is>
      </c>
      <c r="B545" s="8" t="inlineStr">
        <is>
          <t>Banco egreso no Flexxus</t>
        </is>
      </c>
      <c r="C545" s="8" t="inlineStr">
        <is>
          <t>Retención Ingresos Brutos Mendoza</t>
        </is>
      </c>
      <c r="D545" s="9" t="n">
        <v>361.47</v>
      </c>
      <c r="E545" s="8" t="inlineStr">
        <is>
          <t>ABIERTO</t>
        </is>
      </c>
      <c r="F545" s="8" t="inlineStr">
        <is>
          <t>Banco / impuesto / gasto</t>
        </is>
      </c>
      <c r="G545" s="8" t="inlineStr">
        <is>
          <t>Copiar en Flexxus: Tipo=MB-EXT | Movimiento=INGRESOS BRUTOS MENDOZA | Monto=361,47 | Fecha: 28/04/2026</t>
        </is>
      </c>
    </row>
    <row r="546">
      <c r="A546" s="8" t="inlineStr">
        <is>
          <t>Administración/Banco</t>
        </is>
      </c>
      <c r="B546" s="8" t="inlineStr">
        <is>
          <t>Banco egreso no Flexxus</t>
        </is>
      </c>
      <c r="C546" s="8" t="inlineStr">
        <is>
          <t>Retención Ingresos Brutos Mendoza</t>
        </is>
      </c>
      <c r="D546" s="9" t="n">
        <v>352.16</v>
      </c>
      <c r="E546" s="8" t="inlineStr">
        <is>
          <t>ABIERTO</t>
        </is>
      </c>
      <c r="F546" s="8" t="inlineStr">
        <is>
          <t>Banco / impuesto / gasto</t>
        </is>
      </c>
      <c r="G546" s="8" t="inlineStr">
        <is>
          <t>Copiar en Flexxus: Tipo=MB-EXT | Movimiento=INGRESOS BRUTOS MENDOZA | Monto=352,16 | Fecha: 28/04/2026</t>
        </is>
      </c>
    </row>
    <row r="547">
      <c r="A547" s="8" t="inlineStr">
        <is>
          <t>Administración/Banco</t>
        </is>
      </c>
      <c r="B547" s="8" t="inlineStr">
        <is>
          <t>Banco egreso no Flexxus</t>
        </is>
      </c>
      <c r="C547" s="8" t="inlineStr">
        <is>
          <t>Retención Ingresos Brutos Mendoza</t>
        </is>
      </c>
      <c r="D547" s="9" t="n">
        <v>344.63</v>
      </c>
      <c r="E547" s="8" t="inlineStr">
        <is>
          <t>ABIERTO</t>
        </is>
      </c>
      <c r="F547" s="8" t="inlineStr">
        <is>
          <t>Banco / impuesto / gasto</t>
        </is>
      </c>
      <c r="G547" s="8" t="inlineStr">
        <is>
          <t>Copiar en Flexxus: Tipo=MB-EXT | Movimiento=INGRESOS BRUTOS MENDOZA | Monto=344,63 | Fecha: 27/04/2026</t>
        </is>
      </c>
    </row>
    <row r="548">
      <c r="A548" s="8" t="inlineStr">
        <is>
          <t>Administración/Banco</t>
        </is>
      </c>
      <c r="B548" s="8" t="inlineStr">
        <is>
          <t>Banco egreso no Flexxus</t>
        </is>
      </c>
      <c r="C548" s="8" t="inlineStr">
        <is>
          <t>Retención Ingresos Brutos Mendoza</t>
        </is>
      </c>
      <c r="D548" s="9" t="n">
        <v>341.66</v>
      </c>
      <c r="E548" s="8" t="inlineStr">
        <is>
          <t>ABIERTO</t>
        </is>
      </c>
      <c r="F548" s="8" t="inlineStr">
        <is>
          <t>Banco / impuesto / gasto</t>
        </is>
      </c>
      <c r="G548" s="8" t="inlineStr">
        <is>
          <t>Copiar en Flexxus: Tipo=MB-EXT | Movimiento=INGRESOS BRUTOS MENDOZA | Monto=341,66 | Fecha: 27/04/2026</t>
        </is>
      </c>
    </row>
    <row r="549">
      <c r="A549" s="8" t="inlineStr">
        <is>
          <t>Administración/Banco</t>
        </is>
      </c>
      <c r="B549" s="8" t="inlineStr">
        <is>
          <t>Banco egreso no Flexxus</t>
        </is>
      </c>
      <c r="C549" s="8" t="inlineStr">
        <is>
          <t>Retención Ingresos Brutos Mendoza</t>
        </is>
      </c>
      <c r="D549" s="9" t="n">
        <v>341.66</v>
      </c>
      <c r="E549" s="8" t="inlineStr">
        <is>
          <t>ABIERTO</t>
        </is>
      </c>
      <c r="F549" s="8" t="inlineStr">
        <is>
          <t>Banco / impuesto / gasto</t>
        </is>
      </c>
      <c r="G549" s="8" t="inlineStr">
        <is>
          <t>Copiar en Flexxus: Tipo=MB-EXT | Movimiento=INGRESOS BRUTOS MENDOZA | Monto=341,66 | Fecha: 27/04/2026</t>
        </is>
      </c>
    </row>
    <row r="550">
      <c r="A550" s="8" t="inlineStr">
        <is>
          <t>Administración/Banco</t>
        </is>
      </c>
      <c r="B550" s="8" t="inlineStr">
        <is>
          <t>Banco egreso no Flexxus</t>
        </is>
      </c>
      <c r="C550" s="8" t="inlineStr">
        <is>
          <t>Retención Ingresos Brutos Mendoza</t>
        </is>
      </c>
      <c r="D550" s="9" t="n">
        <v>336.71</v>
      </c>
      <c r="E550" s="8" t="inlineStr">
        <is>
          <t>ABIERTO</t>
        </is>
      </c>
      <c r="F550" s="8" t="inlineStr">
        <is>
          <t>Banco / impuesto / gasto</t>
        </is>
      </c>
      <c r="G550" s="8" t="inlineStr">
        <is>
          <t>Copiar en Flexxus: Tipo=MB-EXT | Movimiento=INGRESOS BRUTOS MENDOZA | Monto=336,71 | Fecha: 27/04/2026</t>
        </is>
      </c>
    </row>
    <row r="551">
      <c r="A551" s="8" t="inlineStr">
        <is>
          <t>Administración/Banco</t>
        </is>
      </c>
      <c r="B551" s="8" t="inlineStr">
        <is>
          <t>Banco egreso no Flexxus</t>
        </is>
      </c>
      <c r="C551" s="8" t="inlineStr">
        <is>
          <t>Retención Ingresos Brutos Mendoza</t>
        </is>
      </c>
      <c r="D551" s="9" t="n">
        <v>331.76</v>
      </c>
      <c r="E551" s="8" t="inlineStr">
        <is>
          <t>ABIERTO</t>
        </is>
      </c>
      <c r="F551" s="8" t="inlineStr">
        <is>
          <t>Banco / impuesto / gasto</t>
        </is>
      </c>
      <c r="G551" s="8" t="inlineStr">
        <is>
          <t>Copiar en Flexxus: Tipo=MB-EXT | Movimiento=INGRESOS BRUTOS MENDOZA | Monto=331,76 | Fecha: 27/04/2026</t>
        </is>
      </c>
    </row>
    <row r="552">
      <c r="A552" s="8" t="inlineStr">
        <is>
          <t>Administración/Banco</t>
        </is>
      </c>
      <c r="B552" s="8" t="inlineStr">
        <is>
          <t>Banco egreso no Flexxus</t>
        </is>
      </c>
      <c r="C552" s="8" t="inlineStr">
        <is>
          <t>Retención Ingresos Brutos Mendoza</t>
        </is>
      </c>
      <c r="D552" s="9" t="n">
        <v>331.76</v>
      </c>
      <c r="E552" s="8" t="inlineStr">
        <is>
          <t>ABIERTO</t>
        </is>
      </c>
      <c r="F552" s="8" t="inlineStr">
        <is>
          <t>Banco / impuesto / gasto</t>
        </is>
      </c>
      <c r="G552" s="8" t="inlineStr">
        <is>
          <t>Copiar en Flexxus: Tipo=MB-EXT | Movimiento=INGRESOS BRUTOS MENDOZA | Monto=331,76 | Fecha: 27/04/2026</t>
        </is>
      </c>
    </row>
    <row r="553">
      <c r="A553" s="8" t="inlineStr">
        <is>
          <t>Administración/Banco</t>
        </is>
      </c>
      <c r="B553" s="8" t="inlineStr">
        <is>
          <t>Banco egreso no Flexxus</t>
        </is>
      </c>
      <c r="C553" s="8" t="inlineStr">
        <is>
          <t>Retención Ingresos Brutos Mendoza</t>
        </is>
      </c>
      <c r="D553" s="9" t="n">
        <v>326.01</v>
      </c>
      <c r="E553" s="8" t="inlineStr">
        <is>
          <t>ABIERTO</t>
        </is>
      </c>
      <c r="F553" s="8" t="inlineStr">
        <is>
          <t>Banco / impuesto / gasto</t>
        </is>
      </c>
      <c r="G553" s="8" t="inlineStr">
        <is>
          <t>Copiar en Flexxus: Tipo=MB-EXT | Movimiento=INGRESOS BRUTOS MENDOZA | Monto=326,01 | Fecha: 27/04/2026</t>
        </is>
      </c>
    </row>
    <row r="554">
      <c r="A554" s="8" t="inlineStr">
        <is>
          <t>Administración/Banco</t>
        </is>
      </c>
      <c r="B554" s="8" t="inlineStr">
        <is>
          <t>Banco egreso no Flexxus</t>
        </is>
      </c>
      <c r="C554" s="8" t="inlineStr">
        <is>
          <t>Retención Ingresos Brutos Mendoza</t>
        </is>
      </c>
      <c r="D554" s="9" t="n">
        <v>324.83</v>
      </c>
      <c r="E554" s="8" t="inlineStr">
        <is>
          <t>ABIERTO</t>
        </is>
      </c>
      <c r="F554" s="8" t="inlineStr">
        <is>
          <t>Banco / impuesto / gasto</t>
        </is>
      </c>
      <c r="G554" s="8" t="inlineStr">
        <is>
          <t>Copiar en Flexxus: Tipo=MB-EXT | Movimiento=INGRESOS BRUTOS MENDOZA | Monto=324,83 | Fecha: 27/04/2026</t>
        </is>
      </c>
    </row>
    <row r="555">
      <c r="A555" s="8" t="inlineStr">
        <is>
          <t>Administración/Banco</t>
        </is>
      </c>
      <c r="B555" s="8" t="inlineStr">
        <is>
          <t>Banco egreso no Flexxus</t>
        </is>
      </c>
      <c r="C555" s="8" t="inlineStr">
        <is>
          <t>Retención Ingresos Brutos Mendoza</t>
        </is>
      </c>
      <c r="D555" s="9" t="n">
        <v>320.86</v>
      </c>
      <c r="E555" s="8" t="inlineStr">
        <is>
          <t>ABIERTO</t>
        </is>
      </c>
      <c r="F555" s="8" t="inlineStr">
        <is>
          <t>Banco / impuesto / gasto</t>
        </is>
      </c>
      <c r="G555" s="8" t="inlineStr">
        <is>
          <t>Copiar en Flexxus: Tipo=MB-EXT | Movimiento=INGRESOS BRUTOS MENDOZA | Monto=320,86 | Fecha: 28/04/2026</t>
        </is>
      </c>
    </row>
    <row r="556">
      <c r="A556" s="8" t="inlineStr">
        <is>
          <t>Administración/Banco</t>
        </is>
      </c>
      <c r="B556" s="8" t="inlineStr">
        <is>
          <t>Banco egreso no Flexxus</t>
        </is>
      </c>
      <c r="C556" s="8" t="inlineStr">
        <is>
          <t>Retención Ingresos Brutos Mendoza</t>
        </is>
      </c>
      <c r="D556" s="9" t="n">
        <v>320.86</v>
      </c>
      <c r="E556" s="8" t="inlineStr">
        <is>
          <t>ABIERTO</t>
        </is>
      </c>
      <c r="F556" s="8" t="inlineStr">
        <is>
          <t>Banco / impuesto / gasto</t>
        </is>
      </c>
      <c r="G556" s="8" t="inlineStr">
        <is>
          <t>Copiar en Flexxus: Tipo=MB-EXT | Movimiento=INGRESOS BRUTOS MENDOZA | Monto=320,86 | Fecha: 28/04/2026</t>
        </is>
      </c>
    </row>
    <row r="557">
      <c r="A557" s="8" t="inlineStr">
        <is>
          <t>Administración/Banco</t>
        </is>
      </c>
      <c r="B557" s="8" t="inlineStr">
        <is>
          <t>Banco egreso no Flexxus</t>
        </is>
      </c>
      <c r="C557" s="8" t="inlineStr">
        <is>
          <t>Retención Ingresos Brutos Mendoza</t>
        </is>
      </c>
      <c r="D557" s="9" t="n">
        <v>316.94</v>
      </c>
      <c r="E557" s="8" t="inlineStr">
        <is>
          <t>ABIERTO</t>
        </is>
      </c>
      <c r="F557" s="8" t="inlineStr">
        <is>
          <t>Banco / impuesto / gasto</t>
        </is>
      </c>
      <c r="G557" s="8" t="inlineStr">
        <is>
          <t>Copiar en Flexxus: Tipo=MB-EXT | Movimiento=INGRESOS BRUTOS MENDOZA | Monto=316,94 | Fecha: 28/04/2026</t>
        </is>
      </c>
    </row>
    <row r="558">
      <c r="A558" s="8" t="inlineStr">
        <is>
          <t>Administración/Banco</t>
        </is>
      </c>
      <c r="B558" s="8" t="inlineStr">
        <is>
          <t>Banco egreso no Flexxus</t>
        </is>
      </c>
      <c r="C558" s="8" t="inlineStr">
        <is>
          <t>Retención Ingresos Brutos Mendoza</t>
        </is>
      </c>
      <c r="D558" s="9" t="n">
        <v>315.42</v>
      </c>
      <c r="E558" s="8" t="inlineStr">
        <is>
          <t>ABIERTO</t>
        </is>
      </c>
      <c r="F558" s="8" t="inlineStr">
        <is>
          <t>Banco / impuesto / gasto</t>
        </is>
      </c>
      <c r="G558" s="8" t="inlineStr">
        <is>
          <t>Copiar en Flexxus: Tipo=MB-EXT | Movimiento=INGRESOS BRUTOS MENDOZA | Monto=315,42 | Fecha: 27/04/2026</t>
        </is>
      </c>
    </row>
    <row r="559">
      <c r="A559" s="8" t="inlineStr">
        <is>
          <t>Administración/Banco</t>
        </is>
      </c>
      <c r="B559" s="8" t="inlineStr">
        <is>
          <t>Banco egreso no Flexxus</t>
        </is>
      </c>
      <c r="C559" s="8" t="inlineStr">
        <is>
          <t>Retención Ingresos Brutos Mendoza</t>
        </is>
      </c>
      <c r="D559" s="9" t="n">
        <v>300.31</v>
      </c>
      <c r="E559" s="8" t="inlineStr">
        <is>
          <t>ABIERTO</t>
        </is>
      </c>
      <c r="F559" s="8" t="inlineStr">
        <is>
          <t>Banco / impuesto / gasto</t>
        </is>
      </c>
      <c r="G559" s="8" t="inlineStr">
        <is>
          <t>Copiar en Flexxus: Tipo=MB-EXT | Movimiento=INGRESOS BRUTOS MENDOZA | Monto=300,31 | Fecha: 27/04/2026</t>
        </is>
      </c>
    </row>
    <row r="560">
      <c r="A560" s="8" t="inlineStr">
        <is>
          <t>Administración/Banco</t>
        </is>
      </c>
      <c r="B560" s="8" t="inlineStr">
        <is>
          <t>Banco egreso no Flexxus</t>
        </is>
      </c>
      <c r="C560" s="8" t="inlineStr">
        <is>
          <t>Retención Ingresos Brutos Mendoza</t>
        </is>
      </c>
      <c r="D560" s="9" t="n">
        <v>287.19</v>
      </c>
      <c r="E560" s="8" t="inlineStr">
        <is>
          <t>ABIERTO</t>
        </is>
      </c>
      <c r="F560" s="8" t="inlineStr">
        <is>
          <t>Banco / impuesto / gasto</t>
        </is>
      </c>
      <c r="G560" s="8" t="inlineStr">
        <is>
          <t>Copiar en Flexxus: Tipo=MB-EXT | Movimiento=INGRESOS BRUTOS MENDOZA | Monto=287,19 | Fecha: 28/04/2026</t>
        </is>
      </c>
    </row>
    <row r="561">
      <c r="A561" s="8" t="inlineStr">
        <is>
          <t>Administración/Banco</t>
        </is>
      </c>
      <c r="B561" s="8" t="inlineStr">
        <is>
          <t>Banco egreso no Flexxus</t>
        </is>
      </c>
      <c r="C561" s="8" t="inlineStr">
        <is>
          <t>Retención Ingresos Brutos Mendoza</t>
        </is>
      </c>
      <c r="D561" s="9" t="n">
        <v>280.26</v>
      </c>
      <c r="E561" s="8" t="inlineStr">
        <is>
          <t>ABIERTO</t>
        </is>
      </c>
      <c r="F561" s="8" t="inlineStr">
        <is>
          <t>Banco / impuesto / gasto</t>
        </is>
      </c>
      <c r="G561" s="8" t="inlineStr">
        <is>
          <t>Copiar en Flexxus: Tipo=MB-EXT | Movimiento=INGRESOS BRUTOS MENDOZA | Monto=280,26 | Fecha: 27/04/2026</t>
        </is>
      </c>
    </row>
    <row r="562">
      <c r="A562" s="8" t="inlineStr">
        <is>
          <t>Administración/Banco</t>
        </is>
      </c>
      <c r="B562" s="8" t="inlineStr">
        <is>
          <t>Banco egreso no Flexxus</t>
        </is>
      </c>
      <c r="C562" s="8" t="inlineStr">
        <is>
          <t>Retención Ingresos Brutos Mendoza</t>
        </is>
      </c>
      <c r="D562" s="9" t="n">
        <v>276.3</v>
      </c>
      <c r="E562" s="8" t="inlineStr">
        <is>
          <t>ABIERTO</t>
        </is>
      </c>
      <c r="F562" s="8" t="inlineStr">
        <is>
          <t>Banco / impuesto / gasto</t>
        </is>
      </c>
      <c r="G562" s="8" t="inlineStr">
        <is>
          <t>Copiar en Flexxus: Tipo=MB-EXT | Movimiento=INGRESOS BRUTOS MENDOZA | Monto=276,30 | Fecha: 27/04/2026</t>
        </is>
      </c>
    </row>
    <row r="563">
      <c r="A563" s="8" t="inlineStr">
        <is>
          <t>Administración/Banco</t>
        </is>
      </c>
      <c r="B563" s="8" t="inlineStr">
        <is>
          <t>Banco egreso no Flexxus</t>
        </is>
      </c>
      <c r="C563" s="8" t="inlineStr">
        <is>
          <t>Retención Ingresos Brutos Mendoza</t>
        </is>
      </c>
      <c r="D563" s="9" t="n">
        <v>271.95</v>
      </c>
      <c r="E563" s="8" t="inlineStr">
        <is>
          <t>ABIERTO</t>
        </is>
      </c>
      <c r="F563" s="8" t="inlineStr">
        <is>
          <t>Banco / impuesto / gasto</t>
        </is>
      </c>
      <c r="G563" s="8" t="inlineStr">
        <is>
          <t>Copiar en Flexxus: Tipo=MB-EXT | Movimiento=INGRESOS BRUTOS MENDOZA | Monto=271,95 | Fecha: 28/04/2026</t>
        </is>
      </c>
    </row>
    <row r="564">
      <c r="A564" s="8" t="inlineStr">
        <is>
          <t>Administración/Banco</t>
        </is>
      </c>
      <c r="B564" s="8" t="inlineStr">
        <is>
          <t>Banco egreso no Flexxus</t>
        </is>
      </c>
      <c r="C564" s="8" t="inlineStr">
        <is>
          <t>Retención Ingresos Brutos Mendoza</t>
        </is>
      </c>
      <c r="D564" s="9" t="n">
        <v>268.38</v>
      </c>
      <c r="E564" s="8" t="inlineStr">
        <is>
          <t>ABIERTO</t>
        </is>
      </c>
      <c r="F564" s="8" t="inlineStr">
        <is>
          <t>Banco / impuesto / gasto</t>
        </is>
      </c>
      <c r="G564" s="8" t="inlineStr">
        <is>
          <t>Copiar en Flexxus: Tipo=MB-EXT | Movimiento=INGRESOS BRUTOS MENDOZA | Monto=268,38 | Fecha: 27/04/2026</t>
        </is>
      </c>
    </row>
    <row r="565">
      <c r="A565" s="8" t="inlineStr">
        <is>
          <t>Administración/Banco</t>
        </is>
      </c>
      <c r="B565" s="8" t="inlineStr">
        <is>
          <t>Banco egreso no Flexxus</t>
        </is>
      </c>
      <c r="C565" s="8" t="inlineStr">
        <is>
          <t>Retención Ingresos Brutos Mendoza</t>
        </is>
      </c>
      <c r="D565" s="9" t="n">
        <v>267.39</v>
      </c>
      <c r="E565" s="8" t="inlineStr">
        <is>
          <t>ABIERTO</t>
        </is>
      </c>
      <c r="F565" s="8" t="inlineStr">
        <is>
          <t>Banco / impuesto / gasto</t>
        </is>
      </c>
      <c r="G565" s="8" t="inlineStr">
        <is>
          <t>Copiar en Flexxus: Tipo=MB-EXT | Movimiento=INGRESOS BRUTOS MENDOZA | Monto=267,39 | Fecha: 27/04/2026</t>
        </is>
      </c>
    </row>
    <row r="566">
      <c r="A566" s="8" t="inlineStr">
        <is>
          <t>Administración/Banco</t>
        </is>
      </c>
      <c r="B566" s="8" t="inlineStr">
        <is>
          <t>Banco egreso no Flexxus</t>
        </is>
      </c>
      <c r="C566" s="8" t="inlineStr">
        <is>
          <t>Retención Ingresos Brutos Mendoza</t>
        </is>
      </c>
      <c r="D566" s="9" t="n">
        <v>267.39</v>
      </c>
      <c r="E566" s="8" t="inlineStr">
        <is>
          <t>ABIERTO</t>
        </is>
      </c>
      <c r="F566" s="8" t="inlineStr">
        <is>
          <t>Banco / impuesto / gasto</t>
        </is>
      </c>
      <c r="G566" s="8" t="inlineStr">
        <is>
          <t>Copiar en Flexxus: Tipo=MB-EXT | Movimiento=INGRESOS BRUTOS MENDOZA | Monto=267,39 | Fecha: 27/04/2026</t>
        </is>
      </c>
    </row>
    <row r="567">
      <c r="A567" s="8" t="inlineStr">
        <is>
          <t>Administración/Banco</t>
        </is>
      </c>
      <c r="B567" s="8" t="inlineStr">
        <is>
          <t>Banco egreso no Flexxus</t>
        </is>
      </c>
      <c r="C567" s="8" t="inlineStr">
        <is>
          <t>Retención Ingresos Brutos Mendoza</t>
        </is>
      </c>
      <c r="D567" s="9" t="n">
        <v>267.39</v>
      </c>
      <c r="E567" s="8" t="inlineStr">
        <is>
          <t>ABIERTO</t>
        </is>
      </c>
      <c r="F567" s="8" t="inlineStr">
        <is>
          <t>Banco / impuesto / gasto</t>
        </is>
      </c>
      <c r="G567" s="8" t="inlineStr">
        <is>
          <t>Copiar en Flexxus: Tipo=MB-EXT | Movimiento=INGRESOS BRUTOS MENDOZA | Monto=267,39 | Fecha: 27/04/2026</t>
        </is>
      </c>
    </row>
    <row r="568">
      <c r="A568" s="8" t="inlineStr">
        <is>
          <t>Administración/Banco</t>
        </is>
      </c>
      <c r="B568" s="8" t="inlineStr">
        <is>
          <t>Banco egreso no Flexxus</t>
        </is>
      </c>
      <c r="C568" s="8" t="inlineStr">
        <is>
          <t>Retención Ingresos Brutos Mendoza</t>
        </is>
      </c>
      <c r="D568" s="9" t="n">
        <v>267.39</v>
      </c>
      <c r="E568" s="8" t="inlineStr">
        <is>
          <t>ABIERTO</t>
        </is>
      </c>
      <c r="F568" s="8" t="inlineStr">
        <is>
          <t>Banco / impuesto / gasto</t>
        </is>
      </c>
      <c r="G568" s="8" t="inlineStr">
        <is>
          <t>Copiar en Flexxus: Tipo=MB-EXT | Movimiento=INGRESOS BRUTOS MENDOZA | Monto=267,39 | Fecha: 27/04/2026</t>
        </is>
      </c>
    </row>
    <row r="569">
      <c r="A569" s="8" t="inlineStr">
        <is>
          <t>Administración/Banco</t>
        </is>
      </c>
      <c r="B569" s="8" t="inlineStr">
        <is>
          <t>Banco egreso no Flexxus</t>
        </is>
      </c>
      <c r="C569" s="8" t="inlineStr">
        <is>
          <t>Retención Ingresos Brutos Mendoza</t>
        </is>
      </c>
      <c r="D569" s="9" t="n">
        <v>255.5</v>
      </c>
      <c r="E569" s="8" t="inlineStr">
        <is>
          <t>ABIERTO</t>
        </is>
      </c>
      <c r="F569" s="8" t="inlineStr">
        <is>
          <t>Banco / impuesto / gasto</t>
        </is>
      </c>
      <c r="G569" s="8" t="inlineStr">
        <is>
          <t>Copiar en Flexxus: Tipo=MB-EXT | Movimiento=INGRESOS BRUTOS MENDOZA | Monto=255,50 | Fecha: 27/04/2026</t>
        </is>
      </c>
    </row>
    <row r="570">
      <c r="A570" s="8" t="inlineStr">
        <is>
          <t>Administración/Banco</t>
        </is>
      </c>
      <c r="B570" s="8" t="inlineStr">
        <is>
          <t>Banco egreso no Flexxus</t>
        </is>
      </c>
      <c r="C570" s="8" t="inlineStr">
        <is>
          <t>Retención Ingresos Brutos Mendoza</t>
        </is>
      </c>
      <c r="D570" s="9" t="n">
        <v>247.58</v>
      </c>
      <c r="E570" s="8" t="inlineStr">
        <is>
          <t>ABIERTO</t>
        </is>
      </c>
      <c r="F570" s="8" t="inlineStr">
        <is>
          <t>Banco / impuesto / gasto</t>
        </is>
      </c>
      <c r="G570" s="8" t="inlineStr">
        <is>
          <t>Copiar en Flexxus: Tipo=MB-EXT | Movimiento=INGRESOS BRUTOS MENDOZA | Monto=247,58 | Fecha: 27/04/2026</t>
        </is>
      </c>
    </row>
    <row r="571">
      <c r="A571" s="8" t="inlineStr">
        <is>
          <t>Administración/Banco</t>
        </is>
      </c>
      <c r="B571" s="8" t="inlineStr">
        <is>
          <t>Banco egreso no Flexxus</t>
        </is>
      </c>
      <c r="C571" s="8" t="inlineStr">
        <is>
          <t>Retención Ingresos Brutos Mendoza</t>
        </is>
      </c>
      <c r="D571" s="9" t="n">
        <v>247.58</v>
      </c>
      <c r="E571" s="8" t="inlineStr">
        <is>
          <t>ABIERTO</t>
        </is>
      </c>
      <c r="F571" s="8" t="inlineStr">
        <is>
          <t>Banco / impuesto / gasto</t>
        </is>
      </c>
      <c r="G571" s="8" t="inlineStr">
        <is>
          <t>Copiar en Flexxus: Tipo=MB-EXT | Movimiento=INGRESOS BRUTOS MENDOZA | Monto=247,58 | Fecha: 27/04/2026</t>
        </is>
      </c>
    </row>
    <row r="572">
      <c r="A572" s="8" t="inlineStr">
        <is>
          <t>Administración/Banco</t>
        </is>
      </c>
      <c r="B572" s="8" t="inlineStr">
        <is>
          <t>Banco egreso no Flexxus</t>
        </is>
      </c>
      <c r="C572" s="8" t="inlineStr">
        <is>
          <t>Retención Ingresos Brutos Mendoza</t>
        </is>
      </c>
      <c r="D572" s="9" t="n">
        <v>247.58</v>
      </c>
      <c r="E572" s="8" t="inlineStr">
        <is>
          <t>ABIERTO</t>
        </is>
      </c>
      <c r="F572" s="8" t="inlineStr">
        <is>
          <t>Banco / impuesto / gasto</t>
        </is>
      </c>
      <c r="G572" s="8" t="inlineStr">
        <is>
          <t>Copiar en Flexxus: Tipo=MB-EXT | Movimiento=INGRESOS BRUTOS MENDOZA | Monto=247,58 | Fecha: 27/04/2026</t>
        </is>
      </c>
    </row>
    <row r="573">
      <c r="A573" s="8" t="inlineStr">
        <is>
          <t>Administración/Banco</t>
        </is>
      </c>
      <c r="B573" s="8" t="inlineStr">
        <is>
          <t>Banco egreso no Flexxus</t>
        </is>
      </c>
      <c r="C573" s="8" t="inlineStr">
        <is>
          <t>Retención Ingresos Brutos Mendoza</t>
        </is>
      </c>
      <c r="D573" s="9" t="n">
        <v>245.6</v>
      </c>
      <c r="E573" s="8" t="inlineStr">
        <is>
          <t>ABIERTO</t>
        </is>
      </c>
      <c r="F573" s="8" t="inlineStr">
        <is>
          <t>Banco / impuesto / gasto</t>
        </is>
      </c>
      <c r="G573" s="8" t="inlineStr">
        <is>
          <t>Copiar en Flexxus: Tipo=MB-EXT | Movimiento=INGRESOS BRUTOS MENDOZA | Monto=245,60 | Fecha: 27/04/2026</t>
        </is>
      </c>
    </row>
    <row r="574">
      <c r="A574" s="8" t="inlineStr">
        <is>
          <t>Administración/Banco</t>
        </is>
      </c>
      <c r="B574" s="8" t="inlineStr">
        <is>
          <t>Banco egreso no Flexxus</t>
        </is>
      </c>
      <c r="C574" s="8" t="inlineStr">
        <is>
          <t>Retención Ingresos Brutos Mendoza</t>
        </is>
      </c>
      <c r="D574" s="9" t="n">
        <v>243.62</v>
      </c>
      <c r="E574" s="8" t="inlineStr">
        <is>
          <t>ABIERTO</t>
        </is>
      </c>
      <c r="F574" s="8" t="inlineStr">
        <is>
          <t>Banco / impuesto / gasto</t>
        </is>
      </c>
      <c r="G574" s="8" t="inlineStr">
        <is>
          <t>Copiar en Flexxus: Tipo=MB-EXT | Movimiento=INGRESOS BRUTOS MENDOZA | Monto=243,62 | Fecha: 27/04/2026</t>
        </is>
      </c>
    </row>
    <row r="575">
      <c r="A575" s="8" t="inlineStr">
        <is>
          <t>Administración/Banco</t>
        </is>
      </c>
      <c r="B575" s="8" t="inlineStr">
        <is>
          <t>Banco egreso no Flexxus</t>
        </is>
      </c>
      <c r="C575" s="8" t="inlineStr">
        <is>
          <t>Retención Ingresos Brutos Mendoza</t>
        </is>
      </c>
      <c r="D575" s="9" t="n">
        <v>242.63</v>
      </c>
      <c r="E575" s="8" t="inlineStr">
        <is>
          <t>ABIERTO</t>
        </is>
      </c>
      <c r="F575" s="8" t="inlineStr">
        <is>
          <t>Banco / impuesto / gasto</t>
        </is>
      </c>
      <c r="G575" s="8" t="inlineStr">
        <is>
          <t>Copiar en Flexxus: Tipo=MB-EXT | Movimiento=INGRESOS BRUTOS MENDOZA | Monto=242,63 | Fecha: 27/04/2026</t>
        </is>
      </c>
    </row>
    <row r="576">
      <c r="A576" s="8" t="inlineStr">
        <is>
          <t>Administración/Banco</t>
        </is>
      </c>
      <c r="B576" s="8" t="inlineStr">
        <is>
          <t>Banco egreso no Flexxus</t>
        </is>
      </c>
      <c r="C576" s="8" t="inlineStr">
        <is>
          <t>Retención Ingresos Brutos Mendoza</t>
        </is>
      </c>
      <c r="D576" s="9" t="n">
        <v>237.68</v>
      </c>
      <c r="E576" s="8" t="inlineStr">
        <is>
          <t>ABIERTO</t>
        </is>
      </c>
      <c r="F576" s="8" t="inlineStr">
        <is>
          <t>Banco / impuesto / gasto</t>
        </is>
      </c>
      <c r="G576" s="8" t="inlineStr">
        <is>
          <t>Copiar en Flexxus: Tipo=MB-EXT | Movimiento=INGRESOS BRUTOS MENDOZA | Monto=237,68 | Fecha: 27/04/2026</t>
        </is>
      </c>
    </row>
    <row r="577">
      <c r="A577" s="8" t="inlineStr">
        <is>
          <t>Administración/Banco</t>
        </is>
      </c>
      <c r="B577" s="8" t="inlineStr">
        <is>
          <t>Banco egreso no Flexxus</t>
        </is>
      </c>
      <c r="C577" s="8" t="inlineStr">
        <is>
          <t>Retención Ingresos Brutos Mendoza</t>
        </is>
      </c>
      <c r="D577" s="9" t="n">
        <v>237.68</v>
      </c>
      <c r="E577" s="8" t="inlineStr">
        <is>
          <t>ABIERTO</t>
        </is>
      </c>
      <c r="F577" s="8" t="inlineStr">
        <is>
          <t>Banco / impuesto / gasto</t>
        </is>
      </c>
      <c r="G577" s="8" t="inlineStr">
        <is>
          <t>Copiar en Flexxus: Tipo=MB-EXT | Movimiento=INGRESOS BRUTOS MENDOZA | Monto=237,68 | Fecha: 27/04/2026</t>
        </is>
      </c>
    </row>
    <row r="578">
      <c r="A578" s="8" t="inlineStr">
        <is>
          <t>Administración/Banco</t>
        </is>
      </c>
      <c r="B578" s="8" t="inlineStr">
        <is>
          <t>Banco egreso no Flexxus</t>
        </is>
      </c>
      <c r="C578" s="8" t="inlineStr">
        <is>
          <t>Retención Ingresos Brutos Mendoza</t>
        </is>
      </c>
      <c r="D578" s="9" t="n">
        <v>234.77</v>
      </c>
      <c r="E578" s="8" t="inlineStr">
        <is>
          <t>ABIERTO</t>
        </is>
      </c>
      <c r="F578" s="8" t="inlineStr">
        <is>
          <t>Banco / impuesto / gasto</t>
        </is>
      </c>
      <c r="G578" s="8" t="inlineStr">
        <is>
          <t>Copiar en Flexxus: Tipo=MB-EXT | Movimiento=INGRESOS BRUTOS MENDOZA | Monto=234,77 | Fecha: 27/04/2026</t>
        </is>
      </c>
    </row>
    <row r="579">
      <c r="A579" s="8" t="inlineStr">
        <is>
          <t>Administración/Banco</t>
        </is>
      </c>
      <c r="B579" s="8" t="inlineStr">
        <is>
          <t>Banco egreso no Flexxus</t>
        </is>
      </c>
      <c r="C579" s="8" t="inlineStr">
        <is>
          <t>Retención Ingresos Brutos Mendoza</t>
        </is>
      </c>
      <c r="D579" s="9" t="n">
        <v>228.76</v>
      </c>
      <c r="E579" s="8" t="inlineStr">
        <is>
          <t>ABIERTO</t>
        </is>
      </c>
      <c r="F579" s="8" t="inlineStr">
        <is>
          <t>Banco / impuesto / gasto</t>
        </is>
      </c>
      <c r="G579" s="8" t="inlineStr">
        <is>
          <t>Copiar en Flexxus: Tipo=MB-EXT | Movimiento=INGRESOS BRUTOS MENDOZA | Monto=228,76 | Fecha: 27/04/2026</t>
        </is>
      </c>
    </row>
    <row r="580">
      <c r="A580" s="8" t="inlineStr">
        <is>
          <t>Administración/Banco</t>
        </is>
      </c>
      <c r="B580" s="8" t="inlineStr">
        <is>
          <t>Banco egreso no Flexxus</t>
        </is>
      </c>
      <c r="C580" s="8" t="inlineStr">
        <is>
          <t>Retención Ingresos Brutos Mendoza</t>
        </is>
      </c>
      <c r="D580" s="9" t="n">
        <v>227.77</v>
      </c>
      <c r="E580" s="8" t="inlineStr">
        <is>
          <t>ABIERTO</t>
        </is>
      </c>
      <c r="F580" s="8" t="inlineStr">
        <is>
          <t>Banco / impuesto / gasto</t>
        </is>
      </c>
      <c r="G580" s="8" t="inlineStr">
        <is>
          <t>Copiar en Flexxus: Tipo=MB-EXT | Movimiento=INGRESOS BRUTOS MENDOZA | Monto=227,77 | Fecha: 27/04/2026</t>
        </is>
      </c>
    </row>
    <row r="581">
      <c r="A581" s="8" t="inlineStr">
        <is>
          <t>Administración/Banco</t>
        </is>
      </c>
      <c r="B581" s="8" t="inlineStr">
        <is>
          <t>Banco egreso no Flexxus</t>
        </is>
      </c>
      <c r="C581" s="8" t="inlineStr">
        <is>
          <t>Retención Ingresos Brutos Mendoza</t>
        </is>
      </c>
      <c r="D581" s="9" t="n">
        <v>227.77</v>
      </c>
      <c r="E581" s="8" t="inlineStr">
        <is>
          <t>ABIERTO</t>
        </is>
      </c>
      <c r="F581" s="8" t="inlineStr">
        <is>
          <t>Banco / impuesto / gasto</t>
        </is>
      </c>
      <c r="G581" s="8" t="inlineStr">
        <is>
          <t>Copiar en Flexxus: Tipo=MB-EXT | Movimiento=INGRESOS BRUTOS MENDOZA | Monto=227,77 | Fecha: 27/04/2026</t>
        </is>
      </c>
    </row>
    <row r="582">
      <c r="A582" s="8" t="inlineStr">
        <is>
          <t>Administración/Banco</t>
        </is>
      </c>
      <c r="B582" s="8" t="inlineStr">
        <is>
          <t>Banco egreso no Flexxus</t>
        </is>
      </c>
      <c r="C582" s="8" t="inlineStr">
        <is>
          <t>Retención Ingresos Brutos Mendoza</t>
        </is>
      </c>
      <c r="D582" s="9" t="n">
        <v>213.91</v>
      </c>
      <c r="E582" s="8" t="inlineStr">
        <is>
          <t>ABIERTO</t>
        </is>
      </c>
      <c r="F582" s="8" t="inlineStr">
        <is>
          <t>Banco / impuesto / gasto</t>
        </is>
      </c>
      <c r="G582" s="8" t="inlineStr">
        <is>
          <t>Copiar en Flexxus: Tipo=MB-EXT | Movimiento=INGRESOS BRUTOS MENDOZA | Monto=213,91 | Fecha: 28/04/2026</t>
        </is>
      </c>
    </row>
    <row r="583">
      <c r="A583" s="8" t="inlineStr">
        <is>
          <t>Administración/Banco</t>
        </is>
      </c>
      <c r="B583" s="8" t="inlineStr">
        <is>
          <t>Banco egreso no Flexxus</t>
        </is>
      </c>
      <c r="C583" s="8" t="inlineStr">
        <is>
          <t>Retención Ingresos Brutos Mendoza</t>
        </is>
      </c>
      <c r="D583" s="9" t="n">
        <v>210.94</v>
      </c>
      <c r="E583" s="8" t="inlineStr">
        <is>
          <t>ABIERTO</t>
        </is>
      </c>
      <c r="F583" s="8" t="inlineStr">
        <is>
          <t>Banco / impuesto / gasto</t>
        </is>
      </c>
      <c r="G583" s="8" t="inlineStr">
        <is>
          <t>Copiar en Flexxus: Tipo=MB-EXT | Movimiento=INGRESOS BRUTOS MENDOZA | Monto=210,94 | Fecha: 28/04/2026</t>
        </is>
      </c>
    </row>
    <row r="584">
      <c r="A584" s="8" t="inlineStr">
        <is>
          <t>Administración/Banco</t>
        </is>
      </c>
      <c r="B584" s="8" t="inlineStr">
        <is>
          <t>Banco egreso no Flexxus</t>
        </is>
      </c>
      <c r="C584" s="8" t="inlineStr">
        <is>
          <t>Retención Ingresos Brutos Mendoza</t>
        </is>
      </c>
      <c r="D584" s="9" t="n">
        <v>189.15</v>
      </c>
      <c r="E584" s="8" t="inlineStr">
        <is>
          <t>ABIERTO</t>
        </is>
      </c>
      <c r="F584" s="8" t="inlineStr">
        <is>
          <t>Banco / impuesto / gasto</t>
        </is>
      </c>
      <c r="G584" s="8" t="inlineStr">
        <is>
          <t>Copiar en Flexxus: Tipo=MB-EXT | Movimiento=INGRESOS BRUTOS MENDOZA | Monto=189,15 | Fecha: 27/04/2026</t>
        </is>
      </c>
    </row>
    <row r="585">
      <c r="A585" s="8" t="inlineStr">
        <is>
          <t>Administración/Banco</t>
        </is>
      </c>
      <c r="B585" s="8" t="inlineStr">
        <is>
          <t>Banco egreso no Flexxus</t>
        </is>
      </c>
      <c r="C585" s="8" t="inlineStr">
        <is>
          <t>Retención Ingresos Brutos Mendoza</t>
        </is>
      </c>
      <c r="D585" s="9" t="n">
        <v>188.8</v>
      </c>
      <c r="E585" s="8" t="inlineStr">
        <is>
          <t>ABIERTO</t>
        </is>
      </c>
      <c r="F585" s="8" t="inlineStr">
        <is>
          <t>Banco / impuesto / gasto</t>
        </is>
      </c>
      <c r="G585" s="8" t="inlineStr">
        <is>
          <t>Copiar en Flexxus: Tipo=MB-EXT | Movimiento=INGRESOS BRUTOS MENDOZA | Monto=188,80 | Fecha: 27/04/2026</t>
        </is>
      </c>
    </row>
    <row r="586">
      <c r="A586" s="8" t="inlineStr">
        <is>
          <t>Administración/Banco</t>
        </is>
      </c>
      <c r="B586" s="8" t="inlineStr">
        <is>
          <t>Banco egreso no Flexxus</t>
        </is>
      </c>
      <c r="C586" s="8" t="inlineStr">
        <is>
          <t>Retención Ingresos Brutos Mendoza</t>
        </is>
      </c>
      <c r="D586" s="9" t="n">
        <v>166.37</v>
      </c>
      <c r="E586" s="8" t="inlineStr">
        <is>
          <t>ABIERTO</t>
        </is>
      </c>
      <c r="F586" s="8" t="inlineStr">
        <is>
          <t>Banco / impuesto / gasto</t>
        </is>
      </c>
      <c r="G586" s="8" t="inlineStr">
        <is>
          <t>Copiar en Flexxus: Tipo=MB-EXT | Movimiento=INGRESOS BRUTOS MENDOZA | Monto=166,37 | Fecha: 27/04/2026</t>
        </is>
      </c>
    </row>
    <row r="587">
      <c r="A587" s="8" t="inlineStr">
        <is>
          <t>Administración/Banco</t>
        </is>
      </c>
      <c r="B587" s="8" t="inlineStr">
        <is>
          <t>Banco egreso no Flexxus</t>
        </is>
      </c>
      <c r="C587" s="8" t="inlineStr">
        <is>
          <t>Retención Ingresos Brutos Mendoza</t>
        </is>
      </c>
      <c r="D587" s="9" t="n">
        <v>148.55</v>
      </c>
      <c r="E587" s="8" t="inlineStr">
        <is>
          <t>ABIERTO</t>
        </is>
      </c>
      <c r="F587" s="8" t="inlineStr">
        <is>
          <t>Banco / impuesto / gasto</t>
        </is>
      </c>
      <c r="G587" s="8" t="inlineStr">
        <is>
          <t>Copiar en Flexxus: Tipo=MB-EXT | Movimiento=INGRESOS BRUTOS MENDOZA | Monto=148,55 | Fecha: 27/04/2026</t>
        </is>
      </c>
    </row>
    <row r="588">
      <c r="A588" s="8" t="inlineStr">
        <is>
          <t>Administración/Banco</t>
        </is>
      </c>
      <c r="B588" s="8" t="inlineStr">
        <is>
          <t>Banco egreso no Flexxus</t>
        </is>
      </c>
      <c r="C588" s="8" t="inlineStr">
        <is>
          <t>Retención Ingresos Brutos Mendoza</t>
        </is>
      </c>
      <c r="D588" s="9" t="n">
        <v>146.57</v>
      </c>
      <c r="E588" s="8" t="inlineStr">
        <is>
          <t>ABIERTO</t>
        </is>
      </c>
      <c r="F588" s="8" t="inlineStr">
        <is>
          <t>Banco / impuesto / gasto</t>
        </is>
      </c>
      <c r="G588" s="8" t="inlineStr">
        <is>
          <t>Copiar en Flexxus: Tipo=MB-EXT | Movimiento=INGRESOS BRUTOS MENDOZA | Monto=146,57 | Fecha: 27/04/2026</t>
        </is>
      </c>
    </row>
    <row r="589">
      <c r="A589" s="8" t="inlineStr">
        <is>
          <t>Administración/Banco</t>
        </is>
      </c>
      <c r="B589" s="8" t="inlineStr">
        <is>
          <t>Banco egreso no Flexxus</t>
        </is>
      </c>
      <c r="C589" s="8" t="inlineStr">
        <is>
          <t>Retención Ingresos Brutos Mendoza</t>
        </is>
      </c>
      <c r="D589" s="9" t="n">
        <v>133.69</v>
      </c>
      <c r="E589" s="8" t="inlineStr">
        <is>
          <t>ABIERTO</t>
        </is>
      </c>
      <c r="F589" s="8" t="inlineStr">
        <is>
          <t>Banco / impuesto / gasto</t>
        </is>
      </c>
      <c r="G589" s="8" t="inlineStr">
        <is>
          <t>Copiar en Flexxus: Tipo=MB-EXT | Movimiento=INGRESOS BRUTOS MENDOZA | Monto=133,69 | Fecha: 27/04/2026</t>
        </is>
      </c>
    </row>
    <row r="590">
      <c r="A590" s="8" t="inlineStr">
        <is>
          <t>Administración/Banco</t>
        </is>
      </c>
      <c r="B590" s="8" t="inlineStr">
        <is>
          <t>Banco egreso no Flexxus</t>
        </is>
      </c>
      <c r="C590" s="8" t="inlineStr">
        <is>
          <t>Retención Ingresos Brutos Mendoza</t>
        </is>
      </c>
      <c r="D590" s="9" t="n">
        <v>133.69</v>
      </c>
      <c r="E590" s="8" t="inlineStr">
        <is>
          <t>ABIERTO</t>
        </is>
      </c>
      <c r="F590" s="8" t="inlineStr">
        <is>
          <t>Banco / impuesto / gasto</t>
        </is>
      </c>
      <c r="G590" s="8" t="inlineStr">
        <is>
          <t>Copiar en Flexxus: Tipo=MB-EXT | Movimiento=INGRESOS BRUTOS MENDOZA | Monto=133,69 | Fecha: 27/04/2026</t>
        </is>
      </c>
    </row>
    <row r="591">
      <c r="A591" s="8" t="inlineStr">
        <is>
          <t>Administración/Banco</t>
        </is>
      </c>
      <c r="B591" s="8" t="inlineStr">
        <is>
          <t>Banco egreso no Flexxus</t>
        </is>
      </c>
      <c r="C591" s="8" t="inlineStr">
        <is>
          <t>Retención Ingresos Brutos Mendoza</t>
        </is>
      </c>
      <c r="D591" s="9" t="n">
        <v>133.69</v>
      </c>
      <c r="E591" s="8" t="inlineStr">
        <is>
          <t>ABIERTO</t>
        </is>
      </c>
      <c r="F591" s="8" t="inlineStr">
        <is>
          <t>Banco / impuesto / gasto</t>
        </is>
      </c>
      <c r="G591" s="8" t="inlineStr">
        <is>
          <t>Copiar en Flexxus: Tipo=MB-EXT | Movimiento=INGRESOS BRUTOS MENDOZA | Monto=133,69 | Fecha: 27/04/2026</t>
        </is>
      </c>
    </row>
    <row r="592">
      <c r="A592" s="8" t="inlineStr">
        <is>
          <t>Administración/Banco</t>
        </is>
      </c>
      <c r="B592" s="8" t="inlineStr">
        <is>
          <t>Banco egreso no Flexxus</t>
        </is>
      </c>
      <c r="C592" s="8" t="inlineStr">
        <is>
          <t>Retención Ingresos Brutos Mendoza</t>
        </is>
      </c>
      <c r="D592" s="9" t="n">
        <v>133.69</v>
      </c>
      <c r="E592" s="8" t="inlineStr">
        <is>
          <t>ABIERTO</t>
        </is>
      </c>
      <c r="F592" s="8" t="inlineStr">
        <is>
          <t>Banco / impuesto / gasto</t>
        </is>
      </c>
      <c r="G592" s="8" t="inlineStr">
        <is>
          <t>Copiar en Flexxus: Tipo=MB-EXT | Movimiento=INGRESOS BRUTOS MENDOZA | Monto=133,69 | Fecha: 27/04/2026</t>
        </is>
      </c>
    </row>
    <row r="593">
      <c r="A593" s="8" t="inlineStr">
        <is>
          <t>Administración/Banco</t>
        </is>
      </c>
      <c r="B593" s="8" t="inlineStr">
        <is>
          <t>Banco egreso no Flexxus</t>
        </is>
      </c>
      <c r="C593" s="8" t="inlineStr">
        <is>
          <t>Retención Ingresos Brutos Mendoza</t>
        </is>
      </c>
      <c r="D593" s="9" t="n">
        <v>133.69</v>
      </c>
      <c r="E593" s="8" t="inlineStr">
        <is>
          <t>ABIERTO</t>
        </is>
      </c>
      <c r="F593" s="8" t="inlineStr">
        <is>
          <t>Banco / impuesto / gasto</t>
        </is>
      </c>
      <c r="G593" s="8" t="inlineStr">
        <is>
          <t>Copiar en Flexxus: Tipo=MB-EXT | Movimiento=INGRESOS BRUTOS MENDOZA | Monto=133,69 | Fecha: 28/04/2026</t>
        </is>
      </c>
    </row>
    <row r="594">
      <c r="A594" s="8" t="inlineStr">
        <is>
          <t>Administración/Banco</t>
        </is>
      </c>
      <c r="B594" s="8" t="inlineStr">
        <is>
          <t>Banco egreso no Flexxus</t>
        </is>
      </c>
      <c r="C594" s="8" t="inlineStr">
        <is>
          <t>Retención Ingresos Brutos Mendoza</t>
        </is>
      </c>
      <c r="D594" s="9" t="n">
        <v>133.37</v>
      </c>
      <c r="E594" s="8" t="inlineStr">
        <is>
          <t>ABIERTO</t>
        </is>
      </c>
      <c r="F594" s="8" t="inlineStr">
        <is>
          <t>Banco / impuesto / gasto</t>
        </is>
      </c>
      <c r="G594" s="8" t="inlineStr">
        <is>
          <t>Copiar en Flexxus: Tipo=MB-EXT | Movimiento=INGRESOS BRUTOS MENDOZA | Monto=133,37 | Fecha: 27/04/2026</t>
        </is>
      </c>
    </row>
    <row r="595">
      <c r="A595" s="8" t="inlineStr">
        <is>
          <t>Administración/Banco</t>
        </is>
      </c>
      <c r="B595" s="8" t="inlineStr">
        <is>
          <t>Banco egreso no Flexxus</t>
        </is>
      </c>
      <c r="C595" s="8" t="inlineStr">
        <is>
          <t>Retención Ingresos Brutos Mendoza</t>
        </is>
      </c>
      <c r="D595" s="9" t="n">
        <v>131.71</v>
      </c>
      <c r="E595" s="8" t="inlineStr">
        <is>
          <t>ABIERTO</t>
        </is>
      </c>
      <c r="F595" s="8" t="inlineStr">
        <is>
          <t>Banco / impuesto / gasto</t>
        </is>
      </c>
      <c r="G595" s="8" t="inlineStr">
        <is>
          <t>Copiar en Flexxus: Tipo=MB-EXT | Movimiento=INGRESOS BRUTOS MENDOZA | Monto=131,71 | Fecha: 27/04/2026</t>
        </is>
      </c>
    </row>
    <row r="596">
      <c r="A596" s="8" t="inlineStr">
        <is>
          <t>Administración/Banco</t>
        </is>
      </c>
      <c r="B596" s="8" t="inlineStr">
        <is>
          <t>Banco egreso no Flexxus</t>
        </is>
      </c>
      <c r="C596" s="8" t="inlineStr">
        <is>
          <t>Retención Ingresos Brutos Mendoza</t>
        </is>
      </c>
      <c r="D596" s="9" t="n">
        <v>125.77</v>
      </c>
      <c r="E596" s="8" t="inlineStr">
        <is>
          <t>ABIERTO</t>
        </is>
      </c>
      <c r="F596" s="8" t="inlineStr">
        <is>
          <t>Banco / impuesto / gasto</t>
        </is>
      </c>
      <c r="G596" s="8" t="inlineStr">
        <is>
          <t>Copiar en Flexxus: Tipo=MB-EXT | Movimiento=INGRESOS BRUTOS MENDOZA | Monto=125,77 | Fecha: 27/04/2026</t>
        </is>
      </c>
    </row>
    <row r="597">
      <c r="A597" s="8" t="inlineStr">
        <is>
          <t>Administración/Banco</t>
        </is>
      </c>
      <c r="B597" s="8" t="inlineStr">
        <is>
          <t>Banco egreso no Flexxus</t>
        </is>
      </c>
      <c r="C597" s="8" t="inlineStr">
        <is>
          <t>Retención Ingresos Brutos Mendoza</t>
        </is>
      </c>
      <c r="D597" s="9" t="n">
        <v>123.79</v>
      </c>
      <c r="E597" s="8" t="inlineStr">
        <is>
          <t>ABIERTO</t>
        </is>
      </c>
      <c r="F597" s="8" t="inlineStr">
        <is>
          <t>Banco / impuesto / gasto</t>
        </is>
      </c>
      <c r="G597" s="8" t="inlineStr">
        <is>
          <t>Copiar en Flexxus: Tipo=MB-EXT | Movimiento=INGRESOS BRUTOS MENDOZA | Monto=123,79 | Fecha: 27/04/2026</t>
        </is>
      </c>
    </row>
    <row r="598">
      <c r="A598" s="8" t="inlineStr">
        <is>
          <t>Administración/Banco</t>
        </is>
      </c>
      <c r="B598" s="8" t="inlineStr">
        <is>
          <t>Banco egreso no Flexxus</t>
        </is>
      </c>
      <c r="C598" s="8" t="inlineStr">
        <is>
          <t>Retención Ingresos Brutos Mendoza</t>
        </is>
      </c>
      <c r="D598" s="9" t="n">
        <v>122.8</v>
      </c>
      <c r="E598" s="8" t="inlineStr">
        <is>
          <t>ABIERTO</t>
        </is>
      </c>
      <c r="F598" s="8" t="inlineStr">
        <is>
          <t>Banco / impuesto / gasto</t>
        </is>
      </c>
      <c r="G598" s="8" t="inlineStr">
        <is>
          <t>Copiar en Flexxus: Tipo=MB-EXT | Movimiento=INGRESOS BRUTOS MENDOZA | Monto=122,80 | Fecha: 27/04/2026</t>
        </is>
      </c>
    </row>
    <row r="599">
      <c r="A599" s="8" t="inlineStr">
        <is>
          <t>Administración/Banco</t>
        </is>
      </c>
      <c r="B599" s="8" t="inlineStr">
        <is>
          <t>Banco egreso no Flexxus</t>
        </is>
      </c>
      <c r="C599" s="8" t="inlineStr">
        <is>
          <t>Retención Ingresos Brutos Mendoza</t>
        </is>
      </c>
      <c r="D599" s="9" t="n">
        <v>116.86</v>
      </c>
      <c r="E599" s="8" t="inlineStr">
        <is>
          <t>ABIERTO</t>
        </is>
      </c>
      <c r="F599" s="8" t="inlineStr">
        <is>
          <t>Banco / impuesto / gasto</t>
        </is>
      </c>
      <c r="G599" s="8" t="inlineStr">
        <is>
          <t>Copiar en Flexxus: Tipo=MB-EXT | Movimiento=INGRESOS BRUTOS MENDOZA | Monto=116,86 | Fecha: 27/04/2026</t>
        </is>
      </c>
    </row>
    <row r="600">
      <c r="A600" s="8" t="inlineStr">
        <is>
          <t>Administración/Banco</t>
        </is>
      </c>
      <c r="B600" s="8" t="inlineStr">
        <is>
          <t>Banco egreso no Flexxus</t>
        </is>
      </c>
      <c r="C600" s="8" t="inlineStr">
        <is>
          <t>Retención Ingresos Brutos Mendoza</t>
        </is>
      </c>
      <c r="D600" s="9" t="n">
        <v>113.89</v>
      </c>
      <c r="E600" s="8" t="inlineStr">
        <is>
          <t>ABIERTO</t>
        </is>
      </c>
      <c r="F600" s="8" t="inlineStr">
        <is>
          <t>Banco / impuesto / gasto</t>
        </is>
      </c>
      <c r="G600" s="8" t="inlineStr">
        <is>
          <t>Copiar en Flexxus: Tipo=MB-EXT | Movimiento=INGRESOS BRUTOS MENDOZA | Monto=113,89 | Fecha: 27/04/2026</t>
        </is>
      </c>
    </row>
    <row r="601">
      <c r="A601" s="8" t="inlineStr">
        <is>
          <t>Administración/Banco</t>
        </is>
      </c>
      <c r="B601" s="8" t="inlineStr">
        <is>
          <t>Banco egreso no Flexxus</t>
        </is>
      </c>
      <c r="C601" s="8" t="inlineStr">
        <is>
          <t>Retención Ingresos Brutos Mendoza</t>
        </is>
      </c>
      <c r="D601" s="9" t="n">
        <v>113.89</v>
      </c>
      <c r="E601" s="8" t="inlineStr">
        <is>
          <t>ABIERTO</t>
        </is>
      </c>
      <c r="F601" s="8" t="inlineStr">
        <is>
          <t>Banco / impuesto / gasto</t>
        </is>
      </c>
      <c r="G601" s="8" t="inlineStr">
        <is>
          <t>Copiar en Flexxus: Tipo=MB-EXT | Movimiento=INGRESOS BRUTOS MENDOZA | Monto=113,89 | Fecha: 27/04/2026</t>
        </is>
      </c>
    </row>
    <row r="602">
      <c r="A602" s="8" t="inlineStr">
        <is>
          <t>Administración/Banco</t>
        </is>
      </c>
      <c r="B602" s="8" t="inlineStr">
        <is>
          <t>Banco egreso no Flexxus</t>
        </is>
      </c>
      <c r="C602" s="8" t="inlineStr">
        <is>
          <t>Retención Ingresos Brutos Mendoza</t>
        </is>
      </c>
      <c r="D602" s="9" t="n">
        <v>113.89</v>
      </c>
      <c r="E602" s="8" t="inlineStr">
        <is>
          <t>ABIERTO</t>
        </is>
      </c>
      <c r="F602" s="8" t="inlineStr">
        <is>
          <t>Banco / impuesto / gasto</t>
        </is>
      </c>
      <c r="G602" s="8" t="inlineStr">
        <is>
          <t>Copiar en Flexxus: Tipo=MB-EXT | Movimiento=INGRESOS BRUTOS MENDOZA | Monto=113,89 | Fecha: 27/04/2026</t>
        </is>
      </c>
    </row>
    <row r="603">
      <c r="A603" s="8" t="inlineStr">
        <is>
          <t>Administración/Banco</t>
        </is>
      </c>
      <c r="B603" s="8" t="inlineStr">
        <is>
          <t>Banco egreso no Flexxus</t>
        </is>
      </c>
      <c r="C603" s="8" t="inlineStr">
        <is>
          <t>Retención Ingresos Brutos Mendoza</t>
        </is>
      </c>
      <c r="D603" s="9" t="n">
        <v>113.89</v>
      </c>
      <c r="E603" s="8" t="inlineStr">
        <is>
          <t>ABIERTO</t>
        </is>
      </c>
      <c r="F603" s="8" t="inlineStr">
        <is>
          <t>Banco / impuesto / gasto</t>
        </is>
      </c>
      <c r="G603" s="8" t="inlineStr">
        <is>
          <t>Copiar en Flexxus: Tipo=MB-EXT | Movimiento=INGRESOS BRUTOS MENDOZA | Monto=113,89 | Fecha: 28/04/2026</t>
        </is>
      </c>
    </row>
    <row r="604">
      <c r="A604" s="8" t="inlineStr">
        <is>
          <t>Administración/Banco</t>
        </is>
      </c>
      <c r="B604" s="8" t="inlineStr">
        <is>
          <t>Banco egreso no Flexxus</t>
        </is>
      </c>
      <c r="C604" s="8" t="inlineStr">
        <is>
          <t>Retención Ingresos Brutos Mendoza</t>
        </is>
      </c>
      <c r="D604" s="9" t="n">
        <v>104.97</v>
      </c>
      <c r="E604" s="8" t="inlineStr">
        <is>
          <t>ABIERTO</t>
        </is>
      </c>
      <c r="F604" s="8" t="inlineStr">
        <is>
          <t>Banco / impuesto / gasto</t>
        </is>
      </c>
      <c r="G604" s="8" t="inlineStr">
        <is>
          <t>Copiar en Flexxus: Tipo=MB-EXT | Movimiento=INGRESOS BRUTOS MENDOZA | Monto=104,97 | Fecha: 27/04/2026</t>
        </is>
      </c>
    </row>
    <row r="605">
      <c r="A605" s="8" t="inlineStr">
        <is>
          <t>Administración/Banco</t>
        </is>
      </c>
      <c r="B605" s="8" t="inlineStr">
        <is>
          <t>Banco egreso no Flexxus</t>
        </is>
      </c>
      <c r="C605" s="8" t="inlineStr">
        <is>
          <t>Retención Ingresos Brutos Mendoza</t>
        </is>
      </c>
      <c r="D605" s="9" t="n">
        <v>98.79000000000001</v>
      </c>
      <c r="E605" s="8" t="inlineStr">
        <is>
          <t>ABIERTO</t>
        </is>
      </c>
      <c r="F605" s="8" t="inlineStr">
        <is>
          <t>Banco / impuesto / gasto</t>
        </is>
      </c>
      <c r="G605" s="8" t="inlineStr">
        <is>
          <t>Copiar en Flexxus: Tipo=MB-EXT | Movimiento=INGRESOS BRUTOS MENDOZA | Monto=98,79 | Fecha: 27/04/2026</t>
        </is>
      </c>
    </row>
    <row r="606">
      <c r="A606" s="8" t="inlineStr">
        <is>
          <t>Administración/Banco</t>
        </is>
      </c>
      <c r="B606" s="8" t="inlineStr">
        <is>
          <t>Banco egreso no Flexxus</t>
        </is>
      </c>
      <c r="C606" s="8" t="inlineStr">
        <is>
          <t>Retención Ingresos Brutos Mendoza</t>
        </is>
      </c>
      <c r="D606" s="9" t="n">
        <v>98.04000000000001</v>
      </c>
      <c r="E606" s="8" t="inlineStr">
        <is>
          <t>ABIERTO</t>
        </is>
      </c>
      <c r="F606" s="8" t="inlineStr">
        <is>
          <t>Banco / impuesto / gasto</t>
        </is>
      </c>
      <c r="G606" s="8" t="inlineStr">
        <is>
          <t>Copiar en Flexxus: Tipo=MB-EXT | Movimiento=INGRESOS BRUTOS MENDOZA | Monto=98,04 | Fecha: 27/04/2026</t>
        </is>
      </c>
    </row>
    <row r="607">
      <c r="A607" s="8" t="inlineStr">
        <is>
          <t>Administración/Banco</t>
        </is>
      </c>
      <c r="B607" s="8" t="inlineStr">
        <is>
          <t>Banco egreso no Flexxus</t>
        </is>
      </c>
      <c r="C607" s="8" t="inlineStr">
        <is>
          <t>Retención Ingresos Brutos Mendoza</t>
        </is>
      </c>
      <c r="D607" s="9" t="n">
        <v>94.08</v>
      </c>
      <c r="E607" s="8" t="inlineStr">
        <is>
          <t>ABIERTO</t>
        </is>
      </c>
      <c r="F607" s="8" t="inlineStr">
        <is>
          <t>Banco / impuesto / gasto</t>
        </is>
      </c>
      <c r="G607" s="8" t="inlineStr">
        <is>
          <t>Copiar en Flexxus: Tipo=MB-EXT | Movimiento=INGRESOS BRUTOS MENDOZA | Monto=94,08 | Fecha: 27/04/2026</t>
        </is>
      </c>
    </row>
    <row r="608">
      <c r="A608" s="8" t="inlineStr">
        <is>
          <t>Administración/Banco</t>
        </is>
      </c>
      <c r="B608" s="8" t="inlineStr">
        <is>
          <t>Banco egreso no Flexxus</t>
        </is>
      </c>
      <c r="C608" s="8" t="inlineStr">
        <is>
          <t>Retención Ingresos Brutos Mendoza</t>
        </is>
      </c>
      <c r="D608" s="9" t="n">
        <v>91.95</v>
      </c>
      <c r="E608" s="8" t="inlineStr">
        <is>
          <t>ABIERTO</t>
        </is>
      </c>
      <c r="F608" s="8" t="inlineStr">
        <is>
          <t>Banco / impuesto / gasto</t>
        </is>
      </c>
      <c r="G608" s="8" t="inlineStr">
        <is>
          <t>Copiar en Flexxus: Tipo=MB-EXT | Movimiento=INGRESOS BRUTOS MENDOZA | Monto=91,95 | Fecha: 27/04/2026</t>
        </is>
      </c>
    </row>
    <row r="609">
      <c r="A609" s="8" t="inlineStr">
        <is>
          <t>Administración/Banco</t>
        </is>
      </c>
      <c r="B609" s="8" t="inlineStr">
        <is>
          <t>Banco egreso no Flexxus</t>
        </is>
      </c>
      <c r="C609" s="8" t="inlineStr">
        <is>
          <t>Retención Ingresos Brutos Mendoza</t>
        </is>
      </c>
      <c r="D609" s="9" t="n">
        <v>89.13</v>
      </c>
      <c r="E609" s="8" t="inlineStr">
        <is>
          <t>ABIERTO</t>
        </is>
      </c>
      <c r="F609" s="8" t="inlineStr">
        <is>
          <t>Banco / impuesto / gasto</t>
        </is>
      </c>
      <c r="G609" s="8" t="inlineStr">
        <is>
          <t>Copiar en Flexxus: Tipo=MB-EXT | Movimiento=INGRESOS BRUTOS MENDOZA | Monto=89,13 | Fecha: 27/04/2026</t>
        </is>
      </c>
    </row>
    <row r="610">
      <c r="A610" s="8" t="inlineStr">
        <is>
          <t>Administración/Banco</t>
        </is>
      </c>
      <c r="B610" s="8" t="inlineStr">
        <is>
          <t>Banco egreso no Flexxus</t>
        </is>
      </c>
      <c r="C610" s="8" t="inlineStr">
        <is>
          <t>Retención Ingresos Brutos Mendoza</t>
        </is>
      </c>
      <c r="D610" s="9" t="n">
        <v>89.13</v>
      </c>
      <c r="E610" s="8" t="inlineStr">
        <is>
          <t>ABIERTO</t>
        </is>
      </c>
      <c r="F610" s="8" t="inlineStr">
        <is>
          <t>Banco / impuesto / gasto</t>
        </is>
      </c>
      <c r="G610" s="8" t="inlineStr">
        <is>
          <t>Copiar en Flexxus: Tipo=MB-EXT | Movimiento=INGRESOS BRUTOS MENDOZA | Monto=89,13 | Fecha: 27/04/2026</t>
        </is>
      </c>
    </row>
    <row r="611">
      <c r="A611" s="8" t="inlineStr">
        <is>
          <t>Administración/Banco</t>
        </is>
      </c>
      <c r="B611" s="8" t="inlineStr">
        <is>
          <t>Banco egreso no Flexxus</t>
        </is>
      </c>
      <c r="C611" s="8" t="inlineStr">
        <is>
          <t>Retención Ingresos Brutos Mendoza</t>
        </is>
      </c>
      <c r="D611" s="9" t="n">
        <v>88.04000000000001</v>
      </c>
      <c r="E611" s="8" t="inlineStr">
        <is>
          <t>ABIERTO</t>
        </is>
      </c>
      <c r="F611" s="8" t="inlineStr">
        <is>
          <t>Banco / impuesto / gasto</t>
        </is>
      </c>
      <c r="G611" s="8" t="inlineStr">
        <is>
          <t>Copiar en Flexxus: Tipo=MB-EXT | Movimiento=INGRESOS BRUTOS MENDOZA | Monto=88,04 | Fecha: 28/04/2026</t>
        </is>
      </c>
    </row>
    <row r="612">
      <c r="A612" s="8" t="inlineStr">
        <is>
          <t>Administración/Banco</t>
        </is>
      </c>
      <c r="B612" s="8" t="inlineStr">
        <is>
          <t>Banco egreso no Flexxus</t>
        </is>
      </c>
      <c r="C612" s="8" t="inlineStr">
        <is>
          <t>Retención Ingresos Brutos Mendoza</t>
        </is>
      </c>
      <c r="D612" s="9" t="n">
        <v>84.18000000000001</v>
      </c>
      <c r="E612" s="8" t="inlineStr">
        <is>
          <t>ABIERTO</t>
        </is>
      </c>
      <c r="F612" s="8" t="inlineStr">
        <is>
          <t>Banco / impuesto / gasto</t>
        </is>
      </c>
      <c r="G612" s="8" t="inlineStr">
        <is>
          <t>Copiar en Flexxus: Tipo=MB-EXT | Movimiento=INGRESOS BRUTOS MENDOZA | Monto=84,18 | Fecha: 27/04/2026</t>
        </is>
      </c>
    </row>
    <row r="613">
      <c r="A613" s="8" t="inlineStr">
        <is>
          <t>Administración/Banco</t>
        </is>
      </c>
      <c r="B613" s="8" t="inlineStr">
        <is>
          <t>Banco egreso no Flexxus</t>
        </is>
      </c>
      <c r="C613" s="8" t="inlineStr">
        <is>
          <t>Retención Ingresos Brutos Mendoza</t>
        </is>
      </c>
      <c r="D613" s="9" t="n">
        <v>77.25</v>
      </c>
      <c r="E613" s="8" t="inlineStr">
        <is>
          <t>ABIERTO</t>
        </is>
      </c>
      <c r="F613" s="8" t="inlineStr">
        <is>
          <t>Banco / impuesto / gasto</t>
        </is>
      </c>
      <c r="G613" s="8" t="inlineStr">
        <is>
          <t>Copiar en Flexxus: Tipo=MB-EXT | Movimiento=INGRESOS BRUTOS MENDOZA | Monto=77,25 | Fecha: 27/04/2026</t>
        </is>
      </c>
    </row>
    <row r="614">
      <c r="A614" s="8" t="inlineStr">
        <is>
          <t>Administración/Banco</t>
        </is>
      </c>
      <c r="B614" s="8" t="inlineStr">
        <is>
          <t>Banco egreso no Flexxus</t>
        </is>
      </c>
      <c r="C614" s="8" t="inlineStr">
        <is>
          <t>Retención Ingresos Brutos Mendoza</t>
        </is>
      </c>
      <c r="D614" s="9" t="n">
        <v>76.25</v>
      </c>
      <c r="E614" s="8" t="inlineStr">
        <is>
          <t>ABIERTO</t>
        </is>
      </c>
      <c r="F614" s="8" t="inlineStr">
        <is>
          <t>Banco / impuesto / gasto</t>
        </is>
      </c>
      <c r="G614" s="8" t="inlineStr">
        <is>
          <t>Copiar en Flexxus: Tipo=MB-EXT | Movimiento=INGRESOS BRUTOS MENDOZA | Monto=76,25 | Fecha: 27/04/2026</t>
        </is>
      </c>
    </row>
    <row r="615">
      <c r="A615" s="8" t="inlineStr">
        <is>
          <t>Administración/Banco</t>
        </is>
      </c>
      <c r="B615" s="8" t="inlineStr">
        <is>
          <t>Banco egreso no Flexxus</t>
        </is>
      </c>
      <c r="C615" s="8" t="inlineStr">
        <is>
          <t>Retención Ingresos Brutos Mendoza</t>
        </is>
      </c>
      <c r="D615" s="9" t="n">
        <v>68.33</v>
      </c>
      <c r="E615" s="8" t="inlineStr">
        <is>
          <t>ABIERTO</t>
        </is>
      </c>
      <c r="F615" s="8" t="inlineStr">
        <is>
          <t>Banco / impuesto / gasto</t>
        </is>
      </c>
      <c r="G615" s="8" t="inlineStr">
        <is>
          <t>Copiar en Flexxus: Tipo=MB-EXT | Movimiento=INGRESOS BRUTOS MENDOZA | Monto=68,33 | Fecha: 27/04/2026</t>
        </is>
      </c>
    </row>
    <row r="616">
      <c r="A616" s="8" t="inlineStr">
        <is>
          <t>Administración/Banco</t>
        </is>
      </c>
      <c r="B616" s="8" t="inlineStr">
        <is>
          <t>Banco egreso no Flexxus</t>
        </is>
      </c>
      <c r="C616" s="8" t="inlineStr">
        <is>
          <t>Retención Ingresos Brutos Mendoza</t>
        </is>
      </c>
      <c r="D616" s="9" t="n">
        <v>65.2</v>
      </c>
      <c r="E616" s="8" t="inlineStr">
        <is>
          <t>ABIERTO</t>
        </is>
      </c>
      <c r="F616" s="8" t="inlineStr">
        <is>
          <t>Banco / impuesto / gasto</t>
        </is>
      </c>
      <c r="G616" s="8" t="inlineStr">
        <is>
          <t>Copiar en Flexxus: Tipo=MB-EXT | Movimiento=INGRESOS BRUTOS MENDOZA | Monto=65,20 | Fecha: 27/04/2026</t>
        </is>
      </c>
    </row>
    <row r="617">
      <c r="A617" s="8" t="inlineStr">
        <is>
          <t>Administración/Banco</t>
        </is>
      </c>
      <c r="B617" s="8" t="inlineStr">
        <is>
          <t>Banco egreso no Flexxus</t>
        </is>
      </c>
      <c r="C617" s="8" t="inlineStr">
        <is>
          <t>Retención Ingresos Brutos Mendoza</t>
        </is>
      </c>
      <c r="D617" s="9" t="n">
        <v>44.56</v>
      </c>
      <c r="E617" s="8" t="inlineStr">
        <is>
          <t>ABIERTO</t>
        </is>
      </c>
      <c r="F617" s="8" t="inlineStr">
        <is>
          <t>Banco / impuesto / gasto</t>
        </is>
      </c>
      <c r="G617" s="8" t="inlineStr">
        <is>
          <t>Copiar en Flexxus: Tipo=MB-EXT | Movimiento=INGRESOS BRUTOS MENDOZA | Monto=44,56 | Fecha: 27/04/2026</t>
        </is>
      </c>
    </row>
    <row r="618">
      <c r="A618" s="8" t="inlineStr">
        <is>
          <t>Administración/Banco</t>
        </is>
      </c>
      <c r="B618" s="8" t="inlineStr">
        <is>
          <t>Banco egreso no Flexxus</t>
        </is>
      </c>
      <c r="C618" s="8" t="inlineStr">
        <is>
          <t>Retención Ingresos Brutos Mendoza</t>
        </is>
      </c>
      <c r="D618" s="9" t="n">
        <v>44.56</v>
      </c>
      <c r="E618" s="8" t="inlineStr">
        <is>
          <t>ABIERTO</t>
        </is>
      </c>
      <c r="F618" s="8" t="inlineStr">
        <is>
          <t>Banco / impuesto / gasto</t>
        </is>
      </c>
      <c r="G618" s="8" t="inlineStr">
        <is>
          <t>Copiar en Flexxus: Tipo=MB-EXT | Movimiento=INGRESOS BRUTOS MENDOZA | Monto=44,56 | Fecha: 27/04/2026</t>
        </is>
      </c>
    </row>
    <row r="619">
      <c r="A619" s="8" t="inlineStr">
        <is>
          <t>Administración/Banco</t>
        </is>
      </c>
      <c r="B619" s="8" t="inlineStr">
        <is>
          <t>Banco egreso no Flexxus</t>
        </is>
      </c>
      <c r="C619" s="8" t="inlineStr">
        <is>
          <t>Retención Ingresos Brutos Mendoza</t>
        </is>
      </c>
      <c r="D619" s="9" t="n">
        <v>44.56</v>
      </c>
      <c r="E619" s="8" t="inlineStr">
        <is>
          <t>ABIERTO</t>
        </is>
      </c>
      <c r="F619" s="8" t="inlineStr">
        <is>
          <t>Banco / impuesto / gasto</t>
        </is>
      </c>
      <c r="G619" s="8" t="inlineStr">
        <is>
          <t>Copiar en Flexxus: Tipo=MB-EXT | Movimiento=INGRESOS BRUTOS MENDOZA | Monto=44,56 | Fecha: 27/04/2026</t>
        </is>
      </c>
    </row>
    <row r="620">
      <c r="A620" s="8" t="inlineStr">
        <is>
          <t>Administración/Banco</t>
        </is>
      </c>
      <c r="B620" s="8" t="inlineStr">
        <is>
          <t>Banco egreso no Flexxus</t>
        </is>
      </c>
      <c r="C620" s="8" t="inlineStr">
        <is>
          <t>Retención Ingresos Brutos Mendoza</t>
        </is>
      </c>
      <c r="D620" s="9" t="n">
        <v>44.02</v>
      </c>
      <c r="E620" s="8" t="inlineStr">
        <is>
          <t>ABIERTO</t>
        </is>
      </c>
      <c r="F620" s="8" t="inlineStr">
        <is>
          <t>Banco / impuesto / gasto</t>
        </is>
      </c>
      <c r="G620" s="8" t="inlineStr">
        <is>
          <t>Copiar en Flexxus: Tipo=MB-EXT | Movimiento=INGRESOS BRUTOS MENDOZA | Monto=44,02 | Fecha: 27/04/2026</t>
        </is>
      </c>
    </row>
    <row r="621">
      <c r="A621" s="8" t="inlineStr">
        <is>
          <t>Administración/Banco</t>
        </is>
      </c>
      <c r="B621" s="8" t="inlineStr">
        <is>
          <t>Banco egreso no Flexxus</t>
        </is>
      </c>
      <c r="C621" s="8" t="inlineStr">
        <is>
          <t>Retención Ingresos Brutos Mendoza</t>
        </is>
      </c>
      <c r="D621" s="9" t="n">
        <v>29.35</v>
      </c>
      <c r="E621" s="8" t="inlineStr">
        <is>
          <t>ABIERTO</t>
        </is>
      </c>
      <c r="F621" s="8" t="inlineStr">
        <is>
          <t>Banco / impuesto / gasto</t>
        </is>
      </c>
      <c r="G621" s="8" t="inlineStr">
        <is>
          <t>Copiar en Flexxus: Tipo=MB-EXT | Movimiento=INGRESOS BRUTOS MENDOZA | Monto=29,35 | Fecha: 28/04/2026</t>
        </is>
      </c>
    </row>
    <row r="622">
      <c r="A622" s="8" t="inlineStr">
        <is>
          <t>Administración/Banco</t>
        </is>
      </c>
      <c r="B622" s="8" t="inlineStr">
        <is>
          <t>Banco egreso no Flexxus</t>
        </is>
      </c>
      <c r="C622" s="8" t="inlineStr">
        <is>
          <t>Retención Ingresos Brutos Mendoza</t>
        </is>
      </c>
      <c r="D622" s="9" t="n">
        <v>705.11</v>
      </c>
      <c r="E622" s="8" t="inlineStr">
        <is>
          <t>ABIERTO_NUEVO</t>
        </is>
      </c>
      <c r="F622" s="8" t="inlineStr">
        <is>
          <t>Banco / impuesto / gasto</t>
        </is>
      </c>
      <c r="G622" s="8" t="inlineStr">
        <is>
          <t>Copiar en Flexxus: Tipo=MB-EXT | Movimiento=INGRESOS BRUTOS MENDOZA | Monto=705,11 | Fecha: 29/04/2026</t>
        </is>
      </c>
    </row>
    <row r="623">
      <c r="A623" s="8" t="inlineStr">
        <is>
          <t>Administración/Banco</t>
        </is>
      </c>
      <c r="B623" s="8" t="inlineStr">
        <is>
          <t>Banco egreso no Flexxus</t>
        </is>
      </c>
      <c r="C623" s="8" t="inlineStr">
        <is>
          <t>Retención Ingresos Brutos Mendoza</t>
        </is>
      </c>
      <c r="D623" s="9" t="n">
        <v>222.82</v>
      </c>
      <c r="E623" s="8" t="inlineStr">
        <is>
          <t>ABIERTO_NUEVO</t>
        </is>
      </c>
      <c r="F623" s="8" t="inlineStr">
        <is>
          <t>Banco / impuesto / gasto</t>
        </is>
      </c>
      <c r="G623" s="8" t="inlineStr">
        <is>
          <t>Copiar en Flexxus: Tipo=MB-EXT | Movimiento=INGRESOS BRUTOS MENDOZA | Monto=222,82 | Fecha: 29/04/2026</t>
        </is>
      </c>
    </row>
    <row r="624">
      <c r="A624" s="8" t="inlineStr">
        <is>
          <t>Administración/Banco</t>
        </is>
      </c>
      <c r="B624" s="8" t="inlineStr">
        <is>
          <t>Banco egreso no Flexxus</t>
        </is>
      </c>
      <c r="C624" s="8" t="inlineStr">
        <is>
          <t>Retención Ingresos Brutos Mendoza</t>
        </is>
      </c>
      <c r="D624" s="9" t="n">
        <v>232.73</v>
      </c>
      <c r="E624" s="8" t="inlineStr">
        <is>
          <t>ABIERTO_NUEVO</t>
        </is>
      </c>
      <c r="F624" s="8" t="inlineStr">
        <is>
          <t>Banco / impuesto / gasto</t>
        </is>
      </c>
      <c r="G624" s="8" t="inlineStr">
        <is>
          <t>Copiar en Flexxus: Tipo=MB-EXT | Movimiento=INGRESOS BRUTOS MENDOZA | Monto=232,73 | Fecha: 29/04/2026</t>
        </is>
      </c>
    </row>
    <row r="625">
      <c r="A625" s="8" t="inlineStr">
        <is>
          <t>Administración/Banco</t>
        </is>
      </c>
      <c r="B625" s="8" t="inlineStr">
        <is>
          <t>Banco egreso no Flexxus</t>
        </is>
      </c>
      <c r="C625" s="8" t="inlineStr">
        <is>
          <t>Retención Ingresos Brutos Mendoza</t>
        </is>
      </c>
      <c r="D625" s="9" t="n">
        <v>512</v>
      </c>
      <c r="E625" s="8" t="inlineStr">
        <is>
          <t>ABIERTO_NUEVO</t>
        </is>
      </c>
      <c r="F625" s="8" t="inlineStr">
        <is>
          <t>Banco / impuesto / gasto</t>
        </is>
      </c>
      <c r="G625" s="8" t="inlineStr">
        <is>
          <t>Copiar en Flexxus: Tipo=MB-EXT | Movimiento=INGRESOS BRUTOS MENDOZA | Monto=512,00 | Fecha: 29/04/2026</t>
        </is>
      </c>
    </row>
    <row r="626">
      <c r="A626" s="8" t="inlineStr">
        <is>
          <t>Administración/Banco</t>
        </is>
      </c>
      <c r="B626" s="8" t="inlineStr">
        <is>
          <t>Banco egreso no Flexxus</t>
        </is>
      </c>
      <c r="C626" s="8" t="inlineStr">
        <is>
          <t>Retención Ingresos Brutos Mendoza</t>
        </is>
      </c>
      <c r="D626" s="9" t="n">
        <v>74.27</v>
      </c>
      <c r="E626" s="8" t="inlineStr">
        <is>
          <t>ABIERTO_NUEVO</t>
        </is>
      </c>
      <c r="F626" s="8" t="inlineStr">
        <is>
          <t>Banco / impuesto / gasto</t>
        </is>
      </c>
      <c r="G626" s="8" t="inlineStr">
        <is>
          <t>Copiar en Flexxus: Tipo=MB-EXT | Movimiento=INGRESOS BRUTOS MENDOZA | Monto=74,27 | Fecha: 29/04/2026</t>
        </is>
      </c>
    </row>
    <row r="627">
      <c r="A627" s="8" t="inlineStr">
        <is>
          <t>Administración/Banco</t>
        </is>
      </c>
      <c r="B627" s="8" t="inlineStr">
        <is>
          <t>Banco egreso no Flexxus</t>
        </is>
      </c>
      <c r="C627" s="8" t="inlineStr">
        <is>
          <t>Retención Ingresos Brutos Mendoza</t>
        </is>
      </c>
      <c r="D627" s="9" t="n">
        <v>222.82</v>
      </c>
      <c r="E627" s="8" t="inlineStr">
        <is>
          <t>ABIERTO_NUEVO</t>
        </is>
      </c>
      <c r="F627" s="8" t="inlineStr">
        <is>
          <t>Banco / impuesto / gasto</t>
        </is>
      </c>
      <c r="G627" s="8" t="inlineStr">
        <is>
          <t>Copiar en Flexxus: Tipo=MB-EXT | Movimiento=INGRESOS BRUTOS MENDOZA | Monto=222,82 | Fecha: 29/04/2026</t>
        </is>
      </c>
    </row>
    <row r="628">
      <c r="A628" s="8" t="inlineStr">
        <is>
          <t>Administración/Banco</t>
        </is>
      </c>
      <c r="B628" s="8" t="inlineStr">
        <is>
          <t>Banco egreso no Flexxus</t>
        </is>
      </c>
      <c r="C628" s="8" t="inlineStr">
        <is>
          <t>Retención Ingresos Brutos Mendoza</t>
        </is>
      </c>
      <c r="D628" s="9" t="n">
        <v>445.64</v>
      </c>
      <c r="E628" s="8" t="inlineStr">
        <is>
          <t>ABIERTO_NUEVO</t>
        </is>
      </c>
      <c r="F628" s="8" t="inlineStr">
        <is>
          <t>Banco / impuesto / gasto</t>
        </is>
      </c>
      <c r="G628" s="8" t="inlineStr">
        <is>
          <t>Copiar en Flexxus: Tipo=MB-EXT | Movimiento=INGRESOS BRUTOS MENDOZA | Monto=445,64 | Fecha: 29/04/2026</t>
        </is>
      </c>
    </row>
    <row r="629">
      <c r="A629" s="8" t="inlineStr">
        <is>
          <t>Administración/Banco</t>
        </is>
      </c>
      <c r="B629" s="8" t="inlineStr">
        <is>
          <t>Banco egreso no Flexxus</t>
        </is>
      </c>
      <c r="C629" s="8" t="inlineStr">
        <is>
          <t>Retención Ingresos Brutos Mendoza</t>
        </is>
      </c>
      <c r="D629" s="9" t="n">
        <v>74.27</v>
      </c>
      <c r="E629" s="8" t="inlineStr">
        <is>
          <t>ABIERTO_NUEVO</t>
        </is>
      </c>
      <c r="F629" s="8" t="inlineStr">
        <is>
          <t>Banco / impuesto / gasto</t>
        </is>
      </c>
      <c r="G629" s="8" t="inlineStr">
        <is>
          <t>Copiar en Flexxus: Tipo=MB-EXT | Movimiento=INGRESOS BRUTOS MENDOZA | Monto=74,27 | Fecha: 29/04/2026</t>
        </is>
      </c>
    </row>
    <row r="630">
      <c r="A630" s="8" t="inlineStr">
        <is>
          <t>Administración/Banco</t>
        </is>
      </c>
      <c r="B630" s="8" t="inlineStr">
        <is>
          <t>Banco egreso no Flexxus</t>
        </is>
      </c>
      <c r="C630" s="8" t="inlineStr">
        <is>
          <t>Retención Ingresos Brutos Mendoza</t>
        </is>
      </c>
      <c r="D630" s="9" t="n">
        <v>893.27</v>
      </c>
      <c r="E630" s="8" t="inlineStr">
        <is>
          <t>ABIERTO_NUEVO</t>
        </is>
      </c>
      <c r="F630" s="8" t="inlineStr">
        <is>
          <t>Banco / impuesto / gasto</t>
        </is>
      </c>
      <c r="G630" s="8" t="inlineStr">
        <is>
          <t>Copiar en Flexxus: Tipo=MB-EXT | Movimiento=INGRESOS BRUTOS MENDOZA | Monto=893,27 | Fecha: 29/04/2026</t>
        </is>
      </c>
    </row>
    <row r="631">
      <c r="A631" s="8" t="inlineStr">
        <is>
          <t>Administración/Banco</t>
        </is>
      </c>
      <c r="B631" s="8" t="inlineStr">
        <is>
          <t>Banco egreso no Flexxus</t>
        </is>
      </c>
      <c r="C631" s="8" t="inlineStr">
        <is>
          <t>Retención Ingresos Brutos Mendoza</t>
        </is>
      </c>
      <c r="D631" s="9" t="n">
        <v>3089.21</v>
      </c>
      <c r="E631" s="8" t="inlineStr">
        <is>
          <t>ABIERTO_NUEVO</t>
        </is>
      </c>
      <c r="F631" s="8" t="inlineStr">
        <is>
          <t>Banco / impuesto / gasto</t>
        </is>
      </c>
      <c r="G631" s="8" t="inlineStr">
        <is>
          <t>Copiar en Flexxus: Tipo=MB-EXT | Movimiento=INGRESOS BRUTOS MENDOZA | Monto=3.089,21 | Fecha: 29/04/2026</t>
        </is>
      </c>
    </row>
    <row r="632">
      <c r="A632" s="8" t="inlineStr">
        <is>
          <t>Administración/Banco</t>
        </is>
      </c>
      <c r="B632" s="8" t="inlineStr">
        <is>
          <t>Banco egreso no Flexxus</t>
        </is>
      </c>
      <c r="C632" s="8" t="inlineStr">
        <is>
          <t>Retención Ingresos Brutos Mendoza</t>
        </is>
      </c>
      <c r="D632" s="9" t="n">
        <v>484.07</v>
      </c>
      <c r="E632" s="8" t="inlineStr">
        <is>
          <t>ABIERTO_NUEVO</t>
        </is>
      </c>
      <c r="F632" s="8" t="inlineStr">
        <is>
          <t>Banco / impuesto / gasto</t>
        </is>
      </c>
      <c r="G632" s="8" t="inlineStr">
        <is>
          <t>Copiar en Flexxus: Tipo=MB-EXT | Movimiento=INGRESOS BRUTOS MENDOZA | Monto=484,07 | Fecha: 29/04/2026</t>
        </is>
      </c>
    </row>
    <row r="633">
      <c r="A633" s="8" t="inlineStr">
        <is>
          <t>Administración/Banco</t>
        </is>
      </c>
      <c r="B633" s="8" t="inlineStr">
        <is>
          <t>Banco egreso no Flexxus</t>
        </is>
      </c>
      <c r="C633" s="8" t="inlineStr">
        <is>
          <t>Retención Ingresos Brutos Mendoza</t>
        </is>
      </c>
      <c r="D633" s="9" t="n">
        <v>223.27</v>
      </c>
      <c r="E633" s="8" t="inlineStr">
        <is>
          <t>ABIERTO_NUEVO</t>
        </is>
      </c>
      <c r="F633" s="8" t="inlineStr">
        <is>
          <t>Banco / impuesto / gasto</t>
        </is>
      </c>
      <c r="G633" s="8" t="inlineStr">
        <is>
          <t>Copiar en Flexxus: Tipo=MB-EXT | Movimiento=INGRESOS BRUTOS MENDOZA | Monto=223,27 | Fecha: 29/04/2026</t>
        </is>
      </c>
    </row>
    <row r="634">
      <c r="A634" s="8" t="inlineStr">
        <is>
          <t>Administración/Banco</t>
        </is>
      </c>
      <c r="B634" s="8" t="inlineStr">
        <is>
          <t>Banco egreso no Flexxus</t>
        </is>
      </c>
      <c r="C634" s="8" t="inlineStr">
        <is>
          <t>Retención Ingresos Brutos Mendoza</t>
        </is>
      </c>
      <c r="D634" s="9" t="n">
        <v>385.28</v>
      </c>
      <c r="E634" s="8" t="inlineStr">
        <is>
          <t>ABIERTO_NUEVO</t>
        </is>
      </c>
      <c r="F634" s="8" t="inlineStr">
        <is>
          <t>Banco / impuesto / gasto</t>
        </is>
      </c>
      <c r="G634" s="8" t="inlineStr">
        <is>
          <t>Copiar en Flexxus: Tipo=MB-EXT | Movimiento=INGRESOS BRUTOS MENDOZA | Monto=385,28 | Fecha: 29/04/2026</t>
        </is>
      </c>
    </row>
    <row r="635">
      <c r="A635" s="8" t="inlineStr">
        <is>
          <t>Administración/Banco</t>
        </is>
      </c>
      <c r="B635" s="8" t="inlineStr">
        <is>
          <t>Banco egreso no Flexxus</t>
        </is>
      </c>
      <c r="C635" s="8" t="inlineStr">
        <is>
          <t>Retención Ingresos Brutos Mendoza</t>
        </is>
      </c>
      <c r="D635" s="9" t="n">
        <v>123.49</v>
      </c>
      <c r="E635" s="8" t="inlineStr">
        <is>
          <t>ABIERTO_NUEVO</t>
        </is>
      </c>
      <c r="F635" s="8" t="inlineStr">
        <is>
          <t>Banco / impuesto / gasto</t>
        </is>
      </c>
      <c r="G635" s="8" t="inlineStr">
        <is>
          <t>Copiar en Flexxus: Tipo=MB-EXT | Movimiento=INGRESOS BRUTOS MENDOZA | Monto=123,49 | Fecha: 29/04/2026</t>
        </is>
      </c>
    </row>
    <row r="636">
      <c r="A636" s="8" t="inlineStr">
        <is>
          <t>Administración/Banco</t>
        </is>
      </c>
      <c r="B636" s="8" t="inlineStr">
        <is>
          <t>Banco egreso no Flexxus</t>
        </is>
      </c>
      <c r="C636" s="8" t="inlineStr">
        <is>
          <t>Retención Ingresos Brutos Mendoza</t>
        </is>
      </c>
      <c r="D636" s="9" t="n">
        <v>1293.47</v>
      </c>
      <c r="E636" s="8" t="inlineStr">
        <is>
          <t>ABIERTO_NUEVO</t>
        </is>
      </c>
      <c r="F636" s="8" t="inlineStr">
        <is>
          <t>Banco / impuesto / gasto</t>
        </is>
      </c>
      <c r="G636" s="8" t="inlineStr">
        <is>
          <t>Copiar en Flexxus: Tipo=MB-EXT | Movimiento=INGRESOS BRUTOS MENDOZA | Monto=1.293,47 | Fecha: 29/04/2026</t>
        </is>
      </c>
    </row>
    <row r="637">
      <c r="A637" s="8" t="inlineStr">
        <is>
          <t>Administración/Banco</t>
        </is>
      </c>
      <c r="B637" s="8" t="inlineStr">
        <is>
          <t>Banco egreso no Flexxus</t>
        </is>
      </c>
      <c r="C637" s="8" t="inlineStr">
        <is>
          <t>Retención Ingresos Brutos Mendoza</t>
        </is>
      </c>
      <c r="D637" s="9" t="n">
        <v>714.1</v>
      </c>
      <c r="E637" s="8" t="inlineStr">
        <is>
          <t>ABIERTO_NUEVO</t>
        </is>
      </c>
      <c r="F637" s="8" t="inlineStr">
        <is>
          <t>Banco / impuesto / gasto</t>
        </is>
      </c>
      <c r="G637" s="8" t="inlineStr">
        <is>
          <t>Copiar en Flexxus: Tipo=MB-EXT | Movimiento=INGRESOS BRUTOS MENDOZA | Monto=714,10 | Fecha: 29/04/2026</t>
        </is>
      </c>
    </row>
    <row r="638">
      <c r="A638" s="8" t="inlineStr">
        <is>
          <t>Administración/Banco</t>
        </is>
      </c>
      <c r="B638" s="8" t="inlineStr">
        <is>
          <t>Banco egreso no Flexxus</t>
        </is>
      </c>
      <c r="C638" s="8" t="inlineStr">
        <is>
          <t>Retención Ingresos Brutos Mendoza</t>
        </is>
      </c>
      <c r="D638" s="9" t="n">
        <v>540.96</v>
      </c>
      <c r="E638" s="8" t="inlineStr">
        <is>
          <t>ABIERTO_NUEVO</t>
        </is>
      </c>
      <c r="F638" s="8" t="inlineStr">
        <is>
          <t>Banco / impuesto / gasto</t>
        </is>
      </c>
      <c r="G638" s="8" t="inlineStr">
        <is>
          <t>Copiar en Flexxus: Tipo=MB-EXT | Movimiento=INGRESOS BRUTOS MENDOZA | Monto=540,96 | Fecha: 29/04/2026</t>
        </is>
      </c>
    </row>
    <row r="639">
      <c r="A639" s="8" t="inlineStr">
        <is>
          <t>Administración/Banco</t>
        </is>
      </c>
      <c r="B639" s="8" t="inlineStr">
        <is>
          <t>Banco egreso no Flexxus</t>
        </is>
      </c>
      <c r="C639" s="8" t="inlineStr">
        <is>
          <t>Retención Ingresos Brutos Mendoza</t>
        </is>
      </c>
      <c r="D639" s="9" t="n">
        <v>2269.52</v>
      </c>
      <c r="E639" s="8" t="inlineStr">
        <is>
          <t>ABIERTO_NUEVO</t>
        </is>
      </c>
      <c r="F639" s="8" t="inlineStr">
        <is>
          <t>Banco / impuesto / gasto</t>
        </is>
      </c>
      <c r="G639" s="8" t="inlineStr">
        <is>
          <t>Copiar en Flexxus: Tipo=MB-EXT | Movimiento=INGRESOS BRUTOS MENDOZA | Monto=2.269,52 | Fecha: 29/04/2026</t>
        </is>
      </c>
    </row>
    <row r="640">
      <c r="A640" s="8" t="inlineStr">
        <is>
          <t>Administración/Banco</t>
        </is>
      </c>
      <c r="B640" s="8" t="inlineStr">
        <is>
          <t>Banco egreso no Flexxus</t>
        </is>
      </c>
      <c r="C640" s="8" t="inlineStr">
        <is>
          <t>Retención Ingresos Brutos Mendoza</t>
        </is>
      </c>
      <c r="D640" s="9" t="n">
        <v>548.64</v>
      </c>
      <c r="E640" s="8" t="inlineStr">
        <is>
          <t>ABIERTO_NUEVO</t>
        </is>
      </c>
      <c r="F640" s="8" t="inlineStr">
        <is>
          <t>Banco / impuesto / gasto</t>
        </is>
      </c>
      <c r="G640" s="8" t="inlineStr">
        <is>
          <t>Copiar en Flexxus: Tipo=MB-EXT | Movimiento=INGRESOS BRUTOS MENDOZA | Monto=548,64 | Fecha: 29/04/2026</t>
        </is>
      </c>
    </row>
    <row r="641">
      <c r="A641" s="8" t="inlineStr">
        <is>
          <t>Administración/Banco</t>
        </is>
      </c>
      <c r="B641" s="8" t="inlineStr">
        <is>
          <t>Banco egreso no Flexxus</t>
        </is>
      </c>
      <c r="C641" s="8" t="inlineStr">
        <is>
          <t>Retención Ingresos Brutos Mendoza</t>
        </is>
      </c>
      <c r="D641" s="9" t="n">
        <v>907.79</v>
      </c>
      <c r="E641" s="8" t="inlineStr">
        <is>
          <t>ABIERTO_NUEVO</t>
        </is>
      </c>
      <c r="F641" s="8" t="inlineStr">
        <is>
          <t>Banco / impuesto / gasto</t>
        </is>
      </c>
      <c r="G641" s="8" t="inlineStr">
        <is>
          <t>Copiar en Flexxus: Tipo=MB-EXT | Movimiento=INGRESOS BRUTOS MENDOZA | Monto=907,79 | Fecha: 29/04/2026</t>
        </is>
      </c>
    </row>
    <row r="642">
      <c r="A642" s="8" t="inlineStr">
        <is>
          <t>Administración/Banco</t>
        </is>
      </c>
      <c r="B642" s="8" t="inlineStr">
        <is>
          <t>Banco egreso no Flexxus</t>
        </is>
      </c>
      <c r="C642" s="8" t="inlineStr">
        <is>
          <t>Retención Ingresos Brutos Mendoza</t>
        </is>
      </c>
      <c r="D642" s="9" t="n">
        <v>805.24</v>
      </c>
      <c r="E642" s="8" t="inlineStr">
        <is>
          <t>ABIERTO_NUEVO</t>
        </is>
      </c>
      <c r="F642" s="8" t="inlineStr">
        <is>
          <t>Banco / impuesto / gasto</t>
        </is>
      </c>
      <c r="G642" s="8" t="inlineStr">
        <is>
          <t>Copiar en Flexxus: Tipo=MB-EXT | Movimiento=INGRESOS BRUTOS MENDOZA | Monto=805,24 | Fecha: 29/04/2026</t>
        </is>
      </c>
    </row>
    <row r="643">
      <c r="A643" s="8" t="inlineStr">
        <is>
          <t>Administración/Banco</t>
        </is>
      </c>
      <c r="B643" s="8" t="inlineStr">
        <is>
          <t>Banco egreso no Flexxus</t>
        </is>
      </c>
      <c r="C643" s="8" t="inlineStr">
        <is>
          <t>Retención Ingresos Brutos Mendoza</t>
        </is>
      </c>
      <c r="D643" s="9" t="n">
        <v>215.28</v>
      </c>
      <c r="E643" s="8" t="inlineStr">
        <is>
          <t>ABIERTO_NUEVO</t>
        </is>
      </c>
      <c r="F643" s="8" t="inlineStr">
        <is>
          <t>Banco / impuesto / gasto</t>
        </is>
      </c>
      <c r="G643" s="8" t="inlineStr">
        <is>
          <t>Copiar en Flexxus: Tipo=MB-EXT | Movimiento=INGRESOS BRUTOS MENDOZA | Monto=215,28 | Fecha: 29/04/2026</t>
        </is>
      </c>
    </row>
    <row r="644">
      <c r="A644" s="8" t="inlineStr">
        <is>
          <t>Administración/Banco</t>
        </is>
      </c>
      <c r="B644" s="8" t="inlineStr">
        <is>
          <t>Banco egreso no Flexxus</t>
        </is>
      </c>
      <c r="C644" s="8" t="inlineStr">
        <is>
          <t>Retención Ingresos Brutos Mendoza</t>
        </is>
      </c>
      <c r="D644" s="9" t="n">
        <v>2221.29</v>
      </c>
      <c r="E644" s="8" t="inlineStr">
        <is>
          <t>ABIERTO_NUEVO</t>
        </is>
      </c>
      <c r="F644" s="8" t="inlineStr">
        <is>
          <t>Banco / impuesto / gasto</t>
        </is>
      </c>
      <c r="G644" s="8" t="inlineStr">
        <is>
          <t>Copiar en Flexxus: Tipo=MB-EXT | Movimiento=INGRESOS BRUTOS MENDOZA | Monto=2.221,29 | Fecha: 29/04/2026</t>
        </is>
      </c>
    </row>
    <row r="645">
      <c r="A645" s="8" t="inlineStr">
        <is>
          <t>Administración/Banco</t>
        </is>
      </c>
      <c r="B645" s="8" t="inlineStr">
        <is>
          <t>Banco egreso no Flexxus</t>
        </is>
      </c>
      <c r="C645" s="8" t="inlineStr">
        <is>
          <t>Retención Ingresos Brutos Mendoza</t>
        </is>
      </c>
      <c r="D645" s="9" t="n">
        <v>8826.5</v>
      </c>
      <c r="E645" s="8" t="inlineStr">
        <is>
          <t>ABIERTO_NUEVO</t>
        </is>
      </c>
      <c r="F645" s="8" t="inlineStr">
        <is>
          <t>Banco / impuesto / gasto</t>
        </is>
      </c>
      <c r="G645" s="8" t="inlineStr">
        <is>
          <t>Copiar en Flexxus: Tipo=MB-EXT | Movimiento=INGRESOS BRUTOS MENDOZA | Monto=8.826,50 | Fecha: 29/04/2026</t>
        </is>
      </c>
    </row>
    <row r="646">
      <c r="A646" s="8" t="inlineStr">
        <is>
          <t>Administración/Banco</t>
        </is>
      </c>
      <c r="B646" s="8" t="inlineStr">
        <is>
          <t>Banco egreso no Flexxus</t>
        </is>
      </c>
      <c r="C646" s="8" t="inlineStr">
        <is>
          <t>Retención Ingresos Brutos Mendoza</t>
        </is>
      </c>
      <c r="D646" s="9" t="n">
        <v>2507.75</v>
      </c>
      <c r="E646" s="8" t="inlineStr">
        <is>
          <t>ABIERTO_NUEVO</t>
        </is>
      </c>
      <c r="F646" s="8" t="inlineStr">
        <is>
          <t>Banco / impuesto / gasto</t>
        </is>
      </c>
      <c r="G646" s="8" t="inlineStr">
        <is>
          <t>Copiar en Flexxus: Tipo=MB-EXT | Movimiento=INGRESOS BRUTOS MENDOZA | Monto=2.507,75 | Fecha: 29/04/2026</t>
        </is>
      </c>
    </row>
    <row r="647">
      <c r="A647" s="8" t="inlineStr">
        <is>
          <t>Administración/Banco</t>
        </is>
      </c>
      <c r="B647" s="8" t="inlineStr">
        <is>
          <t>Banco egreso no Flexxus</t>
        </is>
      </c>
      <c r="C647" s="8" t="inlineStr">
        <is>
          <t>Retención Ingresos Brutos Mendoza</t>
        </is>
      </c>
      <c r="D647" s="9" t="n">
        <v>1012.46</v>
      </c>
      <c r="E647" s="8" t="inlineStr">
        <is>
          <t>ABIERTO_NUEVO</t>
        </is>
      </c>
      <c r="F647" s="8" t="inlineStr">
        <is>
          <t>Banco / impuesto / gasto</t>
        </is>
      </c>
      <c r="G647" s="8" t="inlineStr">
        <is>
          <t>Copiar en Flexxus: Tipo=MB-EXT | Movimiento=INGRESOS BRUTOS MENDOZA | Monto=1.012,46 | Fecha: 29/04/2026</t>
        </is>
      </c>
    </row>
    <row r="648">
      <c r="A648" s="8" t="inlineStr">
        <is>
          <t>Administración/Banco</t>
        </is>
      </c>
      <c r="B648" s="8" t="inlineStr">
        <is>
          <t>Banco egreso no Flexxus</t>
        </is>
      </c>
      <c r="C648" s="8" t="inlineStr">
        <is>
          <t>Retención Ingresos Brutos Mendoza</t>
        </is>
      </c>
      <c r="D648" s="9" t="n">
        <v>59.57</v>
      </c>
      <c r="E648" s="8" t="inlineStr">
        <is>
          <t>ABIERTO_NUEVO</t>
        </is>
      </c>
      <c r="F648" s="8" t="inlineStr">
        <is>
          <t>Banco / impuesto / gasto</t>
        </is>
      </c>
      <c r="G648" s="8" t="inlineStr">
        <is>
          <t>Copiar en Flexxus: Tipo=MB-EXT | Movimiento=INGRESOS BRUTOS MENDOZA | Monto=59,57 | Fecha: 29/04/2026</t>
        </is>
      </c>
    </row>
    <row r="649">
      <c r="A649" s="8" t="inlineStr">
        <is>
          <t>Administración/Banco</t>
        </is>
      </c>
      <c r="B649" s="8" t="inlineStr">
        <is>
          <t>Banco egreso no Flexxus</t>
        </is>
      </c>
      <c r="C649" s="8" t="inlineStr">
        <is>
          <t>Retención Ingresos Brutos Mendoza</t>
        </is>
      </c>
      <c r="D649" s="9" t="n">
        <v>1025.17</v>
      </c>
      <c r="E649" s="8" t="inlineStr">
        <is>
          <t>ABIERTO_NUEVO</t>
        </is>
      </c>
      <c r="F649" s="8" t="inlineStr">
        <is>
          <t>Banco / impuesto / gasto</t>
        </is>
      </c>
      <c r="G649" s="8" t="inlineStr">
        <is>
          <t>Copiar en Flexxus: Tipo=MB-EXT | Movimiento=INGRESOS BRUTOS MENDOZA | Monto=1.025,17 | Fecha: 29/04/2026</t>
        </is>
      </c>
    </row>
    <row r="650">
      <c r="A650" s="8" t="inlineStr">
        <is>
          <t>Administración/Banco</t>
        </is>
      </c>
      <c r="B650" s="8" t="inlineStr">
        <is>
          <t>Banco egreso no Flexxus</t>
        </is>
      </c>
      <c r="C650" s="8" t="inlineStr">
        <is>
          <t>Retención Ingresos Brutos Mendoza</t>
        </is>
      </c>
      <c r="D650" s="9" t="n">
        <v>1025.17</v>
      </c>
      <c r="E650" s="8" t="inlineStr">
        <is>
          <t>ABIERTO_NUEVO</t>
        </is>
      </c>
      <c r="F650" s="8" t="inlineStr">
        <is>
          <t>Banco / impuesto / gasto</t>
        </is>
      </c>
      <c r="G650" s="8" t="inlineStr">
        <is>
          <t>Copiar en Flexxus: Tipo=MB-EXT | Movimiento=INGRESOS BRUTOS MENDOZA | Monto=1.025,17 | Fecha: 29/04/2026</t>
        </is>
      </c>
    </row>
    <row r="651">
      <c r="A651" s="8" t="inlineStr">
        <is>
          <t>Administración/Banco</t>
        </is>
      </c>
      <c r="B651" s="8" t="inlineStr">
        <is>
          <t>Banco egreso no Flexxus</t>
        </is>
      </c>
      <c r="C651" s="8" t="inlineStr">
        <is>
          <t>Retención Ingresos Brutos Mendoza</t>
        </is>
      </c>
      <c r="D651" s="9" t="n">
        <v>582.24</v>
      </c>
      <c r="E651" s="8" t="inlineStr">
        <is>
          <t>ABIERTO_NUEVO</t>
        </is>
      </c>
      <c r="F651" s="8" t="inlineStr">
        <is>
          <t>Banco / impuesto / gasto</t>
        </is>
      </c>
      <c r="G651" s="8" t="inlineStr">
        <is>
          <t>Copiar en Flexxus: Tipo=MB-EXT | Movimiento=INGRESOS BRUTOS MENDOZA | Monto=582,24 | Fecha: 29/04/2026</t>
        </is>
      </c>
    </row>
    <row r="652">
      <c r="A652" s="8" t="inlineStr">
        <is>
          <t>Administración/Banco</t>
        </is>
      </c>
      <c r="B652" s="8" t="inlineStr">
        <is>
          <t>Banco egreso no Flexxus</t>
        </is>
      </c>
      <c r="C652" s="8" t="inlineStr">
        <is>
          <t>Retención Ingresos Brutos Mendoza</t>
        </is>
      </c>
      <c r="D652" s="9" t="n">
        <v>371.72</v>
      </c>
      <c r="E652" s="8" t="inlineStr">
        <is>
          <t>ABIERTO_NUEVO</t>
        </is>
      </c>
      <c r="F652" s="8" t="inlineStr">
        <is>
          <t>Banco / impuesto / gasto</t>
        </is>
      </c>
      <c r="G652" s="8" t="inlineStr">
        <is>
          <t>Copiar en Flexxus: Tipo=MB-EXT | Movimiento=INGRESOS BRUTOS MENDOZA | Monto=371,72 | Fecha: 29/04/2026</t>
        </is>
      </c>
    </row>
    <row r="653">
      <c r="A653" s="8" t="inlineStr">
        <is>
          <t>Administración/Banco</t>
        </is>
      </c>
      <c r="B653" s="8" t="inlineStr">
        <is>
          <t>Banco egreso no Flexxus</t>
        </is>
      </c>
      <c r="C653" s="8" t="inlineStr">
        <is>
          <t>Retención Ingresos Brutos Mendoza</t>
        </is>
      </c>
      <c r="D653" s="9" t="n">
        <v>254.34</v>
      </c>
      <c r="E653" s="8" t="inlineStr">
        <is>
          <t>ABIERTO_NUEVO</t>
        </is>
      </c>
      <c r="F653" s="8" t="inlineStr">
        <is>
          <t>Banco / impuesto / gasto</t>
        </is>
      </c>
      <c r="G653" s="8" t="inlineStr">
        <is>
          <t>Copiar en Flexxus: Tipo=MB-EXT | Movimiento=INGRESOS BRUTOS MENDOZA | Monto=254,34 | Fecha: 29/04/2026</t>
        </is>
      </c>
    </row>
    <row r="654">
      <c r="A654" s="8" t="inlineStr">
        <is>
          <t>Administración/Banco</t>
        </is>
      </c>
      <c r="B654" s="8" t="inlineStr">
        <is>
          <t>Banco egreso no Flexxus</t>
        </is>
      </c>
      <c r="C654" s="8" t="inlineStr">
        <is>
          <t>Retención Ingresos Brutos Mendoza</t>
        </is>
      </c>
      <c r="D654" s="9" t="n">
        <v>379.55</v>
      </c>
      <c r="E654" s="8" t="inlineStr">
        <is>
          <t>ABIERTO_NUEVO</t>
        </is>
      </c>
      <c r="F654" s="8" t="inlineStr">
        <is>
          <t>Banco / impuesto / gasto</t>
        </is>
      </c>
      <c r="G654" s="8" t="inlineStr">
        <is>
          <t>Copiar en Flexxus: Tipo=MB-EXT | Movimiento=INGRESOS BRUTOS MENDOZA | Monto=379,55 | Fecha: 29/04/2026</t>
        </is>
      </c>
    </row>
    <row r="655">
      <c r="A655" s="8" t="inlineStr">
        <is>
          <t>Administración/Banco</t>
        </is>
      </c>
      <c r="B655" s="8" t="inlineStr">
        <is>
          <t>Banco egreso no Flexxus</t>
        </is>
      </c>
      <c r="C655" s="8" t="inlineStr">
        <is>
          <t>Retención Ingresos Brutos Mendoza</t>
        </is>
      </c>
      <c r="D655" s="9" t="n">
        <v>129.73</v>
      </c>
      <c r="E655" s="8" t="inlineStr">
        <is>
          <t>ABIERTO_NUEVO</t>
        </is>
      </c>
      <c r="F655" s="8" t="inlineStr">
        <is>
          <t>Banco / impuesto / gasto</t>
        </is>
      </c>
      <c r="G655" s="8" t="inlineStr">
        <is>
          <t>Copiar en Flexxus: Tipo=MB-EXT | Movimiento=INGRESOS BRUTOS MENDOZA | Monto=129,73 | Fecha: 29/04/2026</t>
        </is>
      </c>
    </row>
    <row r="656">
      <c r="A656" s="8" t="inlineStr">
        <is>
          <t>Administración/Banco</t>
        </is>
      </c>
      <c r="B656" s="8" t="inlineStr">
        <is>
          <t>Banco egreso no Flexxus</t>
        </is>
      </c>
      <c r="C656" s="8" t="inlineStr">
        <is>
          <t>Retención Ingresos Brutos Mendoza</t>
        </is>
      </c>
      <c r="D656" s="9" t="n">
        <v>101.01</v>
      </c>
      <c r="E656" s="8" t="inlineStr">
        <is>
          <t>ABIERTO_NUEVO</t>
        </is>
      </c>
      <c r="F656" s="8" t="inlineStr">
        <is>
          <t>Banco / impuesto / gasto</t>
        </is>
      </c>
      <c r="G656" s="8" t="inlineStr">
        <is>
          <t>Copiar en Flexxus: Tipo=MB-EXT | Movimiento=INGRESOS BRUTOS MENDOZA | Monto=101,01 | Fecha: 29/04/2026</t>
        </is>
      </c>
    </row>
    <row r="657">
      <c r="A657" s="8" t="inlineStr">
        <is>
          <t>Administración/Banco</t>
        </is>
      </c>
      <c r="B657" s="8" t="inlineStr">
        <is>
          <t>Banco egreso no Flexxus</t>
        </is>
      </c>
      <c r="C657" s="8" t="inlineStr">
        <is>
          <t>Retención Ingresos Brutos Mendoza</t>
        </is>
      </c>
      <c r="D657" s="9" t="n">
        <v>346.61</v>
      </c>
      <c r="E657" s="8" t="inlineStr">
        <is>
          <t>ABIERTO_NUEVO</t>
        </is>
      </c>
      <c r="F657" s="8" t="inlineStr">
        <is>
          <t>Banco / impuesto / gasto</t>
        </is>
      </c>
      <c r="G657" s="8" t="inlineStr">
        <is>
          <t>Copiar en Flexxus: Tipo=MB-EXT | Movimiento=INGRESOS BRUTOS MENDOZA | Monto=346,61 | Fecha: 29/04/2026</t>
        </is>
      </c>
    </row>
    <row r="658">
      <c r="A658" s="8" t="inlineStr">
        <is>
          <t>Administración/Banco</t>
        </is>
      </c>
      <c r="B658" s="8" t="inlineStr">
        <is>
          <t>Banco egreso no Flexxus</t>
        </is>
      </c>
      <c r="C658" s="8" t="inlineStr">
        <is>
          <t>Retención Ingresos Brutos Mendoza</t>
        </is>
      </c>
      <c r="D658" s="9" t="n">
        <v>349.58</v>
      </c>
      <c r="E658" s="8" t="inlineStr">
        <is>
          <t>ABIERTO_NUEVO</t>
        </is>
      </c>
      <c r="F658" s="8" t="inlineStr">
        <is>
          <t>Banco / impuesto / gasto</t>
        </is>
      </c>
      <c r="G658" s="8" t="inlineStr">
        <is>
          <t>Copiar en Flexxus: Tipo=MB-EXT | Movimiento=INGRESOS BRUTOS MENDOZA | Monto=349,58 | Fecha: 29/04/2026</t>
        </is>
      </c>
    </row>
    <row r="659">
      <c r="A659" s="8" t="inlineStr">
        <is>
          <t>Administración/Banco</t>
        </is>
      </c>
      <c r="B659" s="8" t="inlineStr">
        <is>
          <t>Banco egreso no Flexxus</t>
        </is>
      </c>
      <c r="C659" s="8" t="inlineStr">
        <is>
          <t>Retención Ingresos Brutos Mendoza</t>
        </is>
      </c>
      <c r="D659" s="9" t="n">
        <v>460.5</v>
      </c>
      <c r="E659" s="8" t="inlineStr">
        <is>
          <t>ABIERTO_NUEVO</t>
        </is>
      </c>
      <c r="F659" s="8" t="inlineStr">
        <is>
          <t>Banco / impuesto / gasto</t>
        </is>
      </c>
      <c r="G659" s="8" t="inlineStr">
        <is>
          <t>Copiar en Flexxus: Tipo=MB-EXT | Movimiento=INGRESOS BRUTOS MENDOZA | Monto=460,50 | Fecha: 29/04/2026</t>
        </is>
      </c>
    </row>
    <row r="660">
      <c r="A660" s="8" t="inlineStr">
        <is>
          <t>Administración/Banco</t>
        </is>
      </c>
      <c r="B660" s="8" t="inlineStr">
        <is>
          <t>Banco egreso no Flexxus</t>
        </is>
      </c>
      <c r="C660" s="8" t="inlineStr">
        <is>
          <t>Retención Ingresos Brutos Mendoza</t>
        </is>
      </c>
      <c r="D660" s="9" t="n">
        <v>950.71</v>
      </c>
      <c r="E660" s="8" t="inlineStr">
        <is>
          <t>ABIERTO_NUEVO</t>
        </is>
      </c>
      <c r="F660" s="8" t="inlineStr">
        <is>
          <t>Banco / impuesto / gasto</t>
        </is>
      </c>
      <c r="G660" s="8" t="inlineStr">
        <is>
          <t>Copiar en Flexxus: Tipo=MB-EXT | Movimiento=INGRESOS BRUTOS MENDOZA | Monto=950,71 | Fecha: 29/04/2026</t>
        </is>
      </c>
    </row>
    <row r="661">
      <c r="A661" s="8" t="inlineStr">
        <is>
          <t>Administración/Banco</t>
        </is>
      </c>
      <c r="B661" s="8" t="inlineStr">
        <is>
          <t>Banco egreso no Flexxus</t>
        </is>
      </c>
      <c r="C661" s="8" t="inlineStr">
        <is>
          <t>Retención Ingresos Brutos Mendoza</t>
        </is>
      </c>
      <c r="D661" s="9" t="n">
        <v>1040.83</v>
      </c>
      <c r="E661" s="8" t="inlineStr">
        <is>
          <t>ABIERTO_NUEVO</t>
        </is>
      </c>
      <c r="F661" s="8" t="inlineStr">
        <is>
          <t>Banco / impuesto / gasto</t>
        </is>
      </c>
      <c r="G661" s="8" t="inlineStr">
        <is>
          <t>Copiar en Flexxus: Tipo=MB-EXT | Movimiento=INGRESOS BRUTOS MENDOZA | Monto=1.040,83 | Fecha: 29/04/2026</t>
        </is>
      </c>
    </row>
    <row r="662">
      <c r="A662" s="8" t="inlineStr">
        <is>
          <t>Administración/Banco</t>
        </is>
      </c>
      <c r="B662" s="8" t="inlineStr">
        <is>
          <t>Banco egreso no Flexxus</t>
        </is>
      </c>
      <c r="C662" s="8" t="inlineStr">
        <is>
          <t>Retención Ingresos Brutos Mendoza</t>
        </is>
      </c>
      <c r="D662" s="9" t="n">
        <v>148.55</v>
      </c>
      <c r="E662" s="8" t="inlineStr">
        <is>
          <t>ABIERTO_NUEVO</t>
        </is>
      </c>
      <c r="F662" s="8" t="inlineStr">
        <is>
          <t>Banco / impuesto / gasto</t>
        </is>
      </c>
      <c r="G662" s="8" t="inlineStr">
        <is>
          <t>Copiar en Flexxus: Tipo=MB-EXT | Movimiento=INGRESOS BRUTOS MENDOZA | Monto=148,55 | Fecha: 29/04/2026</t>
        </is>
      </c>
    </row>
    <row r="663">
      <c r="A663" s="8" t="inlineStr">
        <is>
          <t>Administración/Banco</t>
        </is>
      </c>
      <c r="B663" s="8" t="inlineStr">
        <is>
          <t>Banco egreso no Flexxus</t>
        </is>
      </c>
      <c r="C663" s="8" t="inlineStr">
        <is>
          <t>Retención Ingresos Brutos Mendoza</t>
        </is>
      </c>
      <c r="D663" s="9" t="n">
        <v>495.16</v>
      </c>
      <c r="E663" s="8" t="inlineStr">
        <is>
          <t>ABIERTO_NUEVO</t>
        </is>
      </c>
      <c r="F663" s="8" t="inlineStr">
        <is>
          <t>Banco / impuesto / gasto</t>
        </is>
      </c>
      <c r="G663" s="8" t="inlineStr">
        <is>
          <t>Copiar en Flexxus: Tipo=MB-EXT | Movimiento=INGRESOS BRUTOS MENDOZA | Monto=495,16 | Fecha: 29/04/2026</t>
        </is>
      </c>
    </row>
    <row r="664">
      <c r="A664" s="8" t="inlineStr">
        <is>
          <t>Administración/Banco</t>
        </is>
      </c>
      <c r="B664" s="8" t="inlineStr">
        <is>
          <t>Banco egreso no Flexxus</t>
        </is>
      </c>
      <c r="C664" s="8" t="inlineStr">
        <is>
          <t>Retención Ingresos Brutos Mendoza</t>
        </is>
      </c>
      <c r="D664" s="9" t="n">
        <v>56.45</v>
      </c>
      <c r="E664" s="8" t="inlineStr">
        <is>
          <t>ABIERTO_NUEVO</t>
        </is>
      </c>
      <c r="F664" s="8" t="inlineStr">
        <is>
          <t>Banco / impuesto / gasto</t>
        </is>
      </c>
      <c r="G664" s="8" t="inlineStr">
        <is>
          <t>Copiar en Flexxus: Tipo=MB-EXT | Movimiento=INGRESOS BRUTOS MENDOZA | Monto=56,45 | Fecha: 29/04/2026</t>
        </is>
      </c>
    </row>
    <row r="665">
      <c r="A665" s="8" t="inlineStr">
        <is>
          <t>Administración/Banco</t>
        </is>
      </c>
      <c r="B665" s="8" t="inlineStr">
        <is>
          <t>Banco egreso no Flexxus</t>
        </is>
      </c>
      <c r="C665" s="8" t="inlineStr">
        <is>
          <t>Retención Ingresos Brutos Mendoza</t>
        </is>
      </c>
      <c r="D665" s="9" t="n">
        <v>133.37</v>
      </c>
      <c r="E665" s="8" t="inlineStr">
        <is>
          <t>ABIERTO_NUEVO</t>
        </is>
      </c>
      <c r="F665" s="8" t="inlineStr">
        <is>
          <t>Banco / impuesto / gasto</t>
        </is>
      </c>
      <c r="G665" s="8" t="inlineStr">
        <is>
          <t>Copiar en Flexxus: Tipo=MB-EXT | Movimiento=INGRESOS BRUTOS MENDOZA | Monto=133,37 | Fecha: 29/04/2026</t>
        </is>
      </c>
    </row>
    <row r="666">
      <c r="A666" s="8" t="inlineStr">
        <is>
          <t>Administración/Banco</t>
        </is>
      </c>
      <c r="B666" s="8" t="inlineStr">
        <is>
          <t>Banco egreso no Flexxus</t>
        </is>
      </c>
      <c r="C666" s="8" t="inlineStr">
        <is>
          <t>Retención Ingresos Brutos Mendoza</t>
        </is>
      </c>
      <c r="D666" s="9" t="n">
        <v>468.26</v>
      </c>
      <c r="E666" s="8" t="inlineStr">
        <is>
          <t>ABIERTO_NUEVO</t>
        </is>
      </c>
      <c r="F666" s="8" t="inlineStr">
        <is>
          <t>Banco / impuesto / gasto</t>
        </is>
      </c>
      <c r="G666" s="8" t="inlineStr">
        <is>
          <t>Copiar en Flexxus: Tipo=MB-EXT | Movimiento=INGRESOS BRUTOS MENDOZA | Monto=468,26 | Fecha: 29/04/2026</t>
        </is>
      </c>
    </row>
    <row r="667">
      <c r="A667" s="8" t="inlineStr">
        <is>
          <t>Administración/Banco</t>
        </is>
      </c>
      <c r="B667" s="8" t="inlineStr">
        <is>
          <t>Banco egreso no Flexxus</t>
        </is>
      </c>
      <c r="C667" s="8" t="inlineStr">
        <is>
          <t>Retención Ingresos Brutos Mendoza</t>
        </is>
      </c>
      <c r="D667" s="9" t="n">
        <v>44.02</v>
      </c>
      <c r="E667" s="8" t="inlineStr">
        <is>
          <t>ABIERTO_NUEVO</t>
        </is>
      </c>
      <c r="F667" s="8" t="inlineStr">
        <is>
          <t>Banco / impuesto / gasto</t>
        </is>
      </c>
      <c r="G667" s="8" t="inlineStr">
        <is>
          <t>Copiar en Flexxus: Tipo=MB-EXT | Movimiento=INGRESOS BRUTOS MENDOZA | Monto=44,02 | Fecha: 29/04/2026</t>
        </is>
      </c>
    </row>
    <row r="668">
      <c r="A668" s="8" t="inlineStr">
        <is>
          <t>Administración/Banco</t>
        </is>
      </c>
      <c r="B668" s="8" t="inlineStr">
        <is>
          <t>Banco egreso no Flexxus</t>
        </is>
      </c>
      <c r="C668" s="8" t="inlineStr">
        <is>
          <t>Retención Ingresos Brutos Mendoza</t>
        </is>
      </c>
      <c r="D668" s="9" t="n">
        <v>237.68</v>
      </c>
      <c r="E668" s="8" t="inlineStr">
        <is>
          <t>ABIERTO_NUEVO</t>
        </is>
      </c>
      <c r="F668" s="8" t="inlineStr">
        <is>
          <t>Banco / impuesto / gasto</t>
        </is>
      </c>
      <c r="G668" s="8" t="inlineStr">
        <is>
          <t>Copiar en Flexxus: Tipo=MB-EXT | Movimiento=INGRESOS BRUTOS MENDOZA | Monto=237,68 | Fecha: 29/04/2026</t>
        </is>
      </c>
    </row>
    <row r="669">
      <c r="A669" s="8" t="inlineStr">
        <is>
          <t>Administración/Banco</t>
        </is>
      </c>
      <c r="B669" s="8" t="inlineStr">
        <is>
          <t>Banco egreso no Flexxus</t>
        </is>
      </c>
      <c r="C669" s="8" t="inlineStr">
        <is>
          <t>Retención Ingresos Brutos Mendoza</t>
        </is>
      </c>
      <c r="D669" s="9" t="n">
        <v>255.5</v>
      </c>
      <c r="E669" s="8" t="inlineStr">
        <is>
          <t>ABIERTO_NUEVO</t>
        </is>
      </c>
      <c r="F669" s="8" t="inlineStr">
        <is>
          <t>Banco / impuesto / gasto</t>
        </is>
      </c>
      <c r="G669" s="8" t="inlineStr">
        <is>
          <t>Copiar en Flexxus: Tipo=MB-EXT | Movimiento=INGRESOS BRUTOS MENDOZA | Monto=255,50 | Fecha: 29/04/2026</t>
        </is>
      </c>
    </row>
    <row r="670">
      <c r="A670" s="8" t="inlineStr">
        <is>
          <t>Administración/Banco</t>
        </is>
      </c>
      <c r="B670" s="8" t="inlineStr">
        <is>
          <t>Banco egreso no Flexxus</t>
        </is>
      </c>
      <c r="C670" s="8" t="inlineStr">
        <is>
          <t>Retención Ingresos Brutos Mendoza</t>
        </is>
      </c>
      <c r="D670" s="9" t="n">
        <v>74.27</v>
      </c>
      <c r="E670" s="8" t="inlineStr">
        <is>
          <t>ABIERTO_NUEVO</t>
        </is>
      </c>
      <c r="F670" s="8" t="inlineStr">
        <is>
          <t>Banco / impuesto / gasto</t>
        </is>
      </c>
      <c r="G670" s="8" t="inlineStr">
        <is>
          <t>Copiar en Flexxus: Tipo=MB-EXT | Movimiento=INGRESOS BRUTOS MENDOZA | Monto=74,27 | Fecha: 29/04/2026</t>
        </is>
      </c>
    </row>
    <row r="671">
      <c r="A671" s="8" t="inlineStr">
        <is>
          <t>Administración/Banco</t>
        </is>
      </c>
      <c r="B671" s="8" t="inlineStr">
        <is>
          <t>Banco egreso no Flexxus</t>
        </is>
      </c>
      <c r="C671" s="8" t="inlineStr">
        <is>
          <t>Retención Ingresos Brutos Mendoza</t>
        </is>
      </c>
      <c r="D671" s="9" t="n">
        <v>237.68</v>
      </c>
      <c r="E671" s="8" t="inlineStr">
        <is>
          <t>ABIERTO_NUEVO</t>
        </is>
      </c>
      <c r="F671" s="8" t="inlineStr">
        <is>
          <t>Banco / impuesto / gasto</t>
        </is>
      </c>
      <c r="G671" s="8" t="inlineStr">
        <is>
          <t>Copiar en Flexxus: Tipo=MB-EXT | Movimiento=INGRESOS BRUTOS MENDOZA | Monto=237,68 | Fecha: 29/04/2026</t>
        </is>
      </c>
    </row>
    <row r="672">
      <c r="A672" s="8" t="inlineStr">
        <is>
          <t>Local 2</t>
        </is>
      </c>
      <c r="B672" s="8" t="inlineStr">
        <is>
          <t>Flexxus no Banco</t>
        </is>
      </c>
      <c r="C672" s="8" t="inlineStr">
        <is>
          <t>PAV</t>
        </is>
      </c>
      <c r="D672" s="9" t="n">
        <v>38886.97</v>
      </c>
      <c r="E672" s="8" t="inlineStr">
        <is>
          <t>ABIERTO</t>
        </is>
      </c>
      <c r="F672" s="8" t="inlineStr">
        <is>
          <t>Detectado desde Flexxus/TRX/QR</t>
        </is>
      </c>
      <c r="G672" s="8" t="inlineStr">
        <is>
          <t>Verificar acreditación bancaria o fecha de cierre</t>
        </is>
      </c>
    </row>
    <row r="673">
      <c r="A673" s="8" t="inlineStr">
        <is>
          <t>Local 5</t>
        </is>
      </c>
      <c r="B673" s="8" t="inlineStr">
        <is>
          <t>Banco ingreso no Flexxus</t>
        </is>
      </c>
      <c r="C673" s="8" t="inlineStr">
        <is>
          <t>Liquidación tarjeta</t>
        </is>
      </c>
      <c r="D673" s="9" t="n">
        <v>594633.96</v>
      </c>
      <c r="E673" s="8" t="inlineStr">
        <is>
          <t>ABIERTO</t>
        </is>
      </c>
      <c r="F673" s="8" t="inlineStr">
        <is>
          <t>Local identificado por comprobante bancario; falta número de liquidación TRX</t>
        </is>
      </c>
      <c r="G673" s="8" t="inlineStr">
        <is>
          <t>Revisar carga pendiente en Flexxus / cierre administrativo del local</t>
        </is>
      </c>
    </row>
    <row r="674">
      <c r="A674" s="8" t="inlineStr">
        <is>
          <t>Local 5</t>
        </is>
      </c>
      <c r="B674" s="8" t="inlineStr">
        <is>
          <t>Banco ingreso no Flexxus</t>
        </is>
      </c>
      <c r="C674" s="8" t="inlineStr">
        <is>
          <t>Liquidación tarjeta</t>
        </is>
      </c>
      <c r="D674" s="9" t="n">
        <v>116078.25</v>
      </c>
      <c r="E674" s="8" t="inlineStr">
        <is>
          <t>ABIERTO</t>
        </is>
      </c>
      <c r="F674" s="8" t="inlineStr">
        <is>
          <t>Local identificado por comprobante bancario; falta número de liquidación TRX</t>
        </is>
      </c>
      <c r="G674" s="8" t="inlineStr">
        <is>
          <t>Revisar carga pendiente en Flexxus / cierre administrativo del local</t>
        </is>
      </c>
    </row>
    <row r="675">
      <c r="A675" s="8" t="inlineStr">
        <is>
          <t>Local 5</t>
        </is>
      </c>
      <c r="B675" s="8" t="inlineStr">
        <is>
          <t>Banco ingreso no Flexxus</t>
        </is>
      </c>
      <c r="C675" s="8" t="inlineStr">
        <is>
          <t>Liquidación tarjeta</t>
        </is>
      </c>
      <c r="D675" s="9" t="n">
        <v>114892.77</v>
      </c>
      <c r="E675" s="8" t="inlineStr">
        <is>
          <t>ABIERTO</t>
        </is>
      </c>
      <c r="F675" s="8" t="inlineStr">
        <is>
          <t>Local identificado por comprobante bancario; falta número de liquidación TRX</t>
        </is>
      </c>
      <c r="G675" s="8" t="inlineStr">
        <is>
          <t>Revisar carga pendiente en Flexxus / cierre administrativo del local</t>
        </is>
      </c>
    </row>
    <row r="676">
      <c r="A676" s="8" t="inlineStr">
        <is>
          <t>Local 5</t>
        </is>
      </c>
      <c r="B676" s="8" t="inlineStr">
        <is>
          <t>Banco ingreso no Flexxus</t>
        </is>
      </c>
      <c r="C676" s="8" t="inlineStr">
        <is>
          <t>Liquidación tarjeta</t>
        </is>
      </c>
      <c r="D676" s="9" t="n">
        <v>68866.69</v>
      </c>
      <c r="E676" s="8" t="inlineStr">
        <is>
          <t>ABIERTO</t>
        </is>
      </c>
      <c r="F676" s="8" t="inlineStr">
        <is>
          <t>Local identificado por comprobante bancario; falta número de liquidación TRX</t>
        </is>
      </c>
      <c r="G676" s="8" t="inlineStr">
        <is>
          <t>Revisar carga pendiente en Flexxus / cierre administrativo del local</t>
        </is>
      </c>
    </row>
    <row r="677">
      <c r="A677" s="8" t="inlineStr">
        <is>
          <t>Local 5</t>
        </is>
      </c>
      <c r="B677" s="8" t="inlineStr">
        <is>
          <t>Banco ingreso no Flexxus</t>
        </is>
      </c>
      <c r="C677" s="8" t="inlineStr">
        <is>
          <t>Liquidación tarjeta</t>
        </is>
      </c>
      <c r="D677" s="9" t="n">
        <v>39715.73</v>
      </c>
      <c r="E677" s="8" t="inlineStr">
        <is>
          <t>ABIERTO</t>
        </is>
      </c>
      <c r="F677" s="8" t="inlineStr">
        <is>
          <t>Local identificado por comprobante bancario; falta número de liquidación TRX</t>
        </is>
      </c>
      <c r="G677" s="8" t="inlineStr">
        <is>
          <t>Revisar carga pendiente en Flexxus / cierre administrativo del local</t>
        </is>
      </c>
    </row>
    <row r="678">
      <c r="A678" s="8" t="inlineStr">
        <is>
          <t>Local 5</t>
        </is>
      </c>
      <c r="B678" s="8" t="inlineStr">
        <is>
          <t>Banco ingreso no Flexxus</t>
        </is>
      </c>
      <c r="C678" s="8" t="inlineStr">
        <is>
          <t>Liquidación tarjeta</t>
        </is>
      </c>
      <c r="D678" s="9" t="n">
        <v>27194.52</v>
      </c>
      <c r="E678" s="8" t="inlineStr">
        <is>
          <t>ABIERTO</t>
        </is>
      </c>
      <c r="F678" s="8" t="inlineStr">
        <is>
          <t>Local identificado por comprobante bancario; falta número de liquidación TRX</t>
        </is>
      </c>
      <c r="G678" s="8" t="inlineStr">
        <is>
          <t>Revisar carga pendiente en Flexxus / cierre administrativo del local</t>
        </is>
      </c>
    </row>
    <row r="679">
      <c r="A679" s="8" t="inlineStr">
        <is>
          <t>Local 5</t>
        </is>
      </c>
      <c r="B679" s="8" t="inlineStr">
        <is>
          <t>Banco ingreso no Flexxus</t>
        </is>
      </c>
      <c r="C679" s="8" t="inlineStr">
        <is>
          <t>Liquidación tarjeta</t>
        </is>
      </c>
      <c r="D679" s="9" t="n">
        <v>46826.46</v>
      </c>
      <c r="E679" s="8" t="inlineStr">
        <is>
          <t>ABIERTO_NUEVO</t>
        </is>
      </c>
      <c r="F679" s="8" t="inlineStr">
        <is>
          <t>Identificado por TRX / liquidación tarjeta</t>
        </is>
      </c>
      <c r="G679" s="8" t="inlineStr">
        <is>
          <t>Revisar carga pendiente en Flexxus / cierre administrativo del local</t>
        </is>
      </c>
    </row>
    <row r="680">
      <c r="A680" s="8" t="inlineStr">
        <is>
          <t>Local 5</t>
        </is>
      </c>
      <c r="B680" s="8" t="inlineStr">
        <is>
          <t>Banco ingreso no Flexxus</t>
        </is>
      </c>
      <c r="C680" s="8" t="inlineStr">
        <is>
          <t>Liquidación tarjeta</t>
        </is>
      </c>
      <c r="D680" s="9" t="n">
        <v>37954.94</v>
      </c>
      <c r="E680" s="8" t="inlineStr">
        <is>
          <t>ABIERTO_NUEVO</t>
        </is>
      </c>
      <c r="F680" s="8" t="inlineStr">
        <is>
          <t>Identificado por TRX / liquidación tarjeta</t>
        </is>
      </c>
      <c r="G680" s="8" t="inlineStr">
        <is>
          <t>Revisar carga pendiente en Flexxus / cierre administrativo del local</t>
        </is>
      </c>
    </row>
    <row r="681">
      <c r="A681" s="8" t="inlineStr">
        <is>
          <t>Local 5</t>
        </is>
      </c>
      <c r="B681" s="8" t="inlineStr">
        <is>
          <t>Banco ingreso no Flexxus</t>
        </is>
      </c>
      <c r="C681" s="8" t="inlineStr">
        <is>
          <t>QR / CR DEBIN SPOT</t>
        </is>
      </c>
      <c r="D681" s="9" t="n">
        <v>23767.68</v>
      </c>
      <c r="E681" s="8" t="inlineStr">
        <is>
          <t>ABIERTO_NUEVO</t>
        </is>
      </c>
      <c r="F681" s="8" t="inlineStr">
        <is>
          <t>Identificado por Transacciones QR</t>
        </is>
      </c>
      <c r="G681" s="8" t="inlineStr">
        <is>
          <t>Revisar carga pendiente en Flexxus / cierre administrativo del local</t>
        </is>
      </c>
    </row>
    <row r="682">
      <c r="A682" s="8" t="inlineStr">
        <is>
          <t>Local 6</t>
        </is>
      </c>
      <c r="B682" s="8" t="inlineStr">
        <is>
          <t>Banco ingreso no Flexxus</t>
        </is>
      </c>
      <c r="C682" s="8" t="inlineStr">
        <is>
          <t>QR / CR DEBIN SPOT</t>
        </is>
      </c>
      <c r="D682" s="9" t="n">
        <v>14854.8</v>
      </c>
      <c r="E682" s="8" t="inlineStr">
        <is>
          <t>ABIERTO_NUEVO</t>
        </is>
      </c>
      <c r="F682" s="8" t="inlineStr">
        <is>
          <t>Identificado por Transacciones QR</t>
        </is>
      </c>
      <c r="G682" s="8" t="inlineStr">
        <is>
          <t>Revisar carga pendiente en Flexxus / cierre administrativo del local</t>
        </is>
      </c>
    </row>
    <row r="683">
      <c r="A683" s="8" t="inlineStr">
        <is>
          <t>Local 8</t>
        </is>
      </c>
      <c r="B683" s="8" t="inlineStr">
        <is>
          <t>Banco ingreso no Flexxus</t>
        </is>
      </c>
      <c r="C683" s="8" t="inlineStr">
        <is>
          <t>Liquidación tarjeta</t>
        </is>
      </c>
      <c r="D683" s="9" t="n">
        <v>295259.37</v>
      </c>
      <c r="E683" s="8" t="inlineStr">
        <is>
          <t>ABIERTO</t>
        </is>
      </c>
      <c r="F683" s="8" t="inlineStr">
        <is>
          <t>Local identificado por comprobante bancario; falta número de liquidación TRX</t>
        </is>
      </c>
      <c r="G683" s="8" t="inlineStr">
        <is>
          <t>Revisar carga pendiente en Flexxus / cierre administrativo del local</t>
        </is>
      </c>
    </row>
    <row r="684">
      <c r="A684" s="8" t="inlineStr">
        <is>
          <t>Local 8</t>
        </is>
      </c>
      <c r="B684" s="8" t="inlineStr">
        <is>
          <t>Banco ingreso no Flexxus</t>
        </is>
      </c>
      <c r="C684" s="8" t="inlineStr">
        <is>
          <t>Liquidación tarjeta</t>
        </is>
      </c>
      <c r="D684" s="9" t="n">
        <v>152029.24</v>
      </c>
      <c r="E684" s="8" t="inlineStr">
        <is>
          <t>ABIERTO</t>
        </is>
      </c>
      <c r="F684" s="8" t="inlineStr">
        <is>
          <t>Local identificado por comprobante bancario; falta número de liquidación TRX</t>
        </is>
      </c>
      <c r="G684" s="8" t="inlineStr">
        <is>
          <t>Revisar carga pendiente en Flexxus / cierre administrativo del local</t>
        </is>
      </c>
    </row>
    <row r="685">
      <c r="A685" s="8" t="inlineStr">
        <is>
          <t>Local 8</t>
        </is>
      </c>
      <c r="B685" s="8" t="inlineStr">
        <is>
          <t>Banco ingreso no Flexxus</t>
        </is>
      </c>
      <c r="C685" s="8" t="inlineStr">
        <is>
          <t>Liquidación tarjeta</t>
        </is>
      </c>
      <c r="D685" s="9" t="n">
        <v>59377.95</v>
      </c>
      <c r="E685" s="8" t="inlineStr">
        <is>
          <t>ABIERTO</t>
        </is>
      </c>
      <c r="F685" s="8" t="inlineStr">
        <is>
          <t>Local identificado por comprobante bancario; falta número de liquidación TRX</t>
        </is>
      </c>
      <c r="G685" s="8" t="inlineStr">
        <is>
          <t>Revisar carga pendiente en Flexxus / cierre administrativo del local</t>
        </is>
      </c>
    </row>
    <row r="686">
      <c r="A686" s="8" t="inlineStr">
        <is>
          <t>Local 8</t>
        </is>
      </c>
      <c r="B686" s="8" t="inlineStr">
        <is>
          <t>Banco ingreso no Flexxus</t>
        </is>
      </c>
      <c r="C686" s="8" t="inlineStr">
        <is>
          <t>Liquidación tarjeta</t>
        </is>
      </c>
      <c r="D686" s="9" t="n">
        <v>102517.46</v>
      </c>
      <c r="E686" s="8" t="inlineStr">
        <is>
          <t>ABIERTO_NUEVO</t>
        </is>
      </c>
      <c r="F686" s="8" t="inlineStr">
        <is>
          <t>Identificado por TRX / liquidación tarjeta</t>
        </is>
      </c>
      <c r="G686" s="8" t="inlineStr">
        <is>
          <t>Revisar carga pendiente en Flexxus / cierre administrativo del local</t>
        </is>
      </c>
    </row>
    <row r="687">
      <c r="A687" s="8" t="inlineStr">
        <is>
          <t>No identificado</t>
        </is>
      </c>
      <c r="B687" s="8" t="inlineStr">
        <is>
          <t>Banco egreso no Flexxus</t>
        </is>
      </c>
      <c r="C687" s="8" t="inlineStr">
        <is>
          <t>Otro</t>
        </is>
      </c>
      <c r="D687" s="9" t="n">
        <v>3.6</v>
      </c>
      <c r="E687" s="8" t="inlineStr">
        <is>
          <t>ABIERTO</t>
        </is>
      </c>
      <c r="F687" s="8" t="inlineStr">
        <is>
          <t>Banco egreso sin local</t>
        </is>
      </c>
      <c r="G687" s="8" t="inlineStr">
        <is>
          <t>Revisar egreso bancario</t>
        </is>
      </c>
    </row>
    <row r="688">
      <c r="A688" s="8" t="inlineStr">
        <is>
          <t>No identificado</t>
        </is>
      </c>
      <c r="B688" s="8" t="inlineStr">
        <is>
          <t>Banco egreso no Flexxus</t>
        </is>
      </c>
      <c r="C688" s="8" t="inlineStr">
        <is>
          <t>Otro</t>
        </is>
      </c>
      <c r="D688" s="9" t="n">
        <v>0.24</v>
      </c>
      <c r="E688" s="8" t="inlineStr">
        <is>
          <t>ABIERTO</t>
        </is>
      </c>
      <c r="F688" s="8" t="inlineStr">
        <is>
          <t>Banco egreso sin local</t>
        </is>
      </c>
      <c r="G688" s="8" t="inlineStr">
        <is>
          <t>Revisar egreso bancario</t>
        </is>
      </c>
    </row>
    <row r="689">
      <c r="A689" s="8" t="inlineStr">
        <is>
          <t>No identificado</t>
        </is>
      </c>
      <c r="B689" s="8" t="inlineStr">
        <is>
          <t>Banco egreso no Flexxus</t>
        </is>
      </c>
      <c r="C689" s="8" t="inlineStr">
        <is>
          <t>Otro</t>
        </is>
      </c>
      <c r="D689" s="9" t="n">
        <v>0.01</v>
      </c>
      <c r="E689" s="8" t="inlineStr">
        <is>
          <t>ABIERTO</t>
        </is>
      </c>
      <c r="F689" s="8" t="inlineStr">
        <is>
          <t>Banco egreso sin local</t>
        </is>
      </c>
      <c r="G689" s="8" t="inlineStr">
        <is>
          <t>Revisar egreso bancario</t>
        </is>
      </c>
    </row>
    <row r="690">
      <c r="A690" s="8" t="inlineStr">
        <is>
          <t>No identificado</t>
        </is>
      </c>
      <c r="B690" s="8" t="inlineStr">
        <is>
          <t>Banco ingreso no Flexxus</t>
        </is>
      </c>
      <c r="C690" s="8" t="inlineStr">
        <is>
          <t>Ajuste menor redondeo/extracto</t>
        </is>
      </c>
      <c r="D690" s="9" t="n">
        <v>3.62</v>
      </c>
      <c r="E690" s="8" t="inlineStr">
        <is>
          <t>ABIERTO</t>
        </is>
      </c>
      <c r="F690" s="8" t="inlineStr">
        <is>
          <t>Origen/local no identificado</t>
        </is>
      </c>
      <c r="G690" s="8" t="inlineStr">
        <is>
          <t>Identificar local/origen</t>
        </is>
      </c>
    </row>
    <row r="691">
      <c r="A691" s="8" t="inlineStr">
        <is>
          <t>No identificado</t>
        </is>
      </c>
      <c r="B691" s="8" t="inlineStr">
        <is>
          <t>Banco ingreso no Flexxus</t>
        </is>
      </c>
      <c r="C691" s="8" t="inlineStr">
        <is>
          <t>Ajuste menor redondeo/extracto</t>
        </is>
      </c>
      <c r="D691" s="9" t="n">
        <v>1.25</v>
      </c>
      <c r="E691" s="8" t="inlineStr">
        <is>
          <t>ABIERTO</t>
        </is>
      </c>
      <c r="F691" s="8" t="inlineStr">
        <is>
          <t>QR bancario sin match QR PCT/local</t>
        </is>
      </c>
      <c r="G691" s="8" t="inlineStr">
        <is>
          <t>Identificar local/origen</t>
        </is>
      </c>
    </row>
    <row r="692">
      <c r="A692" s="8" t="inlineStr">
        <is>
          <t>No identificado</t>
        </is>
      </c>
      <c r="B692" s="8" t="inlineStr">
        <is>
          <t>Banco ingreso no Flexxus</t>
        </is>
      </c>
      <c r="C692" s="8" t="inlineStr">
        <is>
          <t>Ajuste menor redondeo/extracto</t>
        </is>
      </c>
      <c r="D692" s="9" t="n">
        <v>0.53</v>
      </c>
      <c r="E692" s="8" t="inlineStr">
        <is>
          <t>ABIERTO</t>
        </is>
      </c>
      <c r="F692" s="8" t="inlineStr">
        <is>
          <t>Origen/local no identificado</t>
        </is>
      </c>
      <c r="G692" s="8" t="inlineStr">
        <is>
          <t>Identificar local/origen</t>
        </is>
      </c>
    </row>
    <row r="693">
      <c r="A693" s="8" t="inlineStr">
        <is>
          <t>No identificado</t>
        </is>
      </c>
      <c r="B693" s="8" t="inlineStr">
        <is>
          <t>Banco ingreso no Flexxus</t>
        </is>
      </c>
      <c r="C693" s="8" t="inlineStr">
        <is>
          <t>Ajuste menor redondeo/extracto</t>
        </is>
      </c>
      <c r="D693" s="9" t="n">
        <v>3.43</v>
      </c>
      <c r="E693" s="8" t="inlineStr">
        <is>
          <t>CONTROL_CONTINUIDAD_MENOR</t>
        </is>
      </c>
      <c r="F693" s="8" t="inlineStr">
        <is>
          <t>Origen/local no identificado</t>
        </is>
      </c>
      <c r="G693" s="8" t="inlineStr">
        <is>
          <t>Identificar local/origen</t>
        </is>
      </c>
    </row>
    <row r="694">
      <c r="A694" s="8" t="inlineStr">
        <is>
          <t>No identificado</t>
        </is>
      </c>
      <c r="B694" s="8" t="inlineStr">
        <is>
          <t>Banco ingreso no Flexxus</t>
        </is>
      </c>
      <c r="C694" s="8" t="inlineStr">
        <is>
          <t>QR / CR DEBIN SPOT</t>
        </is>
      </c>
      <c r="D694" s="9" t="n">
        <v>45455.69</v>
      </c>
      <c r="E694" s="8" t="inlineStr">
        <is>
          <t>ABIERTO</t>
        </is>
      </c>
      <c r="F694" s="8" t="inlineStr">
        <is>
          <t>QR bancario sin match QR PCT/local</t>
        </is>
      </c>
      <c r="G694" s="8" t="inlineStr">
        <is>
          <t>Identificar local/origen</t>
        </is>
      </c>
    </row>
    <row r="695">
      <c r="A695" s="8" t="inlineStr">
        <is>
          <t>No identificado</t>
        </is>
      </c>
      <c r="B695" s="8" t="inlineStr">
        <is>
          <t>Banco ingreso no Flexxus</t>
        </is>
      </c>
      <c r="C695" s="8" t="inlineStr">
        <is>
          <t>QR / CR DEBIN SPOT</t>
        </is>
      </c>
      <c r="D695" s="9" t="n">
        <v>40107.96</v>
      </c>
      <c r="E695" s="8" t="inlineStr">
        <is>
          <t>ABIERTO</t>
        </is>
      </c>
      <c r="F695" s="8" t="inlineStr">
        <is>
          <t>QR bancario sin match QR PCT/local</t>
        </is>
      </c>
      <c r="G695" s="8" t="inlineStr">
        <is>
          <t>Identificar local/origen</t>
        </is>
      </c>
    </row>
    <row r="696">
      <c r="A696" s="8" t="inlineStr">
        <is>
          <t>No identificado</t>
        </is>
      </c>
      <c r="B696" s="8" t="inlineStr">
        <is>
          <t>Banco ingreso no Flexxus</t>
        </is>
      </c>
      <c r="C696" s="8" t="inlineStr">
        <is>
          <t>QR / CR DEBIN SPOT</t>
        </is>
      </c>
      <c r="D696" s="9" t="n">
        <v>38127.32</v>
      </c>
      <c r="E696" s="8" t="inlineStr">
        <is>
          <t>ABIERTO</t>
        </is>
      </c>
      <c r="F696" s="8" t="inlineStr">
        <is>
          <t>QR bancario sin match QR PCT/local</t>
        </is>
      </c>
      <c r="G696" s="8" t="inlineStr">
        <is>
          <t>Identificar local/origen</t>
        </is>
      </c>
    </row>
    <row r="697">
      <c r="A697" s="8" t="inlineStr">
        <is>
          <t>No identificado</t>
        </is>
      </c>
      <c r="B697" s="8" t="inlineStr">
        <is>
          <t>Banco ingreso no Flexxus</t>
        </is>
      </c>
      <c r="C697" s="8" t="inlineStr">
        <is>
          <t>QR / CR DEBIN SPOT</t>
        </is>
      </c>
      <c r="D697" s="9" t="n">
        <v>34166.04</v>
      </c>
      <c r="E697" s="8" t="inlineStr">
        <is>
          <t>ABIERTO</t>
        </is>
      </c>
      <c r="F697" s="8" t="inlineStr">
        <is>
          <t>QR bancario sin match QR PCT/local</t>
        </is>
      </c>
      <c r="G697" s="8" t="inlineStr">
        <is>
          <t>Identificar local/origen</t>
        </is>
      </c>
    </row>
    <row r="698">
      <c r="A698" s="8" t="inlineStr">
        <is>
          <t>No identificado</t>
        </is>
      </c>
      <c r="B698" s="8" t="inlineStr">
        <is>
          <t>Banco ingreso no Flexxus</t>
        </is>
      </c>
      <c r="C698" s="8" t="inlineStr">
        <is>
          <t>QR / CR DEBIN SPOT</t>
        </is>
      </c>
      <c r="D698" s="9" t="n">
        <v>34166.04</v>
      </c>
      <c r="E698" s="8" t="inlineStr">
        <is>
          <t>ABIERTO</t>
        </is>
      </c>
      <c r="F698" s="8" t="inlineStr">
        <is>
          <t>QR bancario sin match QR PCT/local</t>
        </is>
      </c>
      <c r="G698" s="8" t="inlineStr">
        <is>
          <t>Identificar local/origen</t>
        </is>
      </c>
    </row>
    <row r="699">
      <c r="A699" s="8" t="inlineStr">
        <is>
          <t>No identificado</t>
        </is>
      </c>
      <c r="B699" s="8" t="inlineStr">
        <is>
          <t>Banco ingreso no Flexxus</t>
        </is>
      </c>
      <c r="C699" s="8" t="inlineStr">
        <is>
          <t>QR / CR DEBIN SPOT</t>
        </is>
      </c>
      <c r="D699" s="9" t="n">
        <v>33175.72</v>
      </c>
      <c r="E699" s="8" t="inlineStr">
        <is>
          <t>ABIERTO</t>
        </is>
      </c>
      <c r="F699" s="8" t="inlineStr">
        <is>
          <t>QR bancario sin match QR PCT/local</t>
        </is>
      </c>
      <c r="G699" s="8" t="inlineStr">
        <is>
          <t>Identificar local/origen</t>
        </is>
      </c>
    </row>
    <row r="700">
      <c r="A700" s="8" t="inlineStr">
        <is>
          <t>No identificado</t>
        </is>
      </c>
      <c r="B700" s="8" t="inlineStr">
        <is>
          <t>Banco ingreso no Flexxus</t>
        </is>
      </c>
      <c r="C700" s="8" t="inlineStr">
        <is>
          <t>QR / CR DEBIN SPOT</t>
        </is>
      </c>
      <c r="D700" s="9" t="n">
        <v>27629.93</v>
      </c>
      <c r="E700" s="8" t="inlineStr">
        <is>
          <t>ABIERTO</t>
        </is>
      </c>
      <c r="F700" s="8" t="inlineStr">
        <is>
          <t>QR bancario sin match QR PCT/local</t>
        </is>
      </c>
      <c r="G700" s="8" t="inlineStr">
        <is>
          <t>Identificar local/origen</t>
        </is>
      </c>
    </row>
    <row r="701">
      <c r="A701" s="8" t="inlineStr">
        <is>
          <t>No identificado</t>
        </is>
      </c>
      <c r="B701" s="8" t="inlineStr">
        <is>
          <t>Banco ingreso no Flexxus</t>
        </is>
      </c>
      <c r="C701" s="8" t="inlineStr">
        <is>
          <t>QR / CR DEBIN SPOT</t>
        </is>
      </c>
      <c r="D701" s="9" t="n">
        <v>26738.64</v>
      </c>
      <c r="E701" s="8" t="inlineStr">
        <is>
          <t>ABIERTO</t>
        </is>
      </c>
      <c r="F701" s="8" t="inlineStr">
        <is>
          <t>QR bancario sin match QR PCT/local</t>
        </is>
      </c>
      <c r="G701" s="8" t="inlineStr">
        <is>
          <t>Identificar local/origen</t>
        </is>
      </c>
    </row>
    <row r="702">
      <c r="A702" s="8" t="inlineStr">
        <is>
          <t>No identificado</t>
        </is>
      </c>
      <c r="B702" s="8" t="inlineStr">
        <is>
          <t>Banco ingreso no Flexxus</t>
        </is>
      </c>
      <c r="C702" s="8" t="inlineStr">
        <is>
          <t>QR / CR DEBIN SPOT</t>
        </is>
      </c>
      <c r="D702" s="9" t="n">
        <v>26738.64</v>
      </c>
      <c r="E702" s="8" t="inlineStr">
        <is>
          <t>ABIERTO</t>
        </is>
      </c>
      <c r="F702" s="8" t="inlineStr">
        <is>
          <t>QR bancario sin match QR PCT/local</t>
        </is>
      </c>
      <c r="G702" s="8" t="inlineStr">
        <is>
          <t>Identificar local/origen</t>
        </is>
      </c>
    </row>
    <row r="703">
      <c r="A703" s="8" t="inlineStr">
        <is>
          <t>No identificado</t>
        </is>
      </c>
      <c r="B703" s="8" t="inlineStr">
        <is>
          <t>Banco ingreso no Flexxus</t>
        </is>
      </c>
      <c r="C703" s="8" t="inlineStr">
        <is>
          <t>QR / CR DEBIN SPOT</t>
        </is>
      </c>
      <c r="D703" s="9" t="n">
        <v>26738.64</v>
      </c>
      <c r="E703" s="8" t="inlineStr">
        <is>
          <t>ABIERTO</t>
        </is>
      </c>
      <c r="F703" s="8" t="inlineStr">
        <is>
          <t>QR bancario sin match QR PCT/local</t>
        </is>
      </c>
      <c r="G703" s="8" t="inlineStr">
        <is>
          <t>Identificar local/origen</t>
        </is>
      </c>
    </row>
    <row r="704">
      <c r="A704" s="8" t="inlineStr">
        <is>
          <t>No identificado</t>
        </is>
      </c>
      <c r="B704" s="8" t="inlineStr">
        <is>
          <t>Banco ingreso no Flexxus</t>
        </is>
      </c>
      <c r="C704" s="8" t="inlineStr">
        <is>
          <t>QR / CR DEBIN SPOT</t>
        </is>
      </c>
      <c r="D704" s="9" t="n">
        <v>26738.64</v>
      </c>
      <c r="E704" s="8" t="inlineStr">
        <is>
          <t>ABIERTO</t>
        </is>
      </c>
      <c r="F704" s="8" t="inlineStr">
        <is>
          <t>QR bancario sin match QR PCT/local</t>
        </is>
      </c>
      <c r="G704" s="8" t="inlineStr">
        <is>
          <t>Identificar local/origen</t>
        </is>
      </c>
    </row>
    <row r="705">
      <c r="A705" s="8" t="inlineStr">
        <is>
          <t>No identificado</t>
        </is>
      </c>
      <c r="B705" s="8" t="inlineStr">
        <is>
          <t>Banco ingreso no Flexxus</t>
        </is>
      </c>
      <c r="C705" s="8" t="inlineStr">
        <is>
          <t>QR / CR DEBIN SPOT</t>
        </is>
      </c>
      <c r="D705" s="9" t="n">
        <v>24758</v>
      </c>
      <c r="E705" s="8" t="inlineStr">
        <is>
          <t>ABIERTO</t>
        </is>
      </c>
      <c r="F705" s="8" t="inlineStr">
        <is>
          <t>QR bancario sin match QR PCT/local</t>
        </is>
      </c>
      <c r="G705" s="8" t="inlineStr">
        <is>
          <t>Identificar local/origen</t>
        </is>
      </c>
    </row>
    <row r="706">
      <c r="A706" s="8" t="inlineStr">
        <is>
          <t>No identificado</t>
        </is>
      </c>
      <c r="B706" s="8" t="inlineStr">
        <is>
          <t>Banco ingreso no Flexxus</t>
        </is>
      </c>
      <c r="C706" s="8" t="inlineStr">
        <is>
          <t>QR / CR DEBIN SPOT</t>
        </is>
      </c>
      <c r="D706" s="9" t="n">
        <v>24758</v>
      </c>
      <c r="E706" s="8" t="inlineStr">
        <is>
          <t>ABIERTO</t>
        </is>
      </c>
      <c r="F706" s="8" t="inlineStr">
        <is>
          <t>QR bancario sin match QR PCT/local</t>
        </is>
      </c>
      <c r="G706" s="8" t="inlineStr">
        <is>
          <t>Identificar local/origen</t>
        </is>
      </c>
    </row>
    <row r="707">
      <c r="A707" s="8" t="inlineStr">
        <is>
          <t>No identificado</t>
        </is>
      </c>
      <c r="B707" s="8" t="inlineStr">
        <is>
          <t>Banco ingreso no Flexxus</t>
        </is>
      </c>
      <c r="C707" s="8" t="inlineStr">
        <is>
          <t>QR / CR DEBIN SPOT</t>
        </is>
      </c>
      <c r="D707" s="9" t="n">
        <v>22876.39</v>
      </c>
      <c r="E707" s="8" t="inlineStr">
        <is>
          <t>ABIERTO</t>
        </is>
      </c>
      <c r="F707" s="8" t="inlineStr">
        <is>
          <t>QR bancario sin match QR PCT/local</t>
        </is>
      </c>
      <c r="G707" s="8" t="inlineStr">
        <is>
          <t>Identificar local/origen</t>
        </is>
      </c>
    </row>
    <row r="708">
      <c r="A708" s="8" t="inlineStr">
        <is>
          <t>No identificado</t>
        </is>
      </c>
      <c r="B708" s="8" t="inlineStr">
        <is>
          <t>Banco ingreso no Flexxus</t>
        </is>
      </c>
      <c r="C708" s="8" t="inlineStr">
        <is>
          <t>QR / CR DEBIN SPOT</t>
        </is>
      </c>
      <c r="D708" s="9" t="n">
        <v>22777.36</v>
      </c>
      <c r="E708" s="8" t="inlineStr">
        <is>
          <t>ABIERTO</t>
        </is>
      </c>
      <c r="F708" s="8" t="inlineStr">
        <is>
          <t>QR bancario sin match QR PCT/local</t>
        </is>
      </c>
      <c r="G708" s="8" t="inlineStr">
        <is>
          <t>Identificar local/origen</t>
        </is>
      </c>
    </row>
    <row r="709">
      <c r="A709" s="8" t="inlineStr">
        <is>
          <t>No identificado</t>
        </is>
      </c>
      <c r="B709" s="8" t="inlineStr">
        <is>
          <t>Banco ingreso no Flexxus</t>
        </is>
      </c>
      <c r="C709" s="8" t="inlineStr">
        <is>
          <t>QR / CR DEBIN SPOT</t>
        </is>
      </c>
      <c r="D709" s="9" t="n">
        <v>22777.36</v>
      </c>
      <c r="E709" s="8" t="inlineStr">
        <is>
          <t>ABIERTO</t>
        </is>
      </c>
      <c r="F709" s="8" t="inlineStr">
        <is>
          <t>QR bancario sin match QR PCT/local</t>
        </is>
      </c>
      <c r="G709" s="8" t="inlineStr">
        <is>
          <t>Identificar local/origen</t>
        </is>
      </c>
    </row>
    <row r="710">
      <c r="A710" s="8" t="inlineStr">
        <is>
          <t>No identificado</t>
        </is>
      </c>
      <c r="B710" s="8" t="inlineStr">
        <is>
          <t>Banco ingreso no Flexxus</t>
        </is>
      </c>
      <c r="C710" s="8" t="inlineStr">
        <is>
          <t>QR / CR DEBIN SPOT</t>
        </is>
      </c>
      <c r="D710" s="9" t="n">
        <v>18915.11</v>
      </c>
      <c r="E710" s="8" t="inlineStr">
        <is>
          <t>ABIERTO</t>
        </is>
      </c>
      <c r="F710" s="8" t="inlineStr">
        <is>
          <t>QR bancario sin match QR PCT/local</t>
        </is>
      </c>
      <c r="G710" s="8" t="inlineStr">
        <is>
          <t>Identificar local/origen</t>
        </is>
      </c>
    </row>
    <row r="711">
      <c r="A711" s="8" t="inlineStr">
        <is>
          <t>No identificado</t>
        </is>
      </c>
      <c r="B711" s="8" t="inlineStr">
        <is>
          <t>Banco ingreso no Flexxus</t>
        </is>
      </c>
      <c r="C711" s="8" t="inlineStr">
        <is>
          <t>QR / CR DEBIN SPOT</t>
        </is>
      </c>
      <c r="D711" s="9" t="n">
        <v>13369.32</v>
      </c>
      <c r="E711" s="8" t="inlineStr">
        <is>
          <t>ABIERTO</t>
        </is>
      </c>
      <c r="F711" s="8" t="inlineStr">
        <is>
          <t>QR bancario sin match QR PCT/local</t>
        </is>
      </c>
      <c r="G711" s="8" t="inlineStr">
        <is>
          <t>Identificar local/origen</t>
        </is>
      </c>
    </row>
    <row r="712">
      <c r="A712" s="8" t="inlineStr">
        <is>
          <t>No identificado</t>
        </is>
      </c>
      <c r="B712" s="8" t="inlineStr">
        <is>
          <t>Banco ingreso no Flexxus</t>
        </is>
      </c>
      <c r="C712" s="8" t="inlineStr">
        <is>
          <t>QR / CR DEBIN SPOT</t>
        </is>
      </c>
      <c r="D712" s="9" t="n">
        <v>13369.32</v>
      </c>
      <c r="E712" s="8" t="inlineStr">
        <is>
          <t>ABIERTO</t>
        </is>
      </c>
      <c r="F712" s="8" t="inlineStr">
        <is>
          <t>QR bancario sin match QR PCT/local</t>
        </is>
      </c>
      <c r="G712" s="8" t="inlineStr">
        <is>
          <t>Identificar local/origen</t>
        </is>
      </c>
    </row>
    <row r="713">
      <c r="A713" s="8" t="inlineStr">
        <is>
          <t>No identificado</t>
        </is>
      </c>
      <c r="B713" s="8" t="inlineStr">
        <is>
          <t>Banco ingreso no Flexxus</t>
        </is>
      </c>
      <c r="C713" s="8" t="inlineStr">
        <is>
          <t>QR / CR DEBIN SPOT</t>
        </is>
      </c>
      <c r="D713" s="9" t="n">
        <v>13369.32</v>
      </c>
      <c r="E713" s="8" t="inlineStr">
        <is>
          <t>ABIERTO</t>
        </is>
      </c>
      <c r="F713" s="8" t="inlineStr">
        <is>
          <t>QR bancario sin match QR PCT/local</t>
        </is>
      </c>
      <c r="G713" s="8" t="inlineStr">
        <is>
          <t>Identificar local/origen</t>
        </is>
      </c>
    </row>
    <row r="714">
      <c r="A714" s="8" t="inlineStr">
        <is>
          <t>No identificado</t>
        </is>
      </c>
      <c r="B714" s="8" t="inlineStr">
        <is>
          <t>Banco ingreso no Flexxus</t>
        </is>
      </c>
      <c r="C714" s="8" t="inlineStr">
        <is>
          <t>QR / CR DEBIN SPOT</t>
        </is>
      </c>
      <c r="D714" s="9" t="n">
        <v>11388.68</v>
      </c>
      <c r="E714" s="8" t="inlineStr">
        <is>
          <t>ABIERTO</t>
        </is>
      </c>
      <c r="F714" s="8" t="inlineStr">
        <is>
          <t>QR bancario sin match QR PCT/local</t>
        </is>
      </c>
      <c r="G714" s="8" t="inlineStr">
        <is>
          <t>Identificar local/origen</t>
        </is>
      </c>
    </row>
    <row r="715">
      <c r="A715" s="8" t="inlineStr">
        <is>
          <t>No identificado</t>
        </is>
      </c>
      <c r="B715" s="8" t="inlineStr">
        <is>
          <t>Banco ingreso no Flexxus</t>
        </is>
      </c>
      <c r="C715" s="8" t="inlineStr">
        <is>
          <t>QR / CR DEBIN SPOT</t>
        </is>
      </c>
      <c r="D715" s="9" t="n">
        <v>11388.68</v>
      </c>
      <c r="E715" s="8" t="inlineStr">
        <is>
          <t>ABIERTO</t>
        </is>
      </c>
      <c r="F715" s="8" t="inlineStr">
        <is>
          <t>QR bancario sin match QR PCT/local</t>
        </is>
      </c>
      <c r="G715" s="8" t="inlineStr">
        <is>
          <t>Identificar local/origen</t>
        </is>
      </c>
    </row>
    <row r="716">
      <c r="A716" s="8" t="inlineStr">
        <is>
          <t>No identificado</t>
        </is>
      </c>
      <c r="B716" s="8" t="inlineStr">
        <is>
          <t>Banco ingreso no Flexxus</t>
        </is>
      </c>
      <c r="C716" s="8" t="inlineStr">
        <is>
          <t>QR / CR DEBIN SPOT</t>
        </is>
      </c>
      <c r="D716" s="9" t="n">
        <v>11388.68</v>
      </c>
      <c r="E716" s="8" t="inlineStr">
        <is>
          <t>ABIERTO</t>
        </is>
      </c>
      <c r="F716" s="8" t="inlineStr">
        <is>
          <t>QR bancario sin match QR PCT/local</t>
        </is>
      </c>
      <c r="G716" s="8" t="inlineStr">
        <is>
          <t>Identificar local/origen</t>
        </is>
      </c>
    </row>
    <row r="717">
      <c r="A717" s="8" t="inlineStr">
        <is>
          <t>No identificado</t>
        </is>
      </c>
      <c r="B717" s="8" t="inlineStr">
        <is>
          <t>Banco ingreso no Flexxus</t>
        </is>
      </c>
      <c r="C717" s="8" t="inlineStr">
        <is>
          <t>QR / CR DEBIN SPOT</t>
        </is>
      </c>
      <c r="D717" s="9" t="n">
        <v>8912.879999999999</v>
      </c>
      <c r="E717" s="8" t="inlineStr">
        <is>
          <t>ABIERTO</t>
        </is>
      </c>
      <c r="F717" s="8" t="inlineStr">
        <is>
          <t>QR bancario sin match QR PCT/local</t>
        </is>
      </c>
      <c r="G717" s="8" t="inlineStr">
        <is>
          <t>Identificar local/origen</t>
        </is>
      </c>
    </row>
    <row r="718">
      <c r="A718" s="8" t="inlineStr">
        <is>
          <t>No identificado</t>
        </is>
      </c>
      <c r="B718" s="8" t="inlineStr">
        <is>
          <t>Banco ingreso no Flexxus</t>
        </is>
      </c>
      <c r="C718" s="8" t="inlineStr">
        <is>
          <t>QR / CR DEBIN SPOT</t>
        </is>
      </c>
      <c r="D718" s="9" t="n">
        <v>8417.719999999999</v>
      </c>
      <c r="E718" s="8" t="inlineStr">
        <is>
          <t>ABIERTO</t>
        </is>
      </c>
      <c r="F718" s="8" t="inlineStr">
        <is>
          <t>QR bancario sin match QR PCT/local</t>
        </is>
      </c>
      <c r="G718" s="8" t="inlineStr">
        <is>
          <t>Identificar local/origen</t>
        </is>
      </c>
    </row>
    <row r="719">
      <c r="A719" s="8" t="inlineStr">
        <is>
          <t>No identificado</t>
        </is>
      </c>
      <c r="B719" s="8" t="inlineStr">
        <is>
          <t>Banco ingreso no Flexxus</t>
        </is>
      </c>
      <c r="C719" s="8" t="inlineStr">
        <is>
          <t>QR / CR DEBIN SPOT</t>
        </is>
      </c>
      <c r="D719" s="9" t="n">
        <v>7724.5</v>
      </c>
      <c r="E719" s="8" t="inlineStr">
        <is>
          <t>ABIERTO</t>
        </is>
      </c>
      <c r="F719" s="8" t="inlineStr">
        <is>
          <t>QR bancario sin match QR PCT/local</t>
        </is>
      </c>
      <c r="G719" s="8" t="inlineStr">
        <is>
          <t>Identificar local/origen</t>
        </is>
      </c>
    </row>
    <row r="720">
      <c r="A720" s="8" t="inlineStr">
        <is>
          <t>No identificado</t>
        </is>
      </c>
      <c r="B720" s="8" t="inlineStr">
        <is>
          <t>Banco ingreso no Flexxus</t>
        </is>
      </c>
      <c r="C720" s="8" t="inlineStr">
        <is>
          <t>QR / CR DEBIN SPOT</t>
        </is>
      </c>
      <c r="D720" s="9" t="n">
        <v>6833.21</v>
      </c>
      <c r="E720" s="8" t="inlineStr">
        <is>
          <t>ABIERTO</t>
        </is>
      </c>
      <c r="F720" s="8" t="inlineStr">
        <is>
          <t>QR bancario sin match QR PCT/local</t>
        </is>
      </c>
      <c r="G720" s="8" t="inlineStr">
        <is>
          <t>Identificar local/origen</t>
        </is>
      </c>
    </row>
    <row r="721">
      <c r="A721" s="8" t="inlineStr">
        <is>
          <t>No identificado</t>
        </is>
      </c>
      <c r="B721" s="8" t="inlineStr">
        <is>
          <t>Banco ingreso no Flexxus</t>
        </is>
      </c>
      <c r="C721" s="8" t="inlineStr">
        <is>
          <t>QR / CR DEBIN SPOT</t>
        </is>
      </c>
      <c r="D721" s="9" t="n">
        <v>4456.44</v>
      </c>
      <c r="E721" s="8" t="inlineStr">
        <is>
          <t>ABIERTO</t>
        </is>
      </c>
      <c r="F721" s="8" t="inlineStr">
        <is>
          <t>QR bancario sin match QR PCT/local</t>
        </is>
      </c>
      <c r="G721" s="8" t="inlineStr">
        <is>
          <t>Identificar local/origen</t>
        </is>
      </c>
    </row>
    <row r="722">
      <c r="A722" s="8" t="inlineStr">
        <is>
          <t>No identificado</t>
        </is>
      </c>
      <c r="B722" s="8" t="inlineStr">
        <is>
          <t>Banco ingreso no Flexxus</t>
        </is>
      </c>
      <c r="C722" s="8" t="inlineStr">
        <is>
          <t>QR / CR DEBIN SPOT</t>
        </is>
      </c>
      <c r="D722" s="9" t="n">
        <v>0.01</v>
      </c>
      <c r="E722" s="8" t="inlineStr">
        <is>
          <t>ABIERTO</t>
        </is>
      </c>
      <c r="F722" s="8" t="inlineStr">
        <is>
          <t>QR bancario sin match QR PCT/local</t>
        </is>
      </c>
      <c r="G722" s="8" t="inlineStr">
        <is>
          <t>Identificar local/origen</t>
        </is>
      </c>
    </row>
    <row r="723">
      <c r="A723" s="8" t="inlineStr">
        <is>
          <t>No identificado</t>
        </is>
      </c>
      <c r="B723" s="8" t="inlineStr">
        <is>
          <t>Banco ingreso no Flexxus</t>
        </is>
      </c>
      <c r="C723" s="8" t="inlineStr">
        <is>
          <t>Transferencia entrante</t>
        </is>
      </c>
      <c r="D723" s="9" t="n">
        <v>33180.87</v>
      </c>
      <c r="E723" s="8" t="inlineStr">
        <is>
          <t>ABIERTO</t>
        </is>
      </c>
      <c r="F723" s="8" t="inlineStr">
        <is>
          <t>Origen/local no identificado</t>
        </is>
      </c>
      <c r="G723" s="8" t="inlineStr">
        <is>
          <t>Identificar local/origen</t>
        </is>
      </c>
    </row>
    <row r="724">
      <c r="A724" s="8" t="inlineStr">
        <is>
          <t>No identificado</t>
        </is>
      </c>
      <c r="B724" s="8" t="inlineStr">
        <is>
          <t>Flexxus no Banco</t>
        </is>
      </c>
      <c r="C724" s="8" t="inlineStr">
        <is>
          <t>PAV</t>
        </is>
      </c>
      <c r="D724" s="9" t="n">
        <v>68461.47</v>
      </c>
      <c r="E724" s="8" t="inlineStr">
        <is>
          <t>ABIERTO</t>
        </is>
      </c>
      <c r="F724" s="8" t="inlineStr">
        <is>
          <t>Flexxus pendiente sin local detectado</t>
        </is>
      </c>
      <c r="G724" s="8" t="inlineStr">
        <is>
          <t>Verificar acreditación bancaria o fecha de cierre</t>
        </is>
      </c>
    </row>
  </sheetData>
  <autoFilter ref="A1:I7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41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3877891.75</v>
      </c>
      <c r="D3" s="9" t="n">
        <v>5986394.17</v>
      </c>
      <c r="E3" s="9" t="n">
        <v>-2108502.42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12162728.95</v>
      </c>
      <c r="D4" s="9" t="n">
        <v>14249044.23</v>
      </c>
      <c r="E4" s="9" t="n">
        <v>-2086315.28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13488608.04</v>
      </c>
      <c r="D5" s="9" t="n">
        <v>13595956.48</v>
      </c>
      <c r="E5" s="9" t="n">
        <v>-107348.44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14087000</v>
      </c>
      <c r="D6" s="9" t="n">
        <v>14087000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29/04/2026</t>
        </is>
      </c>
      <c r="C11" s="8" t="inlineStr">
        <is>
          <t>109467</t>
        </is>
      </c>
      <c r="D11" s="8" t="inlineStr">
        <is>
          <t>GRAVAMEN LEY 25413 S/DEB</t>
        </is>
      </c>
      <c r="E11" s="9" t="n">
        <v>5.36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29/04/2026</t>
        </is>
      </c>
      <c r="C12" s="8" t="inlineStr">
        <is>
          <t>32032899</t>
        </is>
      </c>
      <c r="D12" s="8" t="inlineStr">
        <is>
          <t>GRAVAMEN LEY 25413 S/DEB</t>
        </is>
      </c>
      <c r="E12" s="9" t="n">
        <v>18.54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29/04/2026</t>
        </is>
      </c>
      <c r="C13" s="8" t="inlineStr">
        <is>
          <t>32032899</t>
        </is>
      </c>
      <c r="D13" s="8" t="inlineStr">
        <is>
          <t>GRAVAMEN LEY 25413 S/DEB</t>
        </is>
      </c>
      <c r="E13" s="9" t="n">
        <v>7.76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29/04/2026</t>
        </is>
      </c>
      <c r="C14" s="8" t="inlineStr">
        <is>
          <t>31995644</t>
        </is>
      </c>
      <c r="D14" s="8" t="inlineStr">
        <is>
          <t>GRAVAMEN LEY 25413 S/DEB</t>
        </is>
      </c>
      <c r="E14" s="9" t="n">
        <v>4.28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29/04/2026</t>
        </is>
      </c>
      <c r="C15" s="8" t="inlineStr">
        <is>
          <t>31995644</t>
        </is>
      </c>
      <c r="D15" s="8" t="inlineStr">
        <is>
          <t>GRAVAMEN LEY 25413 S/DEB</t>
        </is>
      </c>
      <c r="E15" s="9" t="n">
        <v>13.62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29/04/2026</t>
        </is>
      </c>
      <c r="C16" s="8" t="inlineStr">
        <is>
          <t>29841683</t>
        </is>
      </c>
      <c r="D16" s="8" t="inlineStr">
        <is>
          <t>GRAVAMEN LEY 25413 S/DEB</t>
        </is>
      </c>
      <c r="E16" s="9" t="n">
        <v>5.45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29/04/2026</t>
        </is>
      </c>
      <c r="C17" s="8" t="inlineStr">
        <is>
          <t>32032899</t>
        </is>
      </c>
      <c r="D17" s="8" t="inlineStr">
        <is>
          <t>GRAVAMEN LEY 25413 S/DEB</t>
        </is>
      </c>
      <c r="E17" s="9" t="n">
        <v>13.33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29/04/2026</t>
        </is>
      </c>
      <c r="C18" s="8" t="inlineStr">
        <is>
          <t>31995644</t>
        </is>
      </c>
      <c r="D18" s="8" t="inlineStr">
        <is>
          <t>GRAVAMEN LEY 25413 S/DEB</t>
        </is>
      </c>
      <c r="E18" s="9" t="n">
        <v>52.96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29/04/2026</t>
        </is>
      </c>
      <c r="C19" s="8" t="inlineStr">
        <is>
          <t>31995644</t>
        </is>
      </c>
      <c r="D19" s="8" t="inlineStr">
        <is>
          <t>GRAVAMEN LEY 25413 S/DEB</t>
        </is>
      </c>
      <c r="E19" s="9" t="n">
        <v>15.05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29/04/2026</t>
        </is>
      </c>
      <c r="C20" s="8" t="inlineStr">
        <is>
          <t>29841627</t>
        </is>
      </c>
      <c r="D20" s="8" t="inlineStr">
        <is>
          <t>GRAVAMEN LEY 25413 S/DEB</t>
        </is>
      </c>
      <c r="E20" s="9" t="n">
        <v>6.15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29/04/2026</t>
        </is>
      </c>
      <c r="C21" s="8" t="inlineStr">
        <is>
          <t>32032899</t>
        </is>
      </c>
      <c r="D21" s="8" t="inlineStr">
        <is>
          <t>GRAVAMEN LEY 25413 S/DEB</t>
        </is>
      </c>
      <c r="E21" s="9" t="n">
        <v>6.15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29/04/2026</t>
        </is>
      </c>
      <c r="C22" s="8" t="inlineStr">
        <is>
          <t>31995644</t>
        </is>
      </c>
      <c r="D22" s="8" t="inlineStr">
        <is>
          <t>GRAVAMEN LEY 25413 S/DEB</t>
        </is>
      </c>
      <c r="E22" s="9" t="n">
        <v>2.23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29/04/2026</t>
        </is>
      </c>
      <c r="C23" s="8" t="inlineStr">
        <is>
          <t>109429</t>
        </is>
      </c>
      <c r="D23" s="8" t="inlineStr">
        <is>
          <t>GRAVAMEN LEY 25413 S/DEB</t>
        </is>
      </c>
      <c r="E23" s="9" t="n">
        <v>0.45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29/04/2026</t>
        </is>
      </c>
      <c r="C24" s="8" t="inlineStr">
        <is>
          <t>109424</t>
        </is>
      </c>
      <c r="D24" s="8" t="inlineStr">
        <is>
          <t>GRAVAMEN LEY 25413 S/DEB</t>
        </is>
      </c>
      <c r="E24" s="9" t="n">
        <v>6.24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29/04/2026</t>
        </is>
      </c>
      <c r="C25" s="8" t="inlineStr">
        <is>
          <t>109479</t>
        </is>
      </c>
      <c r="D25" s="8" t="inlineStr">
        <is>
          <t>INGRESOS BRUTOS MENDOZA</t>
        </is>
      </c>
      <c r="E25" s="9" t="n">
        <v>705.11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29/04/2026</t>
        </is>
      </c>
      <c r="C26" s="8" t="inlineStr">
        <is>
          <t>109479</t>
        </is>
      </c>
      <c r="D26" s="8" t="inlineStr">
        <is>
          <t>GRAVAMEN LEY 25413 S/CRED</t>
        </is>
      </c>
      <c r="E26" s="9" t="n">
        <v>423.06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29/04/2026</t>
        </is>
      </c>
      <c r="C27" s="8" t="inlineStr">
        <is>
          <t>109476</t>
        </is>
      </c>
      <c r="D27" s="8" t="inlineStr">
        <is>
          <t>GRAVAMEN LEY 25413 S/CRED</t>
        </is>
      </c>
      <c r="E27" s="9" t="n">
        <v>33.87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29/04/2026</t>
        </is>
      </c>
      <c r="C28" s="8" t="inlineStr">
        <is>
          <t>109475</t>
        </is>
      </c>
      <c r="D28" s="8" t="inlineStr">
        <is>
          <t>INGRESOS BRUTOS MENDOZA</t>
        </is>
      </c>
      <c r="E28" s="9" t="n">
        <v>222.82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29/04/2026</t>
        </is>
      </c>
      <c r="C29" s="8" t="inlineStr">
        <is>
          <t>109474</t>
        </is>
      </c>
      <c r="D29" s="8" t="inlineStr">
        <is>
          <t>GRAVAMEN LEY 25413 S/DEB</t>
        </is>
      </c>
      <c r="E29" s="9" t="n">
        <v>6522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29/04/2026</t>
        </is>
      </c>
      <c r="C30" s="8" t="inlineStr">
        <is>
          <t>109473</t>
        </is>
      </c>
      <c r="D30" s="8" t="inlineStr">
        <is>
          <t>INGRESOS BRUTOS MENDOZA</t>
        </is>
      </c>
      <c r="E30" s="9" t="n">
        <v>232.73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29/04/2026</t>
        </is>
      </c>
      <c r="C31" s="8" t="inlineStr">
        <is>
          <t>109473</t>
        </is>
      </c>
      <c r="D31" s="8" t="inlineStr">
        <is>
          <t>GRAVAMEN LEY 25413 S/CRED</t>
        </is>
      </c>
      <c r="E31" s="9" t="n">
        <v>139.64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29/04/2026</t>
        </is>
      </c>
      <c r="C32" s="8" t="inlineStr">
        <is>
          <t>109472</t>
        </is>
      </c>
      <c r="D32" s="8" t="inlineStr">
        <is>
          <t>INGRESOS BRUTOS MENDOZA</t>
        </is>
      </c>
      <c r="E32" s="9" t="n">
        <v>512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29/04/2026</t>
        </is>
      </c>
      <c r="C33" s="8" t="inlineStr">
        <is>
          <t>109472</t>
        </is>
      </c>
      <c r="D33" s="8" t="inlineStr">
        <is>
          <t>GRAVAMEN LEY 25413 S/CRED</t>
        </is>
      </c>
      <c r="E33" s="9" t="n">
        <v>307.2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29/04/2026</t>
        </is>
      </c>
      <c r="C34" s="8" t="inlineStr">
        <is>
          <t>109471</t>
        </is>
      </c>
      <c r="D34" s="8" t="inlineStr">
        <is>
          <t>INGRESOS BRUTOS MENDOZA</t>
        </is>
      </c>
      <c r="E34" s="9" t="n">
        <v>74.27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29/04/2026</t>
        </is>
      </c>
      <c r="C35" s="8" t="inlineStr">
        <is>
          <t>109470</t>
        </is>
      </c>
      <c r="D35" s="8" t="inlineStr">
        <is>
          <t>INGRESOS BRUTOS MENDOZA</t>
        </is>
      </c>
      <c r="E35" s="9" t="n">
        <v>222.82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29/04/2026</t>
        </is>
      </c>
      <c r="C36" s="8" t="inlineStr">
        <is>
          <t>109469</t>
        </is>
      </c>
      <c r="D36" s="8" t="inlineStr">
        <is>
          <t>INGRESOS BRUTOS MENDOZA</t>
        </is>
      </c>
      <c r="E36" s="9" t="n">
        <v>445.64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29/04/2026</t>
        </is>
      </c>
      <c r="C37" s="8" t="inlineStr">
        <is>
          <t>109468</t>
        </is>
      </c>
      <c r="D37" s="8" t="inlineStr">
        <is>
          <t>INGRESOS BRUTOS MENDOZA</t>
        </is>
      </c>
      <c r="E37" s="9" t="n">
        <v>74.27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29/04/2026</t>
        </is>
      </c>
      <c r="C38" s="8" t="inlineStr">
        <is>
          <t>109467</t>
        </is>
      </c>
      <c r="D38" s="8" t="inlineStr">
        <is>
          <t>INGRESOS BRUTOS MENDOZA</t>
        </is>
      </c>
      <c r="E38" s="9" t="n">
        <v>893.27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29/04/2026</t>
        </is>
      </c>
      <c r="C39" s="8" t="inlineStr">
        <is>
          <t>109467</t>
        </is>
      </c>
      <c r="D39" s="8" t="inlineStr">
        <is>
          <t>GRAVAMEN LEY 25413 S/CRED</t>
        </is>
      </c>
      <c r="E39" s="9" t="n">
        <v>535.96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29/04/2026</t>
        </is>
      </c>
      <c r="C40" s="8" t="inlineStr">
        <is>
          <t>32032899</t>
        </is>
      </c>
      <c r="D40" s="8" t="inlineStr">
        <is>
          <t>INGRESOS BRUTOS MENDOZA</t>
        </is>
      </c>
      <c r="E40" s="9" t="n">
        <v>3089.21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29/04/2026</t>
        </is>
      </c>
      <c r="C41" s="8" t="inlineStr">
        <is>
          <t>32032899</t>
        </is>
      </c>
      <c r="D41" s="8" t="inlineStr">
        <is>
          <t>GRAVAMEN LEY 25413 S/CRED</t>
        </is>
      </c>
      <c r="E41" s="9" t="n">
        <v>1853.53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29/04/2026</t>
        </is>
      </c>
      <c r="C42" s="8" t="inlineStr">
        <is>
          <t>29841705</t>
        </is>
      </c>
      <c r="D42" s="8" t="inlineStr">
        <is>
          <t>INGRESOS BRUTOS MENDOZA</t>
        </is>
      </c>
      <c r="E42" s="9" t="n">
        <v>484.07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29/04/2026</t>
        </is>
      </c>
      <c r="C43" s="8" t="inlineStr">
        <is>
          <t>29841705</t>
        </is>
      </c>
      <c r="D43" s="8" t="inlineStr">
        <is>
          <t>GRAVAMEN LEY 25413 S/CRED</t>
        </is>
      </c>
      <c r="E43" s="9" t="n">
        <v>290.44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29/04/2026</t>
        </is>
      </c>
      <c r="C44" s="8" t="inlineStr">
        <is>
          <t>29841683</t>
        </is>
      </c>
      <c r="D44" s="8" t="inlineStr">
        <is>
          <t>INGRESOS BRUTOS MENDOZA</t>
        </is>
      </c>
      <c r="E44" s="9" t="n">
        <v>223.27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29/04/2026</t>
        </is>
      </c>
      <c r="C45" s="8" t="inlineStr">
        <is>
          <t>29841683</t>
        </is>
      </c>
      <c r="D45" s="8" t="inlineStr">
        <is>
          <t>GRAVAMEN LEY 25413 S/CRED</t>
        </is>
      </c>
      <c r="E45" s="9" t="n">
        <v>133.96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29/04/2026</t>
        </is>
      </c>
      <c r="C46" s="8" t="inlineStr">
        <is>
          <t>29841627</t>
        </is>
      </c>
      <c r="D46" s="8" t="inlineStr">
        <is>
          <t>INGRESOS BRUTOS MENDOZA</t>
        </is>
      </c>
      <c r="E46" s="9" t="n">
        <v>385.28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29/04/2026</t>
        </is>
      </c>
      <c r="C47" s="8" t="inlineStr">
        <is>
          <t>29841627</t>
        </is>
      </c>
      <c r="D47" s="8" t="inlineStr">
        <is>
          <t>GRAVAMEN LEY 25413 S/CRED</t>
        </is>
      </c>
      <c r="E47" s="9" t="n">
        <v>231.17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29/04/2026</t>
        </is>
      </c>
      <c r="C48" s="8" t="inlineStr">
        <is>
          <t>29841683</t>
        </is>
      </c>
      <c r="D48" s="8" t="inlineStr">
        <is>
          <t>INGRESOS BRUTOS MENDOZA</t>
        </is>
      </c>
      <c r="E48" s="9" t="n">
        <v>123.49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29/04/2026</t>
        </is>
      </c>
      <c r="C49" s="8" t="inlineStr">
        <is>
          <t>29841683</t>
        </is>
      </c>
      <c r="D49" s="8" t="inlineStr">
        <is>
          <t>GRAVAMEN LEY 25413 S/CRED</t>
        </is>
      </c>
      <c r="E49" s="9" t="n">
        <v>74.09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29/04/2026</t>
        </is>
      </c>
      <c r="C50" s="8" t="inlineStr">
        <is>
          <t>29841670</t>
        </is>
      </c>
      <c r="D50" s="8" t="inlineStr">
        <is>
          <t>GRAVAMEN LEY 25413 S/CRED</t>
        </is>
      </c>
      <c r="E50" s="9" t="n">
        <v>280.96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29/04/2026</t>
        </is>
      </c>
      <c r="C51" s="8" t="inlineStr">
        <is>
          <t>32032899</t>
        </is>
      </c>
      <c r="D51" s="8" t="inlineStr">
        <is>
          <t>INGRESOS BRUTOS MENDOZA</t>
        </is>
      </c>
      <c r="E51" s="9" t="n">
        <v>1293.47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29/04/2026</t>
        </is>
      </c>
      <c r="C52" s="8" t="inlineStr">
        <is>
          <t>32032899</t>
        </is>
      </c>
      <c r="D52" s="8" t="inlineStr">
        <is>
          <t>GRAVAMEN LEY 25413 S/CRED</t>
        </is>
      </c>
      <c r="E52" s="9" t="n">
        <v>776.08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29/04/2026</t>
        </is>
      </c>
      <c r="C53" s="8" t="inlineStr">
        <is>
          <t>31995644</t>
        </is>
      </c>
      <c r="D53" s="8" t="inlineStr">
        <is>
          <t>INGRESOS BRUTOS MENDOZA</t>
        </is>
      </c>
      <c r="E53" s="9" t="n">
        <v>714.1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29/04/2026</t>
        </is>
      </c>
      <c r="C54" s="8" t="inlineStr">
        <is>
          <t>31995644</t>
        </is>
      </c>
      <c r="D54" s="8" t="inlineStr">
        <is>
          <t>GRAVAMEN LEY 25413 S/CRED</t>
        </is>
      </c>
      <c r="E54" s="9" t="n">
        <v>428.46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29/04/2026</t>
        </is>
      </c>
      <c r="C55" s="8" t="inlineStr">
        <is>
          <t>32032899</t>
        </is>
      </c>
      <c r="D55" s="8" t="inlineStr">
        <is>
          <t>INGRESOS BRUTOS MENDOZA</t>
        </is>
      </c>
      <c r="E55" s="9" t="n">
        <v>540.96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29/04/2026</t>
        </is>
      </c>
      <c r="C56" s="8" t="inlineStr">
        <is>
          <t>32032899</t>
        </is>
      </c>
      <c r="D56" s="8" t="inlineStr">
        <is>
          <t>GRAVAMEN LEY 25413 S/CRED</t>
        </is>
      </c>
      <c r="E56" s="9" t="n">
        <v>324.57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29/04/2026</t>
        </is>
      </c>
      <c r="C57" s="8" t="inlineStr">
        <is>
          <t>31995644</t>
        </is>
      </c>
      <c r="D57" s="8" t="inlineStr">
        <is>
          <t>INGRESOS BRUTOS MENDOZA</t>
        </is>
      </c>
      <c r="E57" s="9" t="n">
        <v>2269.52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29/04/2026</t>
        </is>
      </c>
      <c r="C58" s="8" t="inlineStr">
        <is>
          <t>31995644</t>
        </is>
      </c>
      <c r="D58" s="8" t="inlineStr">
        <is>
          <t>GRAVAMEN LEY 25413 S/CRED</t>
        </is>
      </c>
      <c r="E58" s="9" t="n">
        <v>1361.71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29/04/2026</t>
        </is>
      </c>
      <c r="C59" s="8" t="inlineStr">
        <is>
          <t>109454</t>
        </is>
      </c>
      <c r="D59" s="8" t="inlineStr">
        <is>
          <t>INGRESOS BRUTOS MENDOZA</t>
        </is>
      </c>
      <c r="E59" s="9" t="n">
        <v>548.64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29/04/2026</t>
        </is>
      </c>
      <c r="C60" s="8" t="inlineStr">
        <is>
          <t>109454</t>
        </is>
      </c>
      <c r="D60" s="8" t="inlineStr">
        <is>
          <t>GRAVAMEN LEY 25413 S/CRED</t>
        </is>
      </c>
      <c r="E60" s="9" t="n">
        <v>329.18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29/04/2026</t>
        </is>
      </c>
      <c r="C61" s="8" t="inlineStr">
        <is>
          <t>29841683</t>
        </is>
      </c>
      <c r="D61" s="8" t="inlineStr">
        <is>
          <t>INGRESOS BRUTOS MENDOZA</t>
        </is>
      </c>
      <c r="E61" s="9" t="n">
        <v>907.79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29/04/2026</t>
        </is>
      </c>
      <c r="C62" s="8" t="inlineStr">
        <is>
          <t>29841683</t>
        </is>
      </c>
      <c r="D62" s="8" t="inlineStr">
        <is>
          <t>GRAVAMEN LEY 25413 S/CRED</t>
        </is>
      </c>
      <c r="E62" s="9" t="n">
        <v>544.67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29/04/2026</t>
        </is>
      </c>
      <c r="C63" s="8" t="inlineStr">
        <is>
          <t>31995644</t>
        </is>
      </c>
      <c r="D63" s="8" t="inlineStr">
        <is>
          <t>INGRESOS BRUTOS MENDOZA</t>
        </is>
      </c>
      <c r="E63" s="9" t="n">
        <v>805.24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29/04/2026</t>
        </is>
      </c>
      <c r="C64" s="8" t="inlineStr">
        <is>
          <t>31995644</t>
        </is>
      </c>
      <c r="D64" s="8" t="inlineStr">
        <is>
          <t>GRAVAMEN LEY 25413 S/CRED</t>
        </is>
      </c>
      <c r="E64" s="9" t="n">
        <v>483.14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29/04/2026</t>
        </is>
      </c>
      <c r="C65" s="8" t="inlineStr">
        <is>
          <t>29841683</t>
        </is>
      </c>
      <c r="D65" s="8" t="inlineStr">
        <is>
          <t>INGRESOS BRUTOS MENDOZA</t>
        </is>
      </c>
      <c r="E65" s="9" t="n">
        <v>215.28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29/04/2026</t>
        </is>
      </c>
      <c r="C66" s="8" t="inlineStr">
        <is>
          <t>29841683</t>
        </is>
      </c>
      <c r="D66" s="8" t="inlineStr">
        <is>
          <t>GRAVAMEN LEY 25413 S/CRED</t>
        </is>
      </c>
      <c r="E66" s="9" t="n">
        <v>129.17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29/04/2026</t>
        </is>
      </c>
      <c r="C67" s="8" t="inlineStr">
        <is>
          <t>32032899</t>
        </is>
      </c>
      <c r="D67" s="8" t="inlineStr">
        <is>
          <t>INGRESOS BRUTOS MENDOZA</t>
        </is>
      </c>
      <c r="E67" s="9" t="n">
        <v>2221.29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29/04/2026</t>
        </is>
      </c>
      <c r="C68" s="8" t="inlineStr">
        <is>
          <t>32032899</t>
        </is>
      </c>
      <c r="D68" s="8" t="inlineStr">
        <is>
          <t>GRAVAMEN LEY 25413 S/CRED</t>
        </is>
      </c>
      <c r="E68" s="9" t="n">
        <v>1332.77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29/04/2026</t>
        </is>
      </c>
      <c r="C69" s="8" t="inlineStr">
        <is>
          <t>31995644</t>
        </is>
      </c>
      <c r="D69" s="8" t="inlineStr">
        <is>
          <t>INGRESOS BRUTOS MENDOZA</t>
        </is>
      </c>
      <c r="E69" s="9" t="n">
        <v>8826.5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29/04/2026</t>
        </is>
      </c>
      <c r="C70" s="8" t="inlineStr">
        <is>
          <t>31995644</t>
        </is>
      </c>
      <c r="D70" s="8" t="inlineStr">
        <is>
          <t>GRAVAMEN LEY 25413 S/CRED</t>
        </is>
      </c>
      <c r="E70" s="9" t="n">
        <v>5295.9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29/04/2026</t>
        </is>
      </c>
      <c r="C71" s="8" t="inlineStr">
        <is>
          <t>31995644</t>
        </is>
      </c>
      <c r="D71" s="8" t="inlineStr">
        <is>
          <t>INGRESOS BRUTOS MENDOZA</t>
        </is>
      </c>
      <c r="E71" s="9" t="n">
        <v>2507.75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29/04/2026</t>
        </is>
      </c>
      <c r="C72" s="8" t="inlineStr">
        <is>
          <t>31995644</t>
        </is>
      </c>
      <c r="D72" s="8" t="inlineStr">
        <is>
          <t>GRAVAMEN LEY 25413 S/CRED</t>
        </is>
      </c>
      <c r="E72" s="9" t="n">
        <v>1504.65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29/04/2026</t>
        </is>
      </c>
      <c r="C73" s="8" t="inlineStr">
        <is>
          <t>29841705</t>
        </is>
      </c>
      <c r="D73" s="8" t="inlineStr">
        <is>
          <t>INGRESOS BRUTOS MENDOZA</t>
        </is>
      </c>
      <c r="E73" s="9" t="n">
        <v>1012.46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29/04/2026</t>
        </is>
      </c>
      <c r="C74" s="8" t="inlineStr">
        <is>
          <t>29841705</t>
        </is>
      </c>
      <c r="D74" s="8" t="inlineStr">
        <is>
          <t>GRAVAMEN LEY 25413 S/CRED</t>
        </is>
      </c>
      <c r="E74" s="9" t="n">
        <v>607.47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29/04/2026</t>
        </is>
      </c>
      <c r="C75" s="8" t="inlineStr">
        <is>
          <t>29841683</t>
        </is>
      </c>
      <c r="D75" s="8" t="inlineStr">
        <is>
          <t>INGRESOS BRUTOS MENDOZA</t>
        </is>
      </c>
      <c r="E75" s="9" t="n">
        <v>59.57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29/04/2026</t>
        </is>
      </c>
      <c r="C76" s="8" t="inlineStr">
        <is>
          <t>29841683</t>
        </is>
      </c>
      <c r="D76" s="8" t="inlineStr">
        <is>
          <t>GRAVAMEN LEY 25413 S/CRED</t>
        </is>
      </c>
      <c r="E76" s="9" t="n">
        <v>35.74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29/04/2026</t>
        </is>
      </c>
      <c r="C77" s="8" t="inlineStr">
        <is>
          <t>29841627</t>
        </is>
      </c>
      <c r="D77" s="8" t="inlineStr">
        <is>
          <t>INGRESOS BRUTOS MENDOZA</t>
        </is>
      </c>
      <c r="E77" s="9" t="n">
        <v>1025.17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29/04/2026</t>
        </is>
      </c>
      <c r="C78" s="8" t="inlineStr">
        <is>
          <t>29841627</t>
        </is>
      </c>
      <c r="D78" s="8" t="inlineStr">
        <is>
          <t>GRAVAMEN LEY 25413 S/CRED</t>
        </is>
      </c>
      <c r="E78" s="9" t="n">
        <v>615.1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29/04/2026</t>
        </is>
      </c>
      <c r="C79" s="8" t="inlineStr">
        <is>
          <t>32032899</t>
        </is>
      </c>
      <c r="D79" s="8" t="inlineStr">
        <is>
          <t>INGRESOS BRUTOS MENDOZA</t>
        </is>
      </c>
      <c r="E79" s="9" t="n">
        <v>1025.17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29/04/2026</t>
        </is>
      </c>
      <c r="C80" s="8" t="inlineStr">
        <is>
          <t>32032899</t>
        </is>
      </c>
      <c r="D80" s="8" t="inlineStr">
        <is>
          <t>GRAVAMEN LEY 25413 S/CRED</t>
        </is>
      </c>
      <c r="E80" s="9" t="n">
        <v>615.1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29/04/2026</t>
        </is>
      </c>
      <c r="C81" s="8" t="inlineStr">
        <is>
          <t>31995644</t>
        </is>
      </c>
      <c r="D81" s="8" t="inlineStr">
        <is>
          <t>INGRESOS BRUTOS MENDOZA</t>
        </is>
      </c>
      <c r="E81" s="9" t="n">
        <v>582.24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29/04/2026</t>
        </is>
      </c>
      <c r="C82" s="8" t="inlineStr">
        <is>
          <t>31995644</t>
        </is>
      </c>
      <c r="D82" s="8" t="inlineStr">
        <is>
          <t>GRAVAMEN LEY 25413 S/CRED</t>
        </is>
      </c>
      <c r="E82" s="9" t="n">
        <v>349.34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29/04/2026</t>
        </is>
      </c>
      <c r="C83" s="8" t="inlineStr">
        <is>
          <t>31995644</t>
        </is>
      </c>
      <c r="D83" s="8" t="inlineStr">
        <is>
          <t>INGRESOS BRUTOS MENDOZA</t>
        </is>
      </c>
      <c r="E83" s="9" t="n">
        <v>371.72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29/04/2026</t>
        </is>
      </c>
      <c r="C84" s="8" t="inlineStr">
        <is>
          <t>31995644</t>
        </is>
      </c>
      <c r="D84" s="8" t="inlineStr">
        <is>
          <t>GRAVAMEN LEY 25413 S/CRED</t>
        </is>
      </c>
      <c r="E84" s="9" t="n">
        <v>223.03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29/04/2026</t>
        </is>
      </c>
      <c r="C85" s="8" t="inlineStr">
        <is>
          <t>29841705</t>
        </is>
      </c>
      <c r="D85" s="8" t="inlineStr">
        <is>
          <t>INGRESOS BRUTOS MENDOZA</t>
        </is>
      </c>
      <c r="E85" s="9" t="n">
        <v>254.34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29/04/2026</t>
        </is>
      </c>
      <c r="C86" s="8" t="inlineStr">
        <is>
          <t>29841705</t>
        </is>
      </c>
      <c r="D86" s="8" t="inlineStr">
        <is>
          <t>GRAVAMEN LEY 25413 S/CRED</t>
        </is>
      </c>
      <c r="E86" s="9" t="n">
        <v>152.6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29/04/2026</t>
        </is>
      </c>
      <c r="C87" s="8" t="inlineStr">
        <is>
          <t>29841670</t>
        </is>
      </c>
      <c r="D87" s="8" t="inlineStr">
        <is>
          <t>INGRESOS BRUTOS MENDOZA</t>
        </is>
      </c>
      <c r="E87" s="9" t="n">
        <v>379.55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29/04/2026</t>
        </is>
      </c>
      <c r="C88" s="8" t="inlineStr">
        <is>
          <t>109435</t>
        </is>
      </c>
      <c r="D88" s="8" t="inlineStr">
        <is>
          <t>INGRESOS BRUTOS MENDOZA</t>
        </is>
      </c>
      <c r="E88" s="9" t="n">
        <v>129.73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29/04/2026</t>
        </is>
      </c>
      <c r="C89" s="8" t="inlineStr">
        <is>
          <t>109435</t>
        </is>
      </c>
      <c r="D89" s="8" t="inlineStr">
        <is>
          <t>GRAVAMEN LEY 25413 S/CRED</t>
        </is>
      </c>
      <c r="E89" s="9" t="n">
        <v>77.84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29/04/2026</t>
        </is>
      </c>
      <c r="C90" s="8" t="inlineStr">
        <is>
          <t>109432</t>
        </is>
      </c>
      <c r="D90" s="8" t="inlineStr">
        <is>
          <t>INGRESOS BRUTOS MENDOZA</t>
        </is>
      </c>
      <c r="E90" s="9" t="n">
        <v>101.01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29/04/2026</t>
        </is>
      </c>
      <c r="C91" s="8" t="inlineStr">
        <is>
          <t>109432</t>
        </is>
      </c>
      <c r="D91" s="8" t="inlineStr">
        <is>
          <t>GRAVAMEN LEY 25413 S/CRED</t>
        </is>
      </c>
      <c r="E91" s="9" t="n">
        <v>60.61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29/04/2026</t>
        </is>
      </c>
      <c r="C92" s="8" t="inlineStr">
        <is>
          <t>109431</t>
        </is>
      </c>
      <c r="D92" s="8" t="inlineStr">
        <is>
          <t>INGRESOS BRUTOS MENDOZA</t>
        </is>
      </c>
      <c r="E92" s="9" t="n">
        <v>346.61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29/04/2026</t>
        </is>
      </c>
      <c r="C93" s="8" t="inlineStr">
        <is>
          <t>109431</t>
        </is>
      </c>
      <c r="D93" s="8" t="inlineStr">
        <is>
          <t>GRAVAMEN LEY 25413 S/CRED</t>
        </is>
      </c>
      <c r="E93" s="9" t="n">
        <v>207.97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29/04/2026</t>
        </is>
      </c>
      <c r="C94" s="8" t="inlineStr">
        <is>
          <t>109430</t>
        </is>
      </c>
      <c r="D94" s="8" t="inlineStr">
        <is>
          <t>INGRESOS BRUTOS MENDOZA</t>
        </is>
      </c>
      <c r="E94" s="9" t="n">
        <v>349.58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29/04/2026</t>
        </is>
      </c>
      <c r="C95" s="8" t="inlineStr">
        <is>
          <t>109430</t>
        </is>
      </c>
      <c r="D95" s="8" t="inlineStr">
        <is>
          <t>GRAVAMEN LEY 25413 S/CRED</t>
        </is>
      </c>
      <c r="E95" s="9" t="n">
        <v>209.75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29/04/2026</t>
        </is>
      </c>
      <c r="C96" s="8" t="inlineStr">
        <is>
          <t>109427</t>
        </is>
      </c>
      <c r="D96" s="8" t="inlineStr">
        <is>
          <t>INGRESOS BRUTOS MENDOZA</t>
        </is>
      </c>
      <c r="E96" s="9" t="n">
        <v>460.5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29/04/2026</t>
        </is>
      </c>
      <c r="C97" s="8" t="inlineStr">
        <is>
          <t>109426</t>
        </is>
      </c>
      <c r="D97" s="8" t="inlineStr">
        <is>
          <t>INGRESOS BRUTOS MENDOZA</t>
        </is>
      </c>
      <c r="E97" s="9" t="n">
        <v>950.71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29/04/2026</t>
        </is>
      </c>
      <c r="C98" s="8" t="inlineStr">
        <is>
          <t>109426</t>
        </is>
      </c>
      <c r="D98" s="8" t="inlineStr">
        <is>
          <t>GRAVAMEN LEY 25413 S/CRED</t>
        </is>
      </c>
      <c r="E98" s="9" t="n">
        <v>570.42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29/04/2026</t>
        </is>
      </c>
      <c r="C99" s="8" t="inlineStr">
        <is>
          <t>109425</t>
        </is>
      </c>
      <c r="D99" s="8" t="inlineStr">
        <is>
          <t>GRAVAMEN LEY 25413 S/DEB</t>
        </is>
      </c>
      <c r="E99" s="9" t="n">
        <v>6000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29/04/2026</t>
        </is>
      </c>
      <c r="C100" s="8" t="inlineStr">
        <is>
          <t>109424</t>
        </is>
      </c>
      <c r="D100" s="8" t="inlineStr">
        <is>
          <t>INGRESOS BRUTOS MENDOZA</t>
        </is>
      </c>
      <c r="E100" s="9" t="n">
        <v>1040.83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29/04/2026</t>
        </is>
      </c>
      <c r="C101" s="8" t="inlineStr">
        <is>
          <t>109424</t>
        </is>
      </c>
      <c r="D101" s="8" t="inlineStr">
        <is>
          <t>GRAVAMEN LEY 25413 S/CRED</t>
        </is>
      </c>
      <c r="E101" s="9" t="n">
        <v>624.5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29/04/2026</t>
        </is>
      </c>
      <c r="C102" s="8" t="inlineStr">
        <is>
          <t>109478</t>
        </is>
      </c>
      <c r="D102" s="8" t="inlineStr">
        <is>
          <t>CR DEBIN SPOT</t>
        </is>
      </c>
      <c r="E102" s="9" t="n">
        <v>14854.8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29/04/2026</t>
        </is>
      </c>
      <c r="C103" s="8" t="inlineStr">
        <is>
          <t>29841670</t>
        </is>
      </c>
      <c r="D103" s="8" t="inlineStr">
        <is>
          <t>CR LIQ MASTER DEB 24H</t>
        </is>
      </c>
      <c r="E103" s="9" t="n">
        <v>46826.46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29/04/2026</t>
        </is>
      </c>
      <c r="C104" s="8" t="inlineStr">
        <is>
          <t>32032899</t>
        </is>
      </c>
      <c r="D104" s="8" t="inlineStr">
        <is>
          <t>DEB LIQ MASTERCARD 24H</t>
        </is>
      </c>
      <c r="E104" s="9" t="n">
        <v>690.62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29/04/2026</t>
        </is>
      </c>
      <c r="C105" s="8" t="inlineStr">
        <is>
          <t>29841705</t>
        </is>
      </c>
      <c r="D105" s="8" t="inlineStr">
        <is>
          <t>DEB LIQ MASTERCARD 24H</t>
        </is>
      </c>
      <c r="E105" s="9" t="n">
        <v>172.61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29/04/2026</t>
        </is>
      </c>
      <c r="C106" s="8" t="inlineStr">
        <is>
          <t>29841670</t>
        </is>
      </c>
      <c r="D106" s="8" t="inlineStr">
        <is>
          <t>DEB LIQ MASTERCARD 24H</t>
        </is>
      </c>
      <c r="E106" s="9" t="n">
        <v>64.8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29/04/2026</t>
        </is>
      </c>
      <c r="C107" s="8" t="inlineStr">
        <is>
          <t>32032899</t>
        </is>
      </c>
      <c r="D107" s="8" t="inlineStr">
        <is>
          <t>CR LIQ MASTERCARD 24H</t>
        </is>
      </c>
      <c r="E107" s="9" t="n">
        <v>102517.46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29/04/2026</t>
        </is>
      </c>
      <c r="C108" s="8" t="inlineStr">
        <is>
          <t>29841670</t>
        </is>
      </c>
      <c r="D108" s="8" t="inlineStr">
        <is>
          <t>CR LIQ MASTERCARD 24H</t>
        </is>
      </c>
      <c r="E108" s="9" t="n">
        <v>37954.94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29/04/2026</t>
        </is>
      </c>
      <c r="C109" s="8" t="inlineStr">
        <is>
          <t>109434</t>
        </is>
      </c>
      <c r="D109" s="8" t="inlineStr">
        <is>
          <t>CR DEBIN SPOT - CUIT/CUIL: 30711424179</t>
        </is>
      </c>
      <c r="E109" s="9" t="n">
        <v>23767.68</v>
      </c>
      <c r="F109" s="8" t="inlineStr">
        <is>
          <t>Pendiente visible en hojas Banco no Flexxus</t>
        </is>
      </c>
      <c r="G109" s="8" t="inlineStr"/>
    </row>
  </sheetData>
  <autoFilter ref="A1:G10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V5.9.1</t>
        </is>
      </c>
      <c r="B11" s="2" t="inlineStr">
        <is>
          <t>Agrega auditoría QR humana uno a uno: Transacciones -&gt; Banco -&gt; Flexxus. Elimina diagnóstico final 'QR no reflejado' y clasifica en Cerrado, Banco no Flexxus, Flexxus no Banco o Solo Transacciones.</t>
        </is>
      </c>
    </row>
    <row r="12">
      <c r="A12" s="3" t="inlineStr">
        <is>
          <t>V5.5</t>
        </is>
      </c>
      <c r="B12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2026-05-03T16:19:27Z</dcterms:created>
  <dcterms:modified xsi:type="dcterms:W3CDTF">2026-05-03T16:19:30Z</dcterms:modified>
</cp:coreProperties>
</file>